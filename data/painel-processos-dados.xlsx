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C326F"/>
  </sheetPr>
  <dimension ref="A1:B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0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Descricao</t>
        </is>
      </c>
      <c r="C7" s="3" t="inlineStr">
        <is>
          <t xml:space="preserve">Campo de preenchimento livre ou calculado — ver aba anterior.</t>
        </is>
      </c>
      <c r="D7" s="3" t="inlineStr">
        <is>
          <t xml:space="preserve">Formulação, desdobramento e monitoramento da estratégia corporativa, da governança e do desempenh...</t>
        </is>
      </c>
    </row>
    <row r="8">
      <c r="A8" s="7" t="inlineStr">
        <is>
          <t xml:space="preserve">Macroprocessos</t>
        </is>
      </c>
      <c r="B8" s="7" t="inlineStr">
        <is>
          <t xml:space="preserve">Objetivo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Garantir que a atuação da Companhia esteja alinhada à estratégia, com decisões baseadas em evidên...</t>
        </is>
      </c>
    </row>
    <row r="9">
      <c r="A9" s="4" t="inlineStr">
        <is>
          <t xml:space="preserve">Macroprocessos</t>
        </is>
      </c>
      <c r="B9" s="4" t="inlineStr">
        <is>
          <t xml:space="preserve">Entregas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Plano Estratégico; Plano de Ação Anual; Relatórios de desempenho</t>
        </is>
      </c>
    </row>
    <row r="10">
      <c r="A10" s="7" t="inlineStr">
        <is>
          <t xml:space="preserve">Macroprocessos</t>
        </is>
      </c>
      <c r="B10" s="7" t="inlineStr">
        <is>
          <t xml:space="preserve">Beneficiarios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Diretoria Executiva; Conselho de Administração; Unidades internas</t>
        </is>
      </c>
    </row>
    <row r="11">
      <c r="A11" s="4" t="inlineStr">
        <is>
          <t xml:space="preserve">Macroprocessos</t>
        </is>
      </c>
      <c r="B11" s="4" t="inlineStr">
        <is>
          <t xml:space="preserve">Partes_Interessadas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Ministério supervisor; Órgãos de controle; Sociedade</t>
        </is>
      </c>
    </row>
    <row r="12">
      <c r="A12" s="7" t="inlineStr">
        <is>
          <t xml:space="preserve">Macroprocessos</t>
        </is>
      </c>
      <c r="B12" s="7" t="inlineStr">
        <is>
          <t xml:space="preserve">Sistemas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e-Codevasf; Painéis de BI</t>
        </is>
      </c>
    </row>
    <row r="13">
      <c r="A13" s="4" t="inlineStr">
        <is>
          <t xml:space="preserve">Macroprocessos</t>
        </is>
      </c>
      <c r="B13" s="4" t="inlineStr">
        <is>
          <t xml:space="preserve">Imagem_Bizagi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(sem exemplo)</t>
        </is>
      </c>
    </row>
    <row r="14">
      <c r="A14" s="7" t="inlineStr">
        <is>
          <t xml:space="preserve">Macroprocessos</t>
        </is>
      </c>
      <c r="B14" s="7" t="inlineStr">
        <is>
          <t xml:space="preserve">Observacoes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Macroprocesso priorizado no ciclo 2026 de mapeamento.</t>
        </is>
      </c>
    </row>
    <row r="15">
      <c r="A15" s="4" t="inlineStr">
        <is>
          <t xml:space="preserve">Macroprocessos</t>
        </is>
      </c>
      <c r="B15" s="4" t="inlineStr">
        <is>
          <t xml:space="preserve">Trilha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MG-01</t>
        </is>
      </c>
    </row>
    <row r="16">
      <c r="A16" s="7" t="inlineStr">
        <is>
          <t xml:space="preserve">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MS-01 › PP-01</t>
        </is>
      </c>
    </row>
    <row r="17">
      <c r="A17" s="4" t="inlineStr">
        <is>
          <t xml:space="preserve">Processos</t>
        </is>
      </c>
      <c r="B17" s="4" t="inlineStr">
        <is>
          <t xml:space="preserve">Macroprocesso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</t>
        </is>
      </c>
    </row>
    <row r="18">
      <c r="A18" s="7" t="inlineStr">
        <is>
          <t xml:space="preserve">Processos</t>
        </is>
      </c>
      <c r="B18" s="7" t="inlineStr">
        <is>
          <t xml:space="preserve">Codigo</t>
        </is>
      </c>
      <c r="C1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8" s="6" t="inlineStr">
        <is>
          <t xml:space="preserve">PP-01</t>
        </is>
      </c>
    </row>
    <row r="19">
      <c r="A19" s="4" t="inlineStr">
        <is>
          <t xml:space="preserve">Processos</t>
        </is>
      </c>
      <c r="B19" s="4" t="inlineStr">
        <is>
          <t xml:space="preserve">Nome</t>
        </is>
      </c>
      <c r="C19" s="3" t="inlineStr">
        <is>
          <t xml:space="preserve">Campo de preenchimento livre ou calculado — ver aba anterior.</t>
        </is>
      </c>
      <c r="D19" s="3" t="inlineStr">
        <is>
          <t xml:space="preserve">Planejamento da Contratação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 ou calculado — ver aba anterior.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Campo de preenchimento livre ou calculado — ver aba anterior.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Processo_ECodevasf_Link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https://e-processo.codevasf.gov.br/sei/controlador.php?acao=procedimento_visualizar&amp;id=5950000012...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Subprocessos</t>
        </is>
      </c>
      <c r="B55" s="4" t="inlineStr">
        <is>
          <t xml:space="preserve">Trilha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MS-01 › PP-01 › SP-01</t>
        </is>
      </c>
    </row>
    <row r="56">
      <c r="A56" s="7" t="inlineStr">
        <is>
          <t xml:space="preserve">Subprocessos</t>
        </is>
      </c>
      <c r="B56" s="7" t="inlineStr">
        <is>
          <t xml:space="preserve">Macroprocesso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MS-01</t>
        </is>
      </c>
    </row>
    <row r="57">
      <c r="A57" s="4" t="inlineStr">
        <is>
          <t xml:space="preserve">Subprocessos</t>
        </is>
      </c>
      <c r="B57" s="4" t="inlineStr">
        <is>
          <t xml:space="preserve">Processo</t>
        </is>
      </c>
      <c r="C57" s="3" t="inlineStr">
        <is>
          <t xml:space="preserve">Campo de preenchimento livre ou calculado — ver aba anterior.</t>
        </is>
      </c>
      <c r="D57" s="3" t="inlineStr">
        <is>
          <t xml:space="preserve">PP-01</t>
        </is>
      </c>
    </row>
    <row r="58">
      <c r="A58" s="7" t="inlineStr">
        <is>
          <t xml:space="preserve">Subprocessos</t>
        </is>
      </c>
      <c r="B58" s="7" t="inlineStr">
        <is>
          <t xml:space="preserve">Codigo</t>
        </is>
      </c>
      <c r="C5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58" s="6" t="inlineStr">
        <is>
          <t xml:space="preserve">SP-01</t>
        </is>
      </c>
    </row>
    <row r="59">
      <c r="A59" s="4" t="inlineStr">
        <is>
          <t xml:space="preserve">Subprocessos</t>
        </is>
      </c>
      <c r="B59" s="4" t="inlineStr">
        <is>
          <t xml:space="preserve">Nome</t>
        </is>
      </c>
      <c r="C59" s="3" t="inlineStr">
        <is>
          <t xml:space="preserve">Campo de preenchimento livre ou calculado — ver aba anterior.</t>
        </is>
      </c>
      <c r="D59" s="3" t="inlineStr">
        <is>
          <t xml:space="preserve">Estudo Técnico Preliminar (ETP)</t>
        </is>
      </c>
    </row>
    <row r="60">
      <c r="A60" s="7" t="inlineStr">
        <is>
          <t xml:space="preserve">Subprocessos</t>
        </is>
      </c>
      <c r="B60" s="7" t="inlineStr">
        <is>
          <t xml:space="preserve">Vinculo_Pai</t>
        </is>
      </c>
      <c r="C60" s="6" t="inlineStr">
        <is>
          <t xml:space="preserve">Campo de preenchimento livre ou calculado — ver aba anterior.</t>
        </is>
      </c>
      <c r="D60" s="6" t="inlineStr">
        <is>
          <t xml:space="preserve">PP-01</t>
        </is>
      </c>
    </row>
    <row r="61">
      <c r="A61" s="4" t="inlineStr">
        <is>
          <t xml:space="preserve">Subprocessos</t>
        </is>
      </c>
      <c r="B61" s="4" t="inlineStr">
        <is>
          <t xml:space="preserve">Ordem</t>
        </is>
      </c>
      <c r="C61" s="3" t="inlineStr">
        <is>
          <t xml:space="preserve">Campo de preenchimento livre ou calculado — ver aba anterior.</t>
        </is>
      </c>
      <c r="D61" s="3">
        <v>1</v>
      </c>
    </row>
    <row r="62">
      <c r="A62" s="7" t="inlineStr">
        <is>
          <t xml:space="preserve">Subprocessos</t>
        </is>
      </c>
      <c r="B62" s="7" t="inlineStr">
        <is>
          <t xml:space="preserve">Descricao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Caracterização da necessidade, análise de soluções de mercado e demonstração da viabilidade da co...</t>
        </is>
      </c>
    </row>
    <row r="63">
      <c r="A63" s="4" t="inlineStr">
        <is>
          <t xml:space="preserve">Subprocessos</t>
        </is>
      </c>
      <c r="B63" s="4" t="inlineStr">
        <is>
          <t xml:space="preserve">Objetivo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Fundamentar tecnicamente a melhor solução para a necessidade.</t>
        </is>
      </c>
    </row>
    <row r="64">
      <c r="A64" s="7" t="inlineStr">
        <is>
          <t xml:space="preserve">Subprocessos</t>
        </is>
      </c>
      <c r="B64" s="7" t="inlineStr">
        <is>
          <t xml:space="preserve">Unidade_Organica_Responsavel</t>
        </is>
      </c>
      <c r="C64" s="6" t="inlineStr">
        <is>
          <t xml:space="preserve">Campo de preenchimento livre ou calculado — ver aba anterior.</t>
        </is>
      </c>
      <c r="D64" s="6" t="inlineStr">
        <is>
          <t xml:space="preserve">AA/GLC</t>
        </is>
      </c>
    </row>
    <row r="65">
      <c r="A65" s="4" t="inlineStr">
        <is>
          <t xml:space="preserve">Subprocessos</t>
        </is>
      </c>
      <c r="B65" s="4" t="inlineStr">
        <is>
          <t xml:space="preserve">Reutilizavel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Sim</t>
        </is>
      </c>
    </row>
    <row r="66">
      <c r="A66" s="7" t="inlineStr">
        <is>
          <t xml:space="preserve">Subprocessos</t>
        </is>
      </c>
      <c r="B66" s="7" t="inlineStr">
        <is>
          <t xml:space="preserve">Reutilizado_Em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MS-01/PP-02; MF-02/PP-01</t>
        </is>
      </c>
    </row>
    <row r="67">
      <c r="A67" s="4" t="inlineStr">
        <is>
          <t xml:space="preserve">Subprocessos</t>
        </is>
      </c>
      <c r="B67" s="4" t="inlineStr">
        <is>
          <t xml:space="preserve">Entradas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DFD; Levantamento de soluções de mercado</t>
        </is>
      </c>
    </row>
    <row r="68">
      <c r="A68" s="7" t="inlineStr">
        <is>
          <t xml:space="preserve">Subprocessos</t>
        </is>
      </c>
      <c r="B68" s="7" t="inlineStr">
        <is>
          <t xml:space="preserve">Saidas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ETP aprovado no 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Sistemas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e-Codevasf; Compras.gov.br</t>
        </is>
      </c>
    </row>
    <row r="70">
      <c r="A70" s="7" t="inlineStr">
        <is>
          <t xml:space="preserve">Subprocessos</t>
        </is>
      </c>
      <c r="B70" s="7" t="inlineStr">
        <is>
          <t xml:space="preserve">Fontes_Dados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e-Codevasf</t>
        </is>
      </c>
    </row>
    <row r="71">
      <c r="A71" s="4" t="inlineStr">
        <is>
          <t xml:space="preserve">Subprocessos</t>
        </is>
      </c>
      <c r="B71" s="4" t="inlineStr">
        <is>
          <t xml:space="preserve">Imagem_Bizagi</t>
        </is>
      </c>
      <c r="C71" s="3" t="inlineStr">
        <is>
          <t xml:space="preserve">Campo de preenchimento livre ou calculado — ver aba anterior.</t>
        </is>
      </c>
      <c r="D71" s="3" t="inlineStr">
        <is>
          <t xml:space="preserve">(sem exemplo)</t>
        </is>
      </c>
    </row>
    <row r="72">
      <c r="A72" s="7" t="inlineStr">
        <is>
          <t xml:space="preserve">Atividades</t>
        </is>
      </c>
      <c r="B72" s="7" t="inlineStr">
        <is>
          <t xml:space="preserve">Trilha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MS-01 › PP-01 › SP-01 › AT-01</t>
        </is>
      </c>
    </row>
    <row r="73">
      <c r="A73" s="4" t="inlineStr">
        <is>
          <t xml:space="preserve">Atividades</t>
        </is>
      </c>
      <c r="B73" s="4" t="inlineStr">
        <is>
          <t xml:space="preserve">Macroprocesso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</t>
        </is>
      </c>
    </row>
    <row r="74">
      <c r="A74" s="7" t="inlineStr">
        <is>
          <t xml:space="preserve">Atividades</t>
        </is>
      </c>
      <c r="B74" s="7" t="inlineStr">
        <is>
          <t xml:space="preserve">Processo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PP-01</t>
        </is>
      </c>
    </row>
    <row r="75">
      <c r="A75" s="4" t="inlineStr">
        <is>
          <t xml:space="preserve">Atividades</t>
        </is>
      </c>
      <c r="B75" s="4" t="inlineStr">
        <is>
          <t xml:space="preserve">Subprocesso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SP-01</t>
        </is>
      </c>
    </row>
    <row r="76">
      <c r="A76" s="7" t="inlineStr">
        <is>
          <t xml:space="preserve">Atividades</t>
        </is>
      </c>
      <c r="B76" s="7" t="inlineStr">
        <is>
          <t xml:space="preserve">Codigo</t>
        </is>
      </c>
      <c r="C76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76" s="6" t="inlineStr">
        <is>
          <t xml:space="preserve">AT-01</t>
        </is>
      </c>
    </row>
    <row r="77">
      <c r="A77" s="4" t="inlineStr">
        <is>
          <t xml:space="preserve">Atividades</t>
        </is>
      </c>
      <c r="B77" s="4" t="inlineStr">
        <is>
          <t xml:space="preserve">Nome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Formalizar a necessidade (DFD)</t>
        </is>
      </c>
    </row>
    <row r="78">
      <c r="A78" s="7" t="inlineStr">
        <is>
          <t xml:space="preserve">Atividades</t>
        </is>
      </c>
      <c r="B78" s="7" t="inlineStr">
        <is>
          <t xml:space="preserve">Vinculo_Pai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SP-01</t>
        </is>
      </c>
    </row>
    <row r="79">
      <c r="A79" s="4" t="inlineStr">
        <is>
          <t xml:space="preserve">Atividades</t>
        </is>
      </c>
      <c r="B79" s="4" t="inlineStr">
        <is>
          <t xml:space="preserve">Ordem</t>
        </is>
      </c>
      <c r="C79" s="3" t="inlineStr">
        <is>
          <t xml:space="preserve">Campo de preenchimento livre ou calculado — ver aba anterior.</t>
        </is>
      </c>
      <c r="D79" s="3">
        <v>1</v>
      </c>
    </row>
    <row r="80">
      <c r="A80" s="7" t="inlineStr">
        <is>
          <t xml:space="preserve">Atividades</t>
        </is>
      </c>
      <c r="B80" s="7" t="inlineStr">
        <is>
          <t xml:space="preserve">Tipo_Atividade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Agregação de Valor</t>
        </is>
      </c>
    </row>
    <row r="81">
      <c r="A81" s="4" t="inlineStr">
        <is>
          <t xml:space="preserve">Atividades</t>
        </is>
      </c>
      <c r="B81" s="4" t="inlineStr">
        <is>
          <t xml:space="preserve">Descricao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A área demandante registra a necessidade de contratação no Documento de Formalização da Demanda (...</t>
        </is>
      </c>
    </row>
    <row r="82">
      <c r="A82" s="7" t="inlineStr">
        <is>
          <t xml:space="preserve">Atividades</t>
        </is>
      </c>
      <c r="B82" s="7" t="inlineStr">
        <is>
          <t xml:space="preserve">Entradas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Necessidade identificada; Plano de Contratações Anual</t>
        </is>
      </c>
    </row>
    <row r="83">
      <c r="A83" s="4" t="inlineStr">
        <is>
          <t xml:space="preserve">Atividades</t>
        </is>
      </c>
      <c r="B83" s="4" t="inlineStr">
        <is>
          <t xml:space="preserve">Saidas</t>
        </is>
      </c>
      <c r="C83" s="3" t="inlineStr">
        <is>
          <t xml:space="preserve">Campo de preenchimento livre ou calculado — ver aba anterior.</t>
        </is>
      </c>
      <c r="D83" s="3" t="inlineStr">
        <is>
          <t xml:space="preserve">DFD assinado no e-Codevasf</t>
        </is>
      </c>
    </row>
    <row r="84">
      <c r="A84" s="7" t="inlineStr">
        <is>
          <t xml:space="preserve">Atividades</t>
        </is>
      </c>
      <c r="B84" s="7" t="inlineStr">
        <is>
          <t xml:space="preserve">Sistemas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e-Codevasf</t>
        </is>
      </c>
    </row>
    <row r="85">
      <c r="A85" s="4" t="inlineStr">
        <is>
          <t xml:space="preserve">Tarefas</t>
        </is>
      </c>
      <c r="B85" s="4" t="inlineStr">
        <is>
          <t xml:space="preserve">Trilha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MS-01 › PP-01 › SP-01 › AT-01 › TR-01</t>
        </is>
      </c>
    </row>
    <row r="86">
      <c r="A86" s="7" t="inlineStr">
        <is>
          <t xml:space="preserve">Tarefas</t>
        </is>
      </c>
      <c r="B86" s="7" t="inlineStr">
        <is>
          <t xml:space="preserve">Macroprocesso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MS-01</t>
        </is>
      </c>
    </row>
    <row r="87">
      <c r="A87" s="4" t="inlineStr">
        <is>
          <t xml:space="preserve">Tarefas</t>
        </is>
      </c>
      <c r="B87" s="4" t="inlineStr">
        <is>
          <t xml:space="preserve">Processo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PP-01</t>
        </is>
      </c>
    </row>
    <row r="88">
      <c r="A88" s="7" t="inlineStr">
        <is>
          <t xml:space="preserve">Tarefas</t>
        </is>
      </c>
      <c r="B88" s="7" t="inlineStr">
        <is>
          <t xml:space="preserve">Subprocesso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SP-01</t>
        </is>
      </c>
    </row>
    <row r="89">
      <c r="A89" s="4" t="inlineStr">
        <is>
          <t xml:space="preserve">Tarefas</t>
        </is>
      </c>
      <c r="B89" s="4" t="inlineStr">
        <is>
          <t xml:space="preserve">Atividade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AT-01</t>
        </is>
      </c>
    </row>
    <row r="90">
      <c r="A90" s="7" t="inlineStr">
        <is>
          <t xml:space="preserve">Tarefas</t>
        </is>
      </c>
      <c r="B90" s="7" t="inlineStr">
        <is>
          <t xml:space="preserve">Codigo</t>
        </is>
      </c>
      <c r="C90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0" s="6" t="inlineStr">
        <is>
          <t xml:space="preserve">TR-01</t>
        </is>
      </c>
    </row>
    <row r="91">
      <c r="A91" s="4" t="inlineStr">
        <is>
          <t xml:space="preserve">Tarefas</t>
        </is>
      </c>
      <c r="B91" s="4" t="inlineStr">
        <is>
          <t xml:space="preserve">Nome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Reunir informações da demanda</t>
        </is>
      </c>
    </row>
    <row r="92">
      <c r="A92" s="7" t="inlineStr">
        <is>
          <t xml:space="preserve">Tarefas</t>
        </is>
      </c>
      <c r="B92" s="7" t="inlineStr">
        <is>
          <t xml:space="preserve">Ordem</t>
        </is>
      </c>
      <c r="C92" s="6" t="inlineStr">
        <is>
          <t xml:space="preserve">Campo de preenchimento livre ou calculado — ver aba anterior.</t>
        </is>
      </c>
      <c r="D92" s="6">
        <v>1</v>
      </c>
    </row>
    <row r="93">
      <c r="A93" s="4" t="inlineStr">
        <is>
          <t xml:space="preserve">Tarefas</t>
        </is>
      </c>
      <c r="B93" s="4" t="inlineStr">
        <is>
          <t xml:space="preserve">Tipo_Tarefa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Manual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 ou calculado — ver aba anterior.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Documentos</t>
        </is>
      </c>
      <c r="B96" s="7" t="inlineStr">
        <is>
          <t xml:space="preserve">ID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DOC-001</t>
        </is>
      </c>
    </row>
    <row r="97">
      <c r="A97" s="4" t="inlineStr">
        <is>
          <t xml:space="preserve">Documentos</t>
        </is>
      </c>
      <c r="B97" s="4" t="inlineStr">
        <is>
          <t xml:space="preserve">Titulo</t>
        </is>
      </c>
      <c r="C97" s="3" t="inlineStr">
        <is>
          <t xml:space="preserve">Campo de preenchimento livre ou calculado — ver aba anterior.</t>
        </is>
      </c>
      <c r="D97" s="3" t="inlineStr">
        <is>
          <t xml:space="preserve">PRO 06.01 — Planejamento da Contratação</t>
        </is>
      </c>
    </row>
    <row r="98">
      <c r="A98" s="7" t="inlineStr">
        <is>
          <t xml:space="preserve">Documentos</t>
        </is>
      </c>
      <c r="B98" s="7" t="inlineStr">
        <is>
          <t xml:space="preserve">Tipo_Documento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Procedimento (PRO)</t>
        </is>
      </c>
    </row>
    <row r="99">
      <c r="A99" s="4" t="inlineStr">
        <is>
          <t xml:space="preserve">Documentos</t>
        </is>
      </c>
      <c r="B99" s="4" t="inlineStr">
        <is>
          <t xml:space="preserve">Vinculo_Nivel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Processo</t>
        </is>
      </c>
    </row>
    <row r="100">
      <c r="A100" s="7" t="inlineStr">
        <is>
          <t xml:space="preserve">Documentos</t>
        </is>
      </c>
      <c r="B100" s="7" t="inlineStr">
        <is>
          <t xml:space="preserve">Vinculo_Codigo</t>
        </is>
      </c>
      <c r="C100" s="6" t="inlineStr">
        <is>
          <t xml:space="preserve">Caminho completo do item vinculado (ex. "MS-01/PP-01" ou "MS-01/PP-01/SP-03"), ou o código isolado de um Macroprocesso (já único). Mais de um: separe com ; .</t>
        </is>
      </c>
      <c r="D100" s="6" t="inlineStr">
        <is>
          <t xml:space="preserve">MS-01/PP-01</t>
        </is>
      </c>
    </row>
    <row r="101">
      <c r="A101" s="4" t="inlineStr">
        <is>
          <t xml:space="preserve">Documentos</t>
        </is>
      </c>
      <c r="B101" s="4" t="inlineStr">
        <is>
          <t xml:space="preserve">Versao</t>
        </is>
      </c>
      <c r="C101" s="3" t="inlineStr">
        <is>
          <t xml:space="preserve">Campo de preenchimento livre ou calculado — ver aba anterior.</t>
        </is>
      </c>
      <c r="D101" s="3">
        <v>2</v>
      </c>
    </row>
    <row r="102">
      <c r="A102" s="7" t="inlineStr">
        <is>
          <t xml:space="preserve">Documentos</t>
        </is>
      </c>
      <c r="B102" s="7" t="inlineStr">
        <is>
          <t xml:space="preserve">Data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18/05/2026</t>
        </is>
      </c>
    </row>
    <row r="103">
      <c r="A103" s="4" t="inlineStr">
        <is>
          <t xml:space="preserve">Documentos</t>
        </is>
      </c>
      <c r="B103" s="4" t="inlineStr">
        <is>
          <t xml:space="preserve">Situacao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Vigente</t>
        </is>
      </c>
    </row>
    <row r="104">
      <c r="A104" s="7" t="inlineStr">
        <is>
          <t xml:space="preserve">Documentos</t>
        </is>
      </c>
      <c r="B104" s="7" t="inlineStr">
        <is>
          <t xml:space="preserve">Ato_Aprovacao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Resolução nº 812, de 18/05/2026 (Diretoria Executiva)</t>
        </is>
      </c>
    </row>
    <row r="105">
      <c r="A105" s="4" t="inlineStr">
        <is>
          <t xml:space="preserve">Documentos</t>
        </is>
      </c>
      <c r="B105" s="4" t="inlineStr">
        <is>
          <t xml:space="preserve">Link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https://exemplo.codevasf.gov.br/repositorio/pop-06-01.pdf</t>
        </is>
      </c>
    </row>
    <row r="106">
      <c r="A106" s="7" t="inlineStr">
        <is>
          <t xml:space="preserve">Documentos</t>
        </is>
      </c>
      <c r="B106" s="7" t="inlineStr">
        <is>
          <t xml:space="preserve">Observacoes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Publicado após validação do TO-BE.</t>
        </is>
      </c>
    </row>
    <row r="107">
      <c r="A107" s="4" t="inlineStr">
        <is>
          <t xml:space="preserve">Riscos</t>
        </is>
      </c>
      <c r="B107" s="4" t="inlineStr">
        <is>
          <t xml:space="preserve">ID</t>
        </is>
      </c>
      <c r="C107" s="3" t="inlineStr">
        <is>
          <t xml:space="preserve">Campo de preenchimento livre ou calculado — ver aba anterior.</t>
        </is>
      </c>
      <c r="D107" s="3" t="inlineStr">
        <is>
          <t xml:space="preserve">RIS-001</t>
        </is>
      </c>
    </row>
    <row r="108">
      <c r="A108" s="7" t="inlineStr">
        <is>
          <t xml:space="preserve">Riscos</t>
        </is>
      </c>
      <c r="B108" s="7" t="inlineStr">
        <is>
          <t xml:space="preserve">Vinculo_Nivel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Processo</t>
        </is>
      </c>
    </row>
    <row r="109">
      <c r="A109" s="4" t="inlineStr">
        <is>
          <t xml:space="preserve">Riscos</t>
        </is>
      </c>
      <c r="B109" s="4" t="inlineStr">
        <is>
          <t xml:space="preserve">Vinculo_Codigo</t>
        </is>
      </c>
      <c r="C109" s="3" t="inlineStr">
        <is>
          <t xml:space="preserve">Caminho completo do item vinculado (ex. "MS-01/PP-01" ou "MS-01/PP-01/SP-03"), ou o código isolado de um Macroprocesso (já único). Mais de um: separe com ; .</t>
        </is>
      </c>
      <c r="D109" s="3" t="inlineStr">
        <is>
          <t xml:space="preserve">MS-01/PP-01</t>
        </is>
      </c>
    </row>
    <row r="110">
      <c r="A110" s="7" t="inlineStr">
        <is>
          <t xml:space="preserve">Riscos</t>
        </is>
      </c>
      <c r="B110" s="7" t="inlineStr">
        <is>
          <t xml:space="preserve">Descricao_Risco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Estimativas de preço defasadas gerando sobrepreço ou licitação deserta.</t>
        </is>
      </c>
    </row>
    <row r="111">
      <c r="A111" s="4" t="inlineStr">
        <is>
          <t xml:space="preserve">Riscos</t>
        </is>
      </c>
      <c r="B111" s="4" t="inlineStr">
        <is>
          <t xml:space="preserve">Categoria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Operacional</t>
        </is>
      </c>
    </row>
    <row r="112">
      <c r="A112" s="7" t="inlineStr">
        <is>
          <t xml:space="preserve">Riscos</t>
        </is>
      </c>
      <c r="B112" s="7" t="inlineStr">
        <is>
          <t xml:space="preserve">Fatores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(sem exemplo)</t>
        </is>
      </c>
    </row>
    <row r="113">
      <c r="A113" s="4" t="inlineStr">
        <is>
          <t xml:space="preserve">Riscos</t>
        </is>
      </c>
      <c r="B113" s="4" t="inlineStr">
        <is>
          <t xml:space="preserve">Cronograma_Risco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(sem exemplo)</t>
        </is>
      </c>
    </row>
    <row r="114">
      <c r="A114" s="7" t="inlineStr">
        <is>
          <t xml:space="preserve">Riscos</t>
        </is>
      </c>
      <c r="B114" s="7" t="inlineStr">
        <is>
          <t xml:space="preserve">Data_Identificacao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05/01/2026</t>
        </is>
      </c>
    </row>
    <row r="115">
      <c r="A115" s="4" t="inlineStr">
        <is>
          <t xml:space="preserve">Riscos</t>
        </is>
      </c>
      <c r="B115" s="4" t="inlineStr">
        <is>
          <t xml:space="preserve">Probabilidade_1a5</t>
        </is>
      </c>
      <c r="C115" s="3" t="inlineStr">
        <is>
          <t xml:space="preserve">Campo de preenchimento livre ou calculado — ver aba anterior.</t>
        </is>
      </c>
      <c r="D115" s="3">
        <v>4</v>
      </c>
    </row>
    <row r="116">
      <c r="A116" s="7" t="inlineStr">
        <is>
          <t xml:space="preserve">Riscos</t>
        </is>
      </c>
      <c r="B116" s="7" t="inlineStr">
        <is>
          <t xml:space="preserve">Impacto_1a5</t>
        </is>
      </c>
      <c r="C116" s="6" t="inlineStr">
        <is>
          <t xml:space="preserve">Campo de preenchimento livre ou calculado — ver aba anterior.</t>
        </is>
      </c>
      <c r="D116" s="6">
        <v>4</v>
      </c>
    </row>
    <row r="117">
      <c r="A117" s="4" t="inlineStr">
        <is>
          <t xml:space="preserve">Riscos</t>
        </is>
      </c>
      <c r="B117" s="4" t="inlineStr">
        <is>
          <t xml:space="preserve">Nivel_PxI</t>
        </is>
      </c>
      <c r="C117" s="3" t="inlineStr">
        <is>
          <t xml:space="preserve">Campo de preenchimento livre ou calculado — ver aba anterior.</t>
        </is>
      </c>
      <c r="D117" s="3">
        <v>16</v>
      </c>
    </row>
    <row r="118">
      <c r="A118" s="7" t="inlineStr">
        <is>
          <t xml:space="preserve">Riscos</t>
        </is>
      </c>
      <c r="B118" s="7" t="inlineStr">
        <is>
          <t xml:space="preserve">Classificacao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Alto</t>
        </is>
      </c>
    </row>
    <row r="119">
      <c r="A119" s="4" t="inlineStr">
        <is>
          <t xml:space="preserve">Riscos</t>
        </is>
      </c>
      <c r="B119" s="4" t="inlineStr">
        <is>
          <t xml:space="preserve">Resposta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Mitigar</t>
        </is>
      </c>
    </row>
    <row r="120">
      <c r="A120" s="7" t="inlineStr">
        <is>
          <t xml:space="preserve">Riscos</t>
        </is>
      </c>
      <c r="B120" s="7" t="inlineStr">
        <is>
          <t xml:space="preserve">Controles_Tratamento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Roteiro de pesquisa com múltiplas fontes (Painel de Preços, PNCP) e revisão pela UNP.</t>
        </is>
      </c>
    </row>
    <row r="121">
      <c r="A121" s="4" t="inlineStr">
        <is>
          <t xml:space="preserve">Riscos</t>
        </is>
      </c>
      <c r="B121" s="4" t="inlineStr">
        <is>
          <t xml:space="preserve">Prazo_Tratamento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30/09/2026</t>
        </is>
      </c>
    </row>
    <row r="122">
      <c r="A122" s="7" t="inlineStr">
        <is>
          <t xml:space="preserve">Riscos</t>
        </is>
      </c>
      <c r="B122" s="7" t="inlineStr">
        <is>
          <t xml:space="preserve">Responsavel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Ricardo Nogueira</t>
        </is>
      </c>
    </row>
    <row r="123">
      <c r="A123" s="4" t="inlineStr">
        <is>
          <t xml:space="preserve">Riscos</t>
        </is>
      </c>
      <c r="B123" s="4" t="inlineStr">
        <is>
          <t xml:space="preserve">Status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Em tratamento</t>
        </is>
      </c>
    </row>
    <row r="124">
      <c r="A124" s="7" t="inlineStr">
        <is>
          <t xml:space="preserve">Metricas</t>
        </is>
      </c>
      <c r="B124" s="7" t="inlineStr">
        <is>
          <t xml:space="preserve">ID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IND-001</t>
        </is>
      </c>
    </row>
    <row r="125">
      <c r="A125" s="4" t="inlineStr">
        <is>
          <t xml:space="preserve">Metricas</t>
        </is>
      </c>
      <c r="B125" s="4" t="inlineStr">
        <is>
          <t xml:space="preserve">Nome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Tempo médio do ciclo de contratação</t>
        </is>
      </c>
    </row>
    <row r="126">
      <c r="A126" s="7" t="inlineStr">
        <is>
          <t xml:space="preserve">Metricas</t>
        </is>
      </c>
      <c r="B126" s="7" t="inlineStr">
        <is>
          <t xml:space="preserve">Vinculo_Nivel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Macroprocesso</t>
        </is>
      </c>
    </row>
    <row r="127">
      <c r="A127" s="4" t="inlineStr">
        <is>
          <t xml:space="preserve">Metricas</t>
        </is>
      </c>
      <c r="B127" s="4" t="inlineStr">
        <is>
          <t xml:space="preserve">Vinculo_Codigo</t>
        </is>
      </c>
      <c r="C127" s="3" t="inlineStr">
        <is>
          <t xml:space="preserve">Caminho completo do item vinculado (ex. "MS-01/PP-01" ou "MS-01/PP-01/SP-03"), ou o código isolado de um Macroprocesso (já único). Mais de um: separe com ; .</t>
        </is>
      </c>
      <c r="D127" s="3" t="inlineStr">
        <is>
          <t xml:space="preserve">MS-01</t>
        </is>
      </c>
    </row>
    <row r="128">
      <c r="A128" s="7" t="inlineStr">
        <is>
          <t xml:space="preserve">Metricas</t>
        </is>
      </c>
      <c r="B128" s="7" t="inlineStr">
        <is>
          <t xml:space="preserve">Categoria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Processo</t>
        </is>
      </c>
    </row>
    <row r="129">
      <c r="A129" s="4" t="inlineStr">
        <is>
          <t xml:space="preserve">Metricas</t>
        </is>
      </c>
      <c r="B129" s="4" t="inlineStr">
        <is>
          <t xml:space="preserve">Descricao_Formula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Média de dias entre o DFD e a homologação do certame.</t>
        </is>
      </c>
    </row>
    <row r="130">
      <c r="A130" s="7" t="inlineStr">
        <is>
          <t xml:space="preserve">Metricas</t>
        </is>
      </c>
      <c r="B130" s="7" t="inlineStr">
        <is>
          <t xml:space="preserve">Criterios_Desempenho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(sem exemplo)</t>
        </is>
      </c>
    </row>
    <row r="131">
      <c r="A131" s="4" t="inlineStr">
        <is>
          <t xml:space="preserve">Metricas</t>
        </is>
      </c>
      <c r="B131" s="4" t="inlineStr">
        <is>
          <t xml:space="preserve">Unidade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dias</t>
        </is>
      </c>
    </row>
    <row r="132">
      <c r="A132" s="7" t="inlineStr">
        <is>
          <t xml:space="preserve">Metricas</t>
        </is>
      </c>
      <c r="B132" s="7" t="inlineStr">
        <is>
          <t xml:space="preserve">Polaridade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Menor melhor</t>
        </is>
      </c>
    </row>
    <row r="133">
      <c r="A133" s="4" t="inlineStr">
        <is>
          <t xml:space="preserve">Metricas</t>
        </is>
      </c>
      <c r="B133" s="4" t="inlineStr">
        <is>
          <t xml:space="preserve">Meta</t>
        </is>
      </c>
      <c r="C133" s="3" t="inlineStr">
        <is>
          <t xml:space="preserve">Campo de preenchimento livre ou calculado — ver aba anterior.</t>
        </is>
      </c>
      <c r="D133" s="3">
        <v>120</v>
      </c>
    </row>
    <row r="134">
      <c r="A134" s="7" t="inlineStr">
        <is>
          <t xml:space="preserve">Metricas</t>
        </is>
      </c>
      <c r="B134" s="7" t="inlineStr">
        <is>
          <t xml:space="preserve">Periodicidade</t>
        </is>
      </c>
      <c r="C134" s="6" t="inlineStr">
        <is>
          <t xml:space="preserve">Campo de preenchimento livre ou calculado — ver aba anterior.</t>
        </is>
      </c>
      <c r="D134" s="6" t="inlineStr">
        <is>
          <t xml:space="preserve">Trimestral</t>
        </is>
      </c>
    </row>
    <row r="135">
      <c r="A135" s="4" t="inlineStr">
        <is>
          <t xml:space="preserve">Metricas</t>
        </is>
      </c>
      <c r="B135" s="4" t="inlineStr">
        <is>
          <t xml:space="preserve">Fonte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Compras.gov.br</t>
        </is>
      </c>
    </row>
    <row r="136">
      <c r="A136" s="7" t="inlineStr">
        <is>
          <t xml:space="preserve">Metricas</t>
        </is>
      </c>
      <c r="B136" s="7" t="inlineStr">
        <is>
          <t xml:space="preserve">Observacoes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Acordado com as áreas demandantes em 2026.</t>
        </is>
      </c>
    </row>
    <row r="137">
      <c r="A137" s="4" t="inlineStr">
        <is>
          <t xml:space="preserve">Medicoes</t>
        </is>
      </c>
      <c r="B137" s="4" t="inlineStr">
        <is>
          <t xml:space="preserve">ID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MED-001</t>
        </is>
      </c>
    </row>
    <row r="138">
      <c r="A138" s="7" t="inlineStr">
        <is>
          <t xml:space="preserve">Medicoes</t>
        </is>
      </c>
      <c r="B138" s="7" t="inlineStr">
        <is>
          <t xml:space="preserve">Metrica_ID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IND-001</t>
        </is>
      </c>
    </row>
    <row r="139">
      <c r="A139" s="4" t="inlineStr">
        <is>
          <t xml:space="preserve">Medicoes</t>
        </is>
      </c>
      <c r="B139" s="4" t="inlineStr">
        <is>
          <t xml:space="preserve">Data_Medicao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30/06/2026</t>
        </is>
      </c>
    </row>
    <row r="140">
      <c r="A140" s="7" t="inlineStr">
        <is>
          <t xml:space="preserve">Medicoes</t>
        </is>
      </c>
      <c r="B140" s="7" t="inlineStr">
        <is>
          <t xml:space="preserve">Valor</t>
        </is>
      </c>
      <c r="C140" s="6" t="inlineStr">
        <is>
          <t xml:space="preserve">Campo de preenchimento livre ou calculado — ver aba anterior.</t>
        </is>
      </c>
      <c r="D140" s="6">
        <v>148</v>
      </c>
    </row>
    <row r="141">
      <c r="A141" s="4" t="inlineStr">
        <is>
          <t xml:space="preserve">Medicoes</t>
        </is>
      </c>
      <c r="B141" s="4" t="inlineStr">
        <is>
          <t xml:space="preserve">Observacao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Primeira apuração do trimestre.</t>
        </is>
      </c>
    </row>
    <row r="142">
      <c r="A142" s="7" t="inlineStr">
        <is>
          <t xml:space="preserve">Papeis</t>
        </is>
      </c>
      <c r="B142" s="7" t="inlineStr">
        <is>
          <t xml:space="preserve">ID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PAP-001</t>
        </is>
      </c>
    </row>
    <row r="143">
      <c r="A143" s="4" t="inlineStr">
        <is>
          <t xml:space="preserve">Papeis</t>
        </is>
      </c>
      <c r="B143" s="4" t="inlineStr">
        <is>
          <t xml:space="preserve">Vinculo_Nivel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Processo</t>
        </is>
      </c>
    </row>
    <row r="144">
      <c r="A144" s="7" t="inlineStr">
        <is>
          <t xml:space="preserve">Papeis</t>
        </is>
      </c>
      <c r="B144" s="7" t="inlineStr">
        <is>
          <t xml:space="preserve">Vinculo_Codigo</t>
        </is>
      </c>
      <c r="C144" s="6" t="inlineStr">
        <is>
          <t xml:space="preserve">Caminho completo do item vinculado (ex. "MS-01/PP-01" ou "MS-01/PP-01/SP-03"), ou o código isolado de um Macroprocesso (já único). Mais de um: separe com ; .</t>
        </is>
      </c>
      <c r="D144" s="6" t="inlineStr">
        <is>
          <t xml:space="preserve">MS-01/PP-01</t>
        </is>
      </c>
    </row>
    <row r="145">
      <c r="A145" s="4" t="inlineStr">
        <is>
          <t xml:space="preserve">Papeis</t>
        </is>
      </c>
      <c r="B145" s="4" t="inlineStr">
        <is>
          <t xml:space="preserve">Papel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Gestor do processo</t>
        </is>
      </c>
    </row>
    <row r="146">
      <c r="A146" s="7" t="inlineStr">
        <is>
          <t xml:space="preserve">Papeis</t>
        </is>
      </c>
      <c r="B146" s="7" t="inlineStr">
        <is>
          <t xml:space="preserve">Envolvimento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Aprova (A)</t>
        </is>
      </c>
    </row>
    <row r="147">
      <c r="A147" s="4" t="inlineStr">
        <is>
          <t xml:space="preserve">Papeis</t>
        </is>
      </c>
      <c r="B147" s="4" t="inlineStr">
        <is>
          <t xml:space="preserve">Unidade_Pessoa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AE/GAG</t>
        </is>
      </c>
    </row>
    <row r="148">
      <c r="A148" s="7" t="inlineStr">
        <is>
          <t xml:space="preserve">Regras</t>
        </is>
      </c>
      <c r="B148" s="7" t="inlineStr">
        <is>
          <t xml:space="preserve">ID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REG-001</t>
        </is>
      </c>
    </row>
    <row r="149">
      <c r="A149" s="4" t="inlineStr">
        <is>
          <t xml:space="preserve">Regras</t>
        </is>
      </c>
      <c r="B149" s="4" t="inlineStr">
        <is>
          <t xml:space="preserve">Nome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Alçada de aprovação por valor</t>
        </is>
      </c>
    </row>
    <row r="150">
      <c r="A150" s="7" t="inlineStr">
        <is>
          <t xml:space="preserve">Regras</t>
        </is>
      </c>
      <c r="B150" s="7" t="inlineStr">
        <is>
          <t xml:space="preserve">Vinculo_Nivel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Macroprocesso</t>
        </is>
      </c>
    </row>
    <row r="151">
      <c r="A151" s="4" t="inlineStr">
        <is>
          <t xml:space="preserve">Regras</t>
        </is>
      </c>
      <c r="B151" s="4" t="inlineStr">
        <is>
          <t xml:space="preserve">Vinculo_Codigo</t>
        </is>
      </c>
      <c r="C151" s="3" t="inlineStr">
        <is>
          <t xml:space="preserve">Caminho completo do item vinculado (ex. "MS-01/PP-01" ou "MS-01/PP-01/SP-03"), ou o código isolado de um Macroprocesso (já único). Mais de um: separe com ; .</t>
        </is>
      </c>
      <c r="D151" s="3" t="inlineStr">
        <is>
          <t xml:space="preserve">MS-01</t>
        </is>
      </c>
    </row>
    <row r="152">
      <c r="A152" s="7" t="inlineStr">
        <is>
          <t xml:space="preserve">Regras</t>
        </is>
      </c>
      <c r="B152" s="7" t="inlineStr">
        <is>
          <t xml:space="preserve">Tipo_Regra</t>
        </is>
      </c>
      <c r="C152" s="6" t="inlineStr">
        <is>
          <t xml:space="preserve">Campo de preenchimento livre ou calculado — ver aba anterior.</t>
        </is>
      </c>
      <c r="D152" s="6" t="inlineStr">
        <is>
          <t xml:space="preserve">Operação</t>
        </is>
      </c>
    </row>
    <row r="153">
      <c r="A153" s="4" t="inlineStr">
        <is>
          <t xml:space="preserve">Regras</t>
        </is>
      </c>
      <c r="B153" s="4" t="inlineStr">
        <is>
          <t xml:space="preserve">Descricao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Contratações acima de R$ 50.000 exigem aprovação da autoridade competente.</t>
        </is>
      </c>
    </row>
    <row r="154">
      <c r="A154" s="7" t="inlineStr">
        <is>
          <t xml:space="preserve">Regras</t>
        </is>
      </c>
      <c r="B154" s="7" t="inlineStr">
        <is>
          <t xml:space="preserve">Fonte_Normativa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Lei nº 14.133/2021</t>
        </is>
      </c>
    </row>
    <row r="155">
      <c r="A155" s="4" t="inlineStr">
        <is>
          <t xml:space="preserve">Cultura_Processos</t>
        </is>
      </c>
      <c r="B155" s="4" t="inlineStr">
        <is>
          <t xml:space="preserve">ID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CULT-01</t>
        </is>
      </c>
    </row>
    <row r="156">
      <c r="A156" s="7" t="inlineStr">
        <is>
          <t xml:space="preserve">Cultura_Processos</t>
        </is>
      </c>
      <c r="B156" s="7" t="inlineStr">
        <is>
          <t xml:space="preserve">Ordem</t>
        </is>
      </c>
      <c r="C156" s="6" t="inlineStr">
        <is>
          <t xml:space="preserve">Campo de preenchimento livre ou calculado — ver aba anterior.</t>
        </is>
      </c>
      <c r="D156" s="6">
        <v>1</v>
      </c>
    </row>
    <row r="157">
      <c r="A157" s="4" t="inlineStr">
        <is>
          <t xml:space="preserve">Cultura_Processos</t>
        </is>
      </c>
      <c r="B157" s="4" t="inlineStr">
        <is>
          <t xml:space="preserve">Caracteristica</t>
        </is>
      </c>
      <c r="C157" s="3" t="inlineStr">
        <is>
          <t xml:space="preserve">Campo de preenchimento livre ou calculado — ver aba anterior.</t>
        </is>
      </c>
      <c r="D157" s="3" t="inlineStr">
        <is>
          <t xml:space="preserve">Acordo geral sobre o que são os processos de negócio</t>
        </is>
      </c>
    </row>
    <row r="158">
      <c r="A158" s="7" t="inlineStr">
        <is>
          <t xml:space="preserve">Cultura_Processos</t>
        </is>
      </c>
      <c r="B158" s="7" t="inlineStr">
        <is>
          <t xml:space="preserve">Situacao</t>
        </is>
      </c>
      <c r="C158" s="6" t="inlineStr">
        <is>
          <t xml:space="preserve">Campo de preenchimento livre ou calculado — ver aba anterior.</t>
        </is>
      </c>
      <c r="D158" s="6" t="inlineStr">
        <is>
          <t xml:space="preserve">Não avaliado</t>
        </is>
      </c>
    </row>
    <row r="159">
      <c r="A159" s="4" t="inlineStr">
        <is>
          <t xml:space="preserve">Cultura_Processos</t>
        </is>
      </c>
      <c r="B159" s="4" t="inlineStr">
        <is>
          <t xml:space="preserve">Observacao</t>
        </is>
      </c>
      <c r="C159" s="3" t="inlineStr">
        <is>
          <t xml:space="preserve">Campo de preenchimento livre ou calculado — ver aba anterior.</t>
        </is>
      </c>
      <c r="D159" s="3" t="inlineStr">
        <is>
          <t xml:space="preserve">(sem exemplo)</t>
        </is>
      </c>
    </row>
    <row r="160">
      <c r="A160" s="7" t="inlineStr">
        <is>
          <t xml:space="preserve">Iniciativas</t>
        </is>
      </c>
      <c r="B160" s="7" t="inlineStr">
        <is>
          <t xml:space="preserve">ID</t>
        </is>
      </c>
      <c r="C160" s="6" t="inlineStr">
        <is>
          <t xml:space="preserve">Campo de preenchimento livre ou calculado — ver aba anterior.</t>
        </is>
      </c>
      <c r="D160" s="6" t="inlineStr">
        <is>
          <t xml:space="preserve">INI-001</t>
        </is>
      </c>
    </row>
    <row r="161">
      <c r="A161" s="4" t="inlineStr">
        <is>
          <t xml:space="preserve">Iniciativas</t>
        </is>
      </c>
      <c r="B161" s="4" t="inlineStr">
        <is>
          <t xml:space="preserve">Data</t>
        </is>
      </c>
      <c r="C161" s="3" t="inlineStr">
        <is>
          <t xml:space="preserve">Campo de preenchimento livre ou calculado — ver aba anterior.</t>
        </is>
      </c>
      <c r="D161" s="3" t="inlineStr">
        <is>
          <t xml:space="preserve">20/05/2026</t>
        </is>
      </c>
    </row>
    <row r="162">
      <c r="A162" s="7" t="inlineStr">
        <is>
          <t xml:space="preserve">Iniciativas</t>
        </is>
      </c>
      <c r="B162" s="7" t="inlineStr">
        <is>
          <t xml:space="preserve">Titulo</t>
        </is>
      </c>
      <c r="C162" s="6" t="inlineStr">
        <is>
          <t xml:space="preserve">Campo de preenchimento livre ou calculado — ver aba anterior.</t>
        </is>
      </c>
      <c r="D162" s="6" t="inlineStr">
        <is>
          <t xml:space="preserve">Automação da conferência de preços na pesquisa (PP-01)</t>
        </is>
      </c>
    </row>
    <row r="163">
      <c r="A163" s="4" t="inlineStr">
        <is>
          <t xml:space="preserve">Iniciativas</t>
        </is>
      </c>
      <c r="B163" s="4" t="inlineStr">
        <is>
          <t xml:space="preserve">Tipo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Automação</t>
        </is>
      </c>
    </row>
    <row r="164">
      <c r="A164" s="7" t="inlineStr">
        <is>
          <t xml:space="preserve">Iniciativas</t>
        </is>
      </c>
      <c r="B164" s="7" t="inlineStr">
        <is>
          <t xml:space="preserve">Descricao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 equipe de TI usou o PRO e o roteiro de pesquisa de preços publicados no repositório (DOC-007) p...</t>
        </is>
      </c>
    </row>
    <row r="165">
      <c r="A165" s="4" t="inlineStr">
        <is>
          <t xml:space="preserve">Iniciativas</t>
        </is>
      </c>
      <c r="B165" s="4" t="inlineStr">
        <is>
          <t xml:space="preserve">Processos_Relacionados</t>
        </is>
      </c>
      <c r="C165" s="3" t="inlineStr">
        <is>
          <t xml:space="preserve">Caminho completo dos processos relacionados, separados por ; quando houver mais de um.</t>
        </is>
      </c>
      <c r="D165" s="3" t="inlineStr">
        <is>
          <t xml:space="preserve">MS-01/PP-01</t>
        </is>
      </c>
    </row>
    <row r="166">
      <c r="A166" s="7" t="inlineStr">
        <is>
          <t xml:space="preserve">Competencias</t>
        </is>
      </c>
      <c r="B166" s="7" t="inlineStr">
        <is>
          <t xml:space="preserve">Ordem</t>
        </is>
      </c>
      <c r="C166" s="6" t="inlineStr">
        <is>
          <t xml:space="preserve">Campo de preenchimento livre ou calculado — ver aba anterior.</t>
        </is>
      </c>
      <c r="D166" s="6">
        <v>1</v>
      </c>
    </row>
    <row r="167">
      <c r="A167" s="4" t="inlineStr">
        <is>
          <t xml:space="preserve">Competencias</t>
        </is>
      </c>
      <c r="B167" s="4" t="inlineStr">
        <is>
          <t xml:space="preserve">Instancia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Conselho de Administração</t>
        </is>
      </c>
    </row>
    <row r="168">
      <c r="A168" s="7" t="inlineStr">
        <is>
          <t xml:space="preserve">Competencias</t>
        </is>
      </c>
      <c r="B168" s="7" t="inlineStr">
        <is>
          <t xml:space="preserve">Item_Normativo</t>
        </is>
      </c>
      <c r="C168" s="6" t="inlineStr">
        <is>
          <t xml:space="preserve">Campo de preenchimento livre ou calculado — ver aba anterior.</t>
        </is>
      </c>
      <c r="D168" s="6">
        <v>3.1</v>
      </c>
    </row>
    <row r="169">
      <c r="A169" s="4" t="inlineStr">
        <is>
          <t xml:space="preserve">Competencias</t>
        </is>
      </c>
      <c r="B169" s="4" t="inlineStr">
        <is>
          <t xml:space="preserve">Atribuicoes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Garantir o apoio institucional para a gestão de processos.</t>
        </is>
      </c>
    </row>
    <row r="170">
      <c r="A170" s="7" t="inlineStr">
        <is>
          <t xml:space="preserve">Jornada</t>
        </is>
      </c>
      <c r="B170" s="7" t="inlineStr">
        <is>
          <t xml:space="preserve">Ordem</t>
        </is>
      </c>
      <c r="C170" s="6" t="inlineStr">
        <is>
          <t xml:space="preserve">Campo de preenchimento livre ou calculado — ver aba anterior.</t>
        </is>
      </c>
      <c r="D170" s="6">
        <v>1</v>
      </c>
    </row>
    <row r="171">
      <c r="A171" s="4" t="inlineStr">
        <is>
          <t xml:space="preserve">Jornada</t>
        </is>
      </c>
      <c r="B171" s="4" t="inlineStr">
        <is>
          <t xml:space="preserve">Fase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Descobrir</t>
        </is>
      </c>
    </row>
    <row r="172">
      <c r="A172" s="7" t="inlineStr">
        <is>
          <t xml:space="preserve">Jornada</t>
        </is>
      </c>
      <c r="B172" s="7" t="inlineStr">
        <is>
          <t xml:space="preserve">Nome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Escuta e contextualização</t>
        </is>
      </c>
    </row>
    <row r="173">
      <c r="A173" s="4" t="inlineStr">
        <is>
          <t xml:space="preserve">Jornada</t>
        </is>
      </c>
      <c r="B173" s="4" t="inlineStr">
        <is>
          <t xml:space="preserve">Duracao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1–2 semanas</t>
        </is>
      </c>
    </row>
    <row r="174">
      <c r="A174" s="7" t="inlineStr">
        <is>
          <t xml:space="preserve">Jornada</t>
        </is>
      </c>
      <c r="B174" s="7" t="inlineStr">
        <is>
          <t xml:space="preserve">Objetivo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Compreender a dor real, o contexto e as expectativas de quem executa e de quem se beneficia do pr...</t>
        </is>
      </c>
    </row>
    <row r="175">
      <c r="A175" s="4" t="inlineStr">
        <is>
          <t xml:space="preserve">Jornada</t>
        </is>
      </c>
      <c r="B175" s="4" t="inlineStr">
        <is>
          <t xml:space="preserve">Atividades_Chave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Reunião de sensibilização com a unidade demandante; Entrevistas semiestruturadas com executores e...</t>
        </is>
      </c>
    </row>
    <row r="176">
      <c r="A176" s="7" t="inlineStr">
        <is>
          <t xml:space="preserve">Jornada</t>
        </is>
      </c>
      <c r="B176" s="7" t="inlineStr">
        <is>
          <t xml:space="preserve">Quem_Faz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NUGEP; Interlocutor da área; Dono do processo</t>
        </is>
      </c>
    </row>
    <row r="177">
      <c r="A177" s="4" t="inlineStr">
        <is>
          <t xml:space="preserve">Jornada</t>
        </is>
      </c>
      <c r="B177" s="4" t="inlineStr">
        <is>
          <t xml:space="preserve">Entregaveis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Ata de reunião; Formulário preenchido; Mapa de partes interessadas</t>
        </is>
      </c>
    </row>
    <row r="178">
      <c r="A178" s="7" t="inlineStr">
        <is>
          <t xml:space="preserve">Jornada</t>
        </is>
      </c>
      <c r="B178" s="7" t="inlineStr">
        <is>
          <t xml:space="preserve">Sentimento_Usuario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Curiosidade e ansiedade: “por que estão olhando meu trabalho?”</t>
        </is>
      </c>
    </row>
    <row r="179">
      <c r="A179" s="4" t="inlineStr">
        <is>
          <t xml:space="preserve">Repositorio</t>
        </is>
      </c>
      <c r="B179" s="4" t="inlineStr">
        <is>
          <t xml:space="preserve">ID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REP-001</t>
        </is>
      </c>
    </row>
    <row r="180">
      <c r="A180" s="7" t="inlineStr">
        <is>
          <t xml:space="preserve">Repositorio</t>
        </is>
      </c>
      <c r="B180" s="7" t="inlineStr">
        <is>
          <t xml:space="preserve">Categoria</t>
        </is>
      </c>
      <c r="C180" s="6" t="inlineStr">
        <is>
          <t xml:space="preserve">Campo de preenchimento livre ou calculado — ver aba anterior.</t>
        </is>
      </c>
      <c r="D180" s="6" t="inlineStr">
        <is>
          <t xml:space="preserve">Documento oficial</t>
        </is>
      </c>
    </row>
    <row r="181">
      <c r="A181" s="4" t="inlineStr">
        <is>
          <t xml:space="preserve">Repositorio</t>
        </is>
      </c>
      <c r="B181" s="4" t="inlineStr">
        <is>
          <t xml:space="preserve">Fase_Ciclo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Desenho</t>
        </is>
      </c>
    </row>
    <row r="182">
      <c r="A182" s="7" t="inlineStr">
        <is>
          <t xml:space="preserve">Repositorio</t>
        </is>
      </c>
      <c r="B182" s="7" t="inlineStr">
        <is>
          <t xml:space="preserve">Titulo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Metodologia de Gerenciamento de Processos da Codevasf</t>
        </is>
      </c>
    </row>
    <row r="183">
      <c r="A183" s="4" t="inlineStr">
        <is>
          <t xml:space="preserve">Repositorio</t>
        </is>
      </c>
      <c r="B183" s="4" t="inlineStr">
        <is>
          <t xml:space="preserve">Descricao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Documento normativo que institui a metodologia corporativa de gerenciamento de processos (disponí...</t>
        </is>
      </c>
    </row>
    <row r="184">
      <c r="A184" s="7" t="inlineStr">
        <is>
          <t xml:space="preserve">Repositorio</t>
        </is>
      </c>
      <c r="B184" s="7" t="inlineStr">
        <is>
          <t xml:space="preserve">Fonte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Codevasf</t>
        </is>
      </c>
    </row>
    <row r="185">
      <c r="A185" s="4" t="inlineStr">
        <is>
          <t xml:space="preserve">Repositorio</t>
        </is>
      </c>
      <c r="B185" s="4" t="inlineStr">
        <is>
          <t xml:space="preserve">Link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https://intraplone.codevasf.gov.br/documentos_normativos_referencia/governanca-e-gestao/copy_of_p...</t>
        </is>
      </c>
    </row>
    <row r="186">
      <c r="A186" s="7" t="inlineStr">
        <is>
          <t xml:space="preserve">Repositorio</t>
        </is>
      </c>
      <c r="B186" s="7" t="inlineStr">
        <is>
          <t xml:space="preserve">Ordem</t>
        </is>
      </c>
      <c r="C186" s="6" t="inlineStr">
        <is>
          <t xml:space="preserve">Campo de preenchimento livre ou calculado — ver aba anterior.</t>
        </is>
      </c>
      <c r="D186" s="6">
        <v>1</v>
      </c>
    </row>
    <row r="187">
      <c r="A187" s="4" t="inlineStr">
        <is>
          <t xml:space="preserve">NUGEP</t>
        </is>
      </c>
      <c r="B187" s="4" t="inlineStr">
        <is>
          <t xml:space="preserve">Ordem</t>
        </is>
      </c>
      <c r="C187" s="3" t="inlineStr">
        <is>
          <t xml:space="preserve">Campo de preenchimento livre ou calculado — ver aba anterior.</t>
        </is>
      </c>
      <c r="D187" s="3">
        <v>1</v>
      </c>
    </row>
    <row r="188">
      <c r="A188" s="7" t="inlineStr">
        <is>
          <t xml:space="preserve">NUGEP</t>
        </is>
      </c>
      <c r="B188" s="7" t="inlineStr">
        <is>
          <t xml:space="preserve">Nome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Ricardo Nunes Vasconcelos</t>
        </is>
      </c>
    </row>
    <row r="189">
      <c r="A189" s="4" t="inlineStr">
        <is>
          <t xml:space="preserve">NUGEP</t>
        </is>
      </c>
      <c r="B189" s="4" t="inlineStr">
        <is>
          <t xml:space="preserve">Papel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Gerente-Executivo da Área de Gestão Estratégica</t>
        </is>
      </c>
    </row>
    <row r="190">
      <c r="A190" s="7" t="inlineStr">
        <is>
          <t xml:space="preserve">NUGEP</t>
        </is>
      </c>
      <c r="B190" s="7" t="inlineStr">
        <is>
          <t xml:space="preserve">Unidade_Sigla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AE</t>
        </is>
      </c>
    </row>
    <row r="191">
      <c r="A191" s="4" t="inlineStr">
        <is>
          <t xml:space="preserve">NUGEP</t>
        </is>
      </c>
      <c r="B191" s="4" t="inlineStr">
        <is>
          <t xml:space="preserve">Unidade_Nome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Área de Gestão Estratégica</t>
        </is>
      </c>
    </row>
    <row r="192">
      <c r="A192" s="7" t="inlineStr">
        <is>
          <t xml:space="preserve">NUGEP</t>
        </is>
      </c>
      <c r="B192" s="7" t="inlineStr">
        <is>
          <t xml:space="preserve">Email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ricardo.vasconcelos@codevasf.gov.br</t>
        </is>
      </c>
    </row>
    <row r="193">
      <c r="A193" s="4" t="inlineStr">
        <is>
          <t xml:space="preserve">NUGEP</t>
        </is>
      </c>
      <c r="B193" s="4" t="inlineStr">
        <is>
          <t xml:space="preserve">Telefone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(61) 2028-4400</t>
        </is>
      </c>
    </row>
    <row r="194">
      <c r="A194" s="7" t="inlineStr">
        <is>
          <t xml:space="preserve">NUGEP</t>
        </is>
      </c>
      <c r="B194" s="7" t="inlineStr">
        <is>
          <t xml:space="preserve">Foto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https://randomuser.me/api/portraits/men/32.jpg</t>
        </is>
      </c>
    </row>
    <row r="195">
      <c r="A195" s="4" t="inlineStr">
        <is>
          <t xml:space="preserve">NUGEP</t>
        </is>
      </c>
      <c r="B195" s="4" t="inlineStr">
        <is>
          <t xml:space="preserve">Hierarquia</t>
        </is>
      </c>
      <c r="C195" s="3" t="inlineStr">
        <is>
          <t xml:space="preserve">Campo de preenchimento livre ou calculado — ver aba anterior.</t>
        </is>
      </c>
      <c r="D195" s="3">
        <v>1</v>
      </c>
    </row>
    <row r="196">
      <c r="A196" s="7" t="inlineStr">
        <is>
          <t xml:space="preserve">Glossario</t>
        </is>
      </c>
      <c r="B196" s="7" t="inlineStr">
        <is>
          <t xml:space="preserve">Termo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ABPMP</t>
        </is>
      </c>
    </row>
    <row r="197">
      <c r="A197" s="4" t="inlineStr">
        <is>
          <t xml:space="preserve">Glossario</t>
        </is>
      </c>
      <c r="B197" s="4" t="inlineStr">
        <is>
          <t xml:space="preserve">Definicao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Association of Business Process Management Professionals — entidade internacional sem fins lucrat...</t>
        </is>
      </c>
    </row>
    <row r="198">
      <c r="A198" s="7" t="inlineStr">
        <is>
          <t xml:space="preserve">Glossario</t>
        </is>
      </c>
      <c r="B198" s="7" t="inlineStr">
        <is>
          <t xml:space="preserve">Fonte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ABPMP</t>
        </is>
      </c>
    </row>
    <row r="199">
      <c r="A199" s="4" t="inlineStr">
        <is>
          <t xml:space="preserve">FAQ</t>
        </is>
      </c>
      <c r="B199" s="4" t="inlineStr">
        <is>
          <t xml:space="preserve">Ordem</t>
        </is>
      </c>
      <c r="C199" s="3" t="inlineStr">
        <is>
          <t xml:space="preserve">Campo de preenchimento livre ou calculado — ver aba anterior.</t>
        </is>
      </c>
      <c r="D199" s="3">
        <v>1</v>
      </c>
    </row>
    <row r="200">
      <c r="A200" s="7" t="inlineStr">
        <is>
          <t xml:space="preserve">FAQ</t>
        </is>
      </c>
      <c r="B200" s="7" t="inlineStr">
        <is>
          <t xml:space="preserve">Categoria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Conceitos básicos</t>
        </is>
      </c>
    </row>
    <row r="201">
      <c r="A201" s="4" t="inlineStr">
        <is>
          <t xml:space="preserve">FAQ</t>
        </is>
      </c>
      <c r="B201" s="4" t="inlineStr">
        <is>
          <t xml:space="preserve">Pergunta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O que é Gestão de Processos (BPM)?</t>
        </is>
      </c>
    </row>
    <row r="202">
      <c r="A202" s="7" t="inlineStr">
        <is>
          <t xml:space="preserve">FAQ</t>
        </is>
      </c>
      <c r="B202" s="7" t="inlineStr">
        <is>
          <t xml:space="preserve">Resposta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Business Process Management é uma disciplina gerencial integrada que combina técnicas, métodos e ...</t>
        </is>
      </c>
    </row>
    <row r="203">
      <c r="A203" s="4" t="inlineStr">
        <is>
          <t xml:space="preserve">Siglas</t>
        </is>
      </c>
      <c r="B203" s="4" t="inlineStr">
        <is>
          <t xml:space="preserve">Sigla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10ª/AJ</t>
        </is>
      </c>
    </row>
    <row r="204">
      <c r="A204" s="7" t="inlineStr">
        <is>
          <t xml:space="preserve">Siglas</t>
        </is>
      </c>
      <c r="B204" s="7" t="inlineStr">
        <is>
          <t xml:space="preserve">Nome</t>
        </is>
      </c>
      <c r="C204" s="6" t="inlineStr">
        <is>
          <t xml:space="preserve">Campo de preenchimento livre ou calculado — ver aba anterior.</t>
        </is>
      </c>
      <c r="D204" s="6" t="inlineStr">
        <is>
          <t xml:space="preserve">Assessoria Jurídica Regional</t>
        </is>
      </c>
    </row>
    <row r="205">
      <c r="A205" s="4" t="inlineStr">
        <is>
          <t xml:space="preserve">Parametros</t>
        </is>
      </c>
      <c r="B205" s="4" t="inlineStr">
        <is>
          <t xml:space="preserve">Chave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Contato_Unidade</t>
        </is>
      </c>
    </row>
    <row r="206">
      <c r="A206" s="7" t="inlineStr">
        <is>
          <t xml:space="preserve">Parametros</t>
        </is>
      </c>
      <c r="B206" s="7" t="inlineStr">
        <is>
          <t xml:space="preserve">Valor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Unidade de Gestão Normativa e de Processos (AE/GPE/UNP)</t>
        </is>
      </c>
    </row>
    <row r="207">
      <c r="A207" s="4" t="inlineStr">
        <is>
          <t xml:space="preserve">Listas</t>
        </is>
      </c>
      <c r="B207" s="4" t="inlineStr">
        <is>
          <t xml:space="preserve">Categoria_Macroprocesso</t>
        </is>
      </c>
      <c r="C207" s="3" t="inlineStr">
        <is>
          <t xml:space="preserve">Campo de preenchimento livre ou calculado — ver aba anterior.</t>
        </is>
      </c>
      <c r="D207" s="3" t="inlineStr">
        <is>
          <t xml:space="preserve">Gerencial</t>
        </is>
      </c>
    </row>
    <row r="208">
      <c r="A208" s="7" t="inlineStr">
        <is>
          <t xml:space="preserve">Listas</t>
        </is>
      </c>
      <c r="B208" s="7" t="inlineStr">
        <is>
          <t xml:space="preserve">Status_Mapeamento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Não iniciado</t>
        </is>
      </c>
    </row>
    <row r="209">
      <c r="A209" s="4" t="inlineStr">
        <is>
          <t xml:space="preserve">Listas</t>
        </is>
      </c>
      <c r="B209" s="4" t="inlineStr">
        <is>
          <t xml:space="preserve">Prioridade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Alta</t>
        </is>
      </c>
    </row>
    <row r="210">
      <c r="A210" s="7" t="inlineStr">
        <is>
          <t xml:space="preserve">Listas</t>
        </is>
      </c>
      <c r="B210" s="7" t="inlineStr">
        <is>
          <t xml:space="preserve">Complexidade</t>
        </is>
      </c>
      <c r="C210" s="6" t="inlineStr">
        <is>
          <t xml:space="preserve">Campo de preenchimento livre ou calculado — ver aba anterior.</t>
        </is>
      </c>
      <c r="D210" s="6" t="inlineStr">
        <is>
          <t xml:space="preserve">Alta</t>
        </is>
      </c>
    </row>
    <row r="211">
      <c r="A211" s="4" t="inlineStr">
        <is>
          <t xml:space="preserve">Listas</t>
        </is>
      </c>
      <c r="B211" s="4" t="inlineStr">
        <is>
          <t xml:space="preserve">Maturidade_Processo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Inicial</t>
        </is>
      </c>
    </row>
    <row r="212">
      <c r="A212" s="7" t="inlineStr">
        <is>
          <t xml:space="preserve">Listas</t>
        </is>
      </c>
      <c r="B212" s="7" t="inlineStr">
        <is>
          <t xml:space="preserve">Sim_Nao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Sim</t>
        </is>
      </c>
    </row>
    <row r="213">
      <c r="A213" s="4" t="inlineStr">
        <is>
          <t xml:space="preserve">Listas</t>
        </is>
      </c>
      <c r="B213" s="4" t="inlineStr">
        <is>
          <t xml:space="preserve">Status_Marco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Sim</t>
        </is>
      </c>
    </row>
    <row r="214">
      <c r="A214" s="7" t="inlineStr">
        <is>
          <t xml:space="preserve">Listas</t>
        </is>
      </c>
      <c r="B214" s="7" t="inlineStr">
        <is>
          <t xml:space="preserve">Nivel_Vinculo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Macroprocesso</t>
        </is>
      </c>
    </row>
    <row r="215">
      <c r="A215" s="4" t="inlineStr">
        <is>
          <t xml:space="preserve">Listas</t>
        </is>
      </c>
      <c r="B215" s="4" t="inlineStr">
        <is>
          <t xml:space="preserve">Tipo_Atividade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Agregação de Valor</t>
        </is>
      </c>
    </row>
    <row r="216">
      <c r="A216" s="7" t="inlineStr">
        <is>
          <t xml:space="preserve">Listas</t>
        </is>
      </c>
      <c r="B216" s="7" t="inlineStr">
        <is>
          <t xml:space="preserve">Tipo_Tarefa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Manual</t>
        </is>
      </c>
    </row>
    <row r="217">
      <c r="A217" s="4" t="inlineStr">
        <is>
          <t xml:space="preserve">Listas</t>
        </is>
      </c>
      <c r="B217" s="4" t="inlineStr">
        <is>
          <t xml:space="preserve">Tipo_Documento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Procedimento (PRO)</t>
        </is>
      </c>
    </row>
    <row r="218">
      <c r="A218" s="7" t="inlineStr">
        <is>
          <t xml:space="preserve">Listas</t>
        </is>
      </c>
      <c r="B218" s="7" t="inlineStr">
        <is>
          <t xml:space="preserve">Situacao_Documento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Vigente</t>
        </is>
      </c>
    </row>
    <row r="219">
      <c r="A219" s="4" t="inlineStr">
        <is>
          <t xml:space="preserve">Listas</t>
        </is>
      </c>
      <c r="B219" s="4" t="inlineStr">
        <is>
          <t xml:space="preserve">Categoria_Risco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Operacional</t>
        </is>
      </c>
    </row>
    <row r="220">
      <c r="A220" s="7" t="inlineStr">
        <is>
          <t xml:space="preserve">Listas</t>
        </is>
      </c>
      <c r="B220" s="7" t="inlineStr">
        <is>
          <t xml:space="preserve">Resposta_Risco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Mitigar</t>
        </is>
      </c>
    </row>
    <row r="221">
      <c r="A221" s="4" t="inlineStr">
        <is>
          <t xml:space="preserve">Listas</t>
        </is>
      </c>
      <c r="B221" s="4" t="inlineStr">
        <is>
          <t xml:space="preserve">Status_Risco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Aberto</t>
        </is>
      </c>
    </row>
    <row r="222">
      <c r="A222" s="7" t="inlineStr">
        <is>
          <t xml:space="preserve">Listas</t>
        </is>
      </c>
      <c r="B222" s="7" t="inlineStr">
        <is>
          <t xml:space="preserve">Envolvimento_RACI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Executa (R)</t>
        </is>
      </c>
    </row>
    <row r="223">
      <c r="A223" s="4" t="inlineStr">
        <is>
          <t xml:space="preserve">Listas</t>
        </is>
      </c>
      <c r="B223" s="4" t="inlineStr">
        <is>
          <t xml:space="preserve">Tipo_Regra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Operação</t>
        </is>
      </c>
    </row>
    <row r="224">
      <c r="A224" s="7" t="inlineStr">
        <is>
          <t xml:space="preserve">Listas</t>
        </is>
      </c>
      <c r="B224" s="7" t="inlineStr">
        <is>
          <t xml:space="preserve">Polaridade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Maior melhor</t>
        </is>
      </c>
    </row>
    <row r="225">
      <c r="A225" s="4" t="inlineStr">
        <is>
          <t xml:space="preserve">Listas</t>
        </is>
      </c>
      <c r="B225" s="4" t="inlineStr">
        <is>
          <t xml:space="preserve">Periodicidade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Mensal</t>
        </is>
      </c>
    </row>
    <row r="226">
      <c r="A226" s="7" t="inlineStr">
        <is>
          <t xml:space="preserve">Listas</t>
        </is>
      </c>
      <c r="B226" s="7" t="inlineStr">
        <is>
          <t xml:space="preserve">Situacao_Cultura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Sim</t>
        </is>
      </c>
    </row>
    <row r="227">
      <c r="A227" s="4" t="inlineStr">
        <is>
          <t xml:space="preserve">Listas</t>
        </is>
      </c>
      <c r="B227" s="4" t="inlineStr">
        <is>
          <t xml:space="preserve">Tipo_Iniciativa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Automação</t>
        </is>
      </c>
    </row>
    <row r="228">
      <c r="A228" s="7" t="inlineStr">
        <is>
          <t xml:space="preserve">Listas</t>
        </is>
      </c>
      <c r="B228" s="7" t="inlineStr">
        <is>
          <t xml:space="preserve">Categoria_Repositorio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Documento oficial</t>
        </is>
      </c>
    </row>
    <row r="229">
      <c r="A229" s="4" t="inlineStr">
        <is>
          <t xml:space="preserve">Listas</t>
        </is>
      </c>
      <c r="B229" s="4" t="inlineStr">
        <is>
          <t xml:space="preserve">Fase_Instrumento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Planejamento</t>
        </is>
      </c>
    </row>
    <row r="230">
      <c r="A230" s="7" t="inlineStr">
        <is>
          <t xml:space="preserve">Listas</t>
        </is>
      </c>
      <c r="B230" s="7" t="inlineStr">
        <is>
          <t xml:space="preserve">Categoria_FAQ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Conceitos básicos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N9"/>
  <sheetViews>
    <sheetView workbookViewId="0" zoomScale="90">
      <pane ySplit="1" topLeftCell="A2" activePane="bottomLeft" state="frozen"/>
      <selection pane="bottomLeft"/>
    </sheetView>
  </sheetViews>
  <cols>
    <col min="1" max="1" width="10" customWidth="1"/>
    <col min="2" max="2" width="34" customWidth="1"/>
    <col min="3" max="3" width="13" customWidth="1"/>
    <col min="4" max="4" width="7" customWidth="1"/>
    <col min="5" max="5" width="16" customWidth="1"/>
    <col min="6" max="6" width="46" customWidth="1"/>
    <col min="7" max="7" width="46" customWidth="1"/>
    <col min="8" max="8" width="40" customWidth="1"/>
    <col min="9" max="9" width="34" customWidth="1"/>
    <col min="10" max="10" width="34" customWidth="1"/>
    <col min="11" max="11" width="30" customWidth="1"/>
    <col min="12" max="12" width="30" customWidth="1"/>
    <col min="13" max="13" width="26" customWidth="1"/>
    <col min="14" max="14" width="14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Unidade_Organica_Responsavel</t>
        </is>
      </c>
      <c r="F1" s="1" t="inlineStr">
        <is>
          <t xml:space="preserve">Descricao</t>
        </is>
      </c>
      <c r="G1" s="1" t="inlineStr">
        <is>
          <t xml:space="preserve">Objetivo</t>
        </is>
      </c>
      <c r="H1" s="1" t="inlineStr">
        <is>
          <t xml:space="preserve">Entregas</t>
        </is>
      </c>
      <c r="I1" s="1" t="inlineStr">
        <is>
          <t xml:space="preserve">Beneficiarios</t>
        </is>
      </c>
      <c r="J1" s="1" t="inlineStr">
        <is>
          <t xml:space="preserve">Partes_Interessadas</t>
        </is>
      </c>
      <c r="K1" s="1" t="inlineStr">
        <is>
          <t xml:space="preserve">Sistemas</t>
        </is>
      </c>
      <c r="L1" s="1" t="inlineStr">
        <is>
          <t xml:space="preserve">Imagem_Bizagi</t>
        </is>
      </c>
      <c r="M1" s="1" t="inlineStr">
        <is>
          <t xml:space="preserve">Observacoes</t>
        </is>
      </c>
      <c r="N1" s="1" t="inlineStr">
        <is>
          <t xml:space="preserve">Trilha</t>
        </is>
      </c>
    </row>
    <row r="2">
      <c r="A2" s="7" t="inlineStr">
        <is>
          <t xml:space="preserve">MG-01</t>
        </is>
      </c>
      <c r="B2" s="6" t="inlineStr">
        <is>
          <t xml:space="preserve">Gestão Estratégica e Governança</t>
        </is>
      </c>
      <c r="C2" s="7" t="inlineStr">
        <is>
          <t xml:space="preserve">Gerencial</t>
        </is>
      </c>
      <c r="D2" s="7">
        <v>1</v>
      </c>
      <c r="E2" s="7" t="inlineStr">
        <is>
          <t xml:space="preserve">AE/GPE</t>
        </is>
      </c>
      <c r="F2" s="6" t="inlineStr">
        <is>
          <t xml:space="preserve">Formulação, desdobramento e monitoramento da estratégia corporativa, da governança e do desempenho institucional.</t>
        </is>
      </c>
      <c r="G2" s="6" t="inlineStr">
        <is>
          <t xml:space="preserve">Garantir que a atuação da Companhia esteja alinhada à estratégia, com decisões baseadas em evidências.</t>
        </is>
      </c>
      <c r="H2" s="6" t="inlineStr">
        <is>
          <t xml:space="preserve">Plano Estratégico; Plano de Ação Anual; Relatórios de desempenho</t>
        </is>
      </c>
      <c r="I2" s="6" t="inlineStr">
        <is>
          <t xml:space="preserve">Diretoria Executiva; Conselho de Administração; Unidades internas</t>
        </is>
      </c>
      <c r="J2" s="6" t="inlineStr">
        <is>
          <t xml:space="preserve">Ministério supervisor; Órgãos de controle; Sociedade</t>
        </is>
      </c>
      <c r="K2" s="6" t="inlineStr">
        <is>
          <t xml:space="preserve">e-Codevasf; Painéis de BI</t>
        </is>
      </c>
      <c r="N2" s="8" t="str">
        <f>=A2</f>
        <v>MG-01</v>
      </c>
    </row>
    <row r="3">
      <c r="A3" s="4" t="inlineStr">
        <is>
          <t xml:space="preserve">MG-02</t>
        </is>
      </c>
      <c r="B3" s="3" t="inlineStr">
        <is>
          <t xml:space="preserve">Gestão de Riscos, Integridade e Controles</t>
        </is>
      </c>
      <c r="C3" s="4" t="inlineStr">
        <is>
          <t xml:space="preserve">Gerencial</t>
        </is>
      </c>
      <c r="D3" s="4">
        <v>2</v>
      </c>
      <c r="E3" s="4" t="inlineStr">
        <is>
          <t xml:space="preserve">AE/GAG</t>
        </is>
      </c>
      <c r="F3" s="3" t="inlineStr">
        <is>
          <t xml:space="preserve">Identificação, avaliação e tratamento de riscos corporativos, integridade e controles internos (2ª linha).</t>
        </is>
      </c>
      <c r="G3" s="3" t="inlineStr">
        <is>
          <t xml:space="preserve">Assegurar razoável segurança para o alcance dos objetivos institucionais.</t>
        </is>
      </c>
      <c r="H3" s="3" t="inlineStr">
        <is>
          <t xml:space="preserve">Política de Gestão de Riscos; Matriz de riscos corporativa; Plano de integridade</t>
        </is>
      </c>
      <c r="I3" s="3" t="inlineStr">
        <is>
          <t xml:space="preserve">Alta administração; Gestores de 1ª linha</t>
        </is>
      </c>
      <c r="J3" s="3" t="inlineStr">
        <is>
          <t xml:space="preserve">Auditoria interna; CGU; TCU</t>
        </is>
      </c>
      <c r="K3" s="3" t="inlineStr">
        <is>
          <t xml:space="preserve">e-Codevasf; Sistema de gestão de riscos</t>
        </is>
      </c>
      <c r="N3" s="8" t="str">
        <f>=A3</f>
        <v>MG-02</v>
      </c>
    </row>
    <row r="4">
      <c r="A4" s="7" t="inlineStr">
        <is>
          <t xml:space="preserve">MF-01</t>
        </is>
      </c>
      <c r="B4" s="6" t="inlineStr">
        <is>
          <t xml:space="preserve">Desenvolvimento Territorial e Estruturação Produtiva</t>
        </is>
      </c>
      <c r="C4" s="7" t="inlineStr">
        <is>
          <t xml:space="preserve">Finalístico</t>
        </is>
      </c>
      <c r="D4" s="7">
        <v>3</v>
      </c>
      <c r="E4" s="7" t="inlineStr">
        <is>
          <t xml:space="preserve">AR/GDT</t>
        </is>
      </c>
      <c r="F4" s="6" t="inlineStr">
        <is>
          <t xml:space="preserve">Apoio a arranjos produtivos, inclusão socioeconômica e estruturação de cadeias produtivas nos vales.</t>
        </is>
      </c>
      <c r="G4" s="6" t="inlineStr">
        <is>
          <t xml:space="preserve">Promover o desenvolvimento regional integrado e sustentável.</t>
        </is>
      </c>
      <c r="H4" s="6" t="inlineStr">
        <is>
          <t xml:space="preserve">Projetos de estruturação produtiva; Convênios e instrumentos de repasse</t>
        </is>
      </c>
      <c r="I4" s="6" t="inlineStr">
        <is>
          <t xml:space="preserve">Produtores rurais; Cooperativas; Municípios</t>
        </is>
      </c>
      <c r="J4" s="6" t="inlineStr">
        <is>
          <t xml:space="preserve">Parlamentares; Entes federados; Entidades parceiras</t>
        </is>
      </c>
      <c r="K4" s="6" t="inlineStr">
        <is>
          <t xml:space="preserve">TransfereGov; e-Codevasf</t>
        </is>
      </c>
      <c r="N4" s="8" t="str">
        <f>=A4</f>
        <v>MF-01</v>
      </c>
    </row>
    <row r="5">
      <c r="A5" s="4" t="inlineStr">
        <is>
          <t xml:space="preserve">MF-02</t>
        </is>
      </c>
      <c r="B5" s="3" t="inlineStr">
        <is>
          <t xml:space="preserve">Gestão de Empreendimentos de Irrigação</t>
        </is>
      </c>
      <c r="C5" s="4" t="inlineStr">
        <is>
          <t xml:space="preserve">Finalístico</t>
        </is>
      </c>
      <c r="D5" s="4">
        <v>4</v>
      </c>
      <c r="E5" s="4" t="inlineStr">
        <is>
          <t xml:space="preserve">AI/GOM</t>
        </is>
      </c>
      <c r="F5" s="3" t="inlineStr">
        <is>
          <t xml:space="preserve">Implantação, operação, manutenção e transferência de gestão de perímetros públicos de irrigação.</t>
        </is>
      </c>
      <c r="G5" s="3" t="inlineStr">
        <is>
          <t xml:space="preserve">Ampliar a área irrigada produtiva com sustentabilidade hídrica e econômica.</t>
        </is>
      </c>
      <c r="H5" s="3" t="inlineStr">
        <is>
          <t xml:space="preserve">Perímetros em operação; Água distribuída; Relatórios de O&amp;M</t>
        </is>
      </c>
      <c r="I5" s="3" t="inlineStr">
        <is>
          <t xml:space="preserve">Irrigantes; Distritos de irrigação</t>
        </is>
      </c>
      <c r="J5" s="3" t="inlineStr">
        <is>
          <t xml:space="preserve">ANA; Agências estaduais; Associações de usuários</t>
        </is>
      </c>
      <c r="K5" s="3" t="inlineStr">
        <is>
          <t xml:space="preserve">SIG-Irrigação (fictício); e-Codevasf</t>
        </is>
      </c>
      <c r="N5" s="8" t="str">
        <f>=A5</f>
        <v>MF-02</v>
      </c>
    </row>
    <row r="6">
      <c r="A6" s="7" t="inlineStr">
        <is>
          <t xml:space="preserve">MF-03</t>
        </is>
      </c>
      <c r="B6" s="6" t="inlineStr">
        <is>
          <t xml:space="preserve">Revitalização de Bacias Hidrográficas</t>
        </is>
      </c>
      <c r="C6" s="7" t="inlineStr">
        <is>
          <t xml:space="preserve">Finalístico</t>
        </is>
      </c>
      <c r="D6" s="7">
        <v>5</v>
      </c>
      <c r="E6" s="7" t="inlineStr">
        <is>
          <t xml:space="preserve">AR/GRB</t>
        </is>
      </c>
      <c r="F6" s="6" t="inlineStr">
        <is>
          <t xml:space="preserve">Ações de recuperação hidroambiental, segurança hídrica e uso sustentável dos recursos naturais.</t>
        </is>
      </c>
      <c r="G6" s="6" t="inlineStr">
        <is>
          <t xml:space="preserve">Contribuir para a revitalização das bacias dos rios São Francisco e Parnaíba.</t>
        </is>
      </c>
      <c r="H6" s="6" t="inlineStr">
        <is>
          <t xml:space="preserve">Nascentes recuperadas; Obras hidroambientais; Sistemas de abastecimento</t>
        </is>
      </c>
      <c r="I6" s="6" t="inlineStr">
        <is>
          <t xml:space="preserve">Comunidades ribeirinhas; Municípios</t>
        </is>
      </c>
      <c r="J6" s="6" t="inlineStr">
        <is>
          <t xml:space="preserve">Comitês de bacia; MMA; Órgãos ambientais</t>
        </is>
      </c>
      <c r="K6" s="6" t="inlineStr">
        <is>
          <t xml:space="preserve">e-Codevasf; GeoPortal (fictício)</t>
        </is>
      </c>
      <c r="N6" s="8" t="str">
        <f>=A6</f>
        <v>MF-03</v>
      </c>
    </row>
    <row r="7">
      <c r="A7" s="4" t="inlineStr">
        <is>
          <t xml:space="preserve">MS-01</t>
        </is>
      </c>
      <c r="B7" s="3" t="inlineStr">
        <is>
          <t xml:space="preserve">Gestão de Licitações e Contratos</t>
        </is>
      </c>
      <c r="C7" s="4" t="inlineStr">
        <is>
          <t xml:space="preserve">Suporte</t>
        </is>
      </c>
      <c r="D7" s="4">
        <v>6</v>
      </c>
      <c r="E7" s="4" t="inlineStr">
        <is>
          <t xml:space="preserve">AA/GLC</t>
        </is>
      </c>
      <c r="F7" s="3" t="inlineStr">
        <is>
          <t xml:space="preserve">Planejamento das contratações, seleção de fornecedores e gestão dos contratos administrativos da Companhia.</t>
        </is>
      </c>
      <c r="G7" s="3" t="inlineStr">
        <is>
          <t xml:space="preserve">Prover contratações tempestivas, vantajosas e conformes à legislação.</t>
        </is>
      </c>
      <c r="H7" s="3" t="inlineStr">
        <is>
          <t xml:space="preserve">Editais publicados; Contratos firmados; Atas de registro de preços</t>
        </is>
      </c>
      <c r="I7" s="3" t="inlineStr">
        <is>
          <t xml:space="preserve">Todas as unidades demandantes</t>
        </is>
      </c>
      <c r="J7" s="3" t="inlineStr">
        <is>
          <t xml:space="preserve">Fornecedores; Assessoria Jurídica; Órgãos de controle; PNCP</t>
        </is>
      </c>
      <c r="K7" s="3" t="inlineStr">
        <is>
          <t xml:space="preserve">Compras.gov.br; PNCP; Painel de Preços; e-Codevasf</t>
        </is>
      </c>
      <c r="M7" s="3" t="inlineStr">
        <is>
          <t xml:space="preserve">Macroprocesso priorizado no ciclo 2026 de mapeamento.</t>
        </is>
      </c>
      <c r="N7" s="8" t="str">
        <f>=A7</f>
        <v>MS-01</v>
      </c>
    </row>
    <row r="8">
      <c r="A8" s="7" t="inlineStr">
        <is>
          <t xml:space="preserve">MS-02</t>
        </is>
      </c>
      <c r="B8" s="6" t="inlineStr">
        <is>
          <t xml:space="preserve">Gestão de Pessoas</t>
        </is>
      </c>
      <c r="C8" s="7" t="inlineStr">
        <is>
          <t xml:space="preserve">Suporte</t>
        </is>
      </c>
      <c r="D8" s="7">
        <v>7</v>
      </c>
      <c r="E8" s="7" t="inlineStr">
        <is>
          <t xml:space="preserve">AG/GGP</t>
        </is>
      </c>
      <c r="F8" s="6" t="inlineStr">
        <is>
          <t xml:space="preserve">Provimento, desenvolvimento, remuneração e qualidade de vida do corpo funcional.</t>
        </is>
      </c>
      <c r="G8" s="6" t="inlineStr">
        <is>
          <t xml:space="preserve">Assegurar pessoas qualificadas e engajadas para a missão institucional.</t>
        </is>
      </c>
      <c r="H8" s="6" t="inlineStr">
        <is>
          <t xml:space="preserve">Empregados admitidos e capacitados; Folha de pagamento</t>
        </is>
      </c>
      <c r="I8" s="6" t="inlineStr">
        <is>
          <t xml:space="preserve">Empregados; Gestores</t>
        </is>
      </c>
      <c r="J8" s="6" t="inlineStr">
        <is>
          <t xml:space="preserve">Sindicatos; SEST; Ministério supervisor</t>
        </is>
      </c>
      <c r="K8" s="6" t="inlineStr">
        <is>
          <t xml:space="preserve">SIGEP (fictício); e-Codevasf</t>
        </is>
      </c>
      <c r="N8" s="8" t="str">
        <f>=A8</f>
        <v>MS-02</v>
      </c>
    </row>
    <row r="9">
      <c r="A9" s="4" t="inlineStr">
        <is>
          <t xml:space="preserve">MS-03</t>
        </is>
      </c>
      <c r="B9" s="3" t="inlineStr">
        <is>
          <t xml:space="preserve">Gestão de Tecnologia da Informação</t>
        </is>
      </c>
      <c r="C9" s="4" t="inlineStr">
        <is>
          <t xml:space="preserve">Suporte</t>
        </is>
      </c>
      <c r="D9" s="4">
        <v>8</v>
      </c>
      <c r="E9" s="4" t="inlineStr">
        <is>
          <t xml:space="preserve">AT/GTI</t>
        </is>
      </c>
      <c r="F9" s="3" t="inlineStr">
        <is>
          <t xml:space="preserve">Planejamento, desenvolvimento, sustentação e segurança dos serviços de TI.</t>
        </is>
      </c>
      <c r="G9" s="3" t="inlineStr">
        <is>
          <t xml:space="preserve">Prover soluções digitais seguras que habilitem os processos de negócio.</t>
        </is>
      </c>
      <c r="H9" s="3" t="inlineStr">
        <is>
          <t xml:space="preserve">Sistemas em produção; Serviços de infraestrutura; Suporte ao usuário</t>
        </is>
      </c>
      <c r="I9" s="3" t="inlineStr">
        <is>
          <t xml:space="preserve">Todas as unidades</t>
        </is>
      </c>
      <c r="J9" s="3" t="inlineStr">
        <is>
          <t xml:space="preserve">SGD/MGI; Fornecedores de TI</t>
        </is>
      </c>
      <c r="K9" s="3" t="inlineStr">
        <is>
          <t xml:space="preserve">e-Codevasf; Service Desk</t>
        </is>
      </c>
      <c r="N9" s="8" t="str">
        <f>=A9</f>
        <v>MS-03</v>
      </c>
    </row>
  </sheetData>
  <autoFilter ref="A1:N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M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24" customWidth="1"/>
    <col min="9" max="9" width="10" customWidth="1"/>
    <col min="10" max="10" width="12" customWidth="1"/>
    <col min="11" max="11" width="13" customWidth="1"/>
    <col min="12" max="12" width="14" customWidth="1"/>
    <col min="13" max="13" width="10" customWidth="1"/>
    <col min="14" max="14" width="13" customWidth="1"/>
    <col min="15" max="15" width="13" customWidth="1"/>
    <col min="16" max="16" width="13" customWidth="1"/>
    <col min="17" max="17" width="13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30" customWidth="1"/>
    <col min="29" max="29" width="34" customWidth="1"/>
    <col min="30" max="30" width="34" customWidth="1"/>
    <col min="31" max="31" width="28" customWidth="1"/>
    <col min="32" max="32" width="28" customWidth="1"/>
    <col min="33" max="33" width="20" customWidth="1"/>
    <col min="34" max="34" width="30" customWidth="1"/>
    <col min="35" max="35" width="30" customWidth="1"/>
    <col min="36" max="36" width="40" customWidth="1"/>
    <col min="37" max="37" width="30" customWidth="1"/>
    <col min="38" max="38" width="28" customWidth="1"/>
    <col min="39" max="39" width="24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Ponto_Focal_Nugep</t>
        </is>
      </c>
      <c r="I1" s="1" t="inlineStr">
        <is>
          <t xml:space="preserve">Prioridade</t>
        </is>
      </c>
      <c r="J1" s="1" t="inlineStr">
        <is>
          <t xml:space="preserve">Complexidade</t>
        </is>
      </c>
      <c r="K1" s="1" t="inlineStr">
        <is>
          <t xml:space="preserve">Maturidade</t>
        </is>
      </c>
      <c r="L1" s="1" t="inlineStr">
        <is>
          <t xml:space="preserve">Status_Mapeamento</t>
        </is>
      </c>
      <c r="M1" s="1" t="inlineStr">
        <is>
          <t xml:space="preserve">Percentual</t>
        </is>
      </c>
      <c r="N1" s="1" t="inlineStr">
        <is>
          <t xml:space="preserve">Inicio_Mapeamento</t>
        </is>
      </c>
      <c r="O1" s="1" t="inlineStr">
        <is>
          <t xml:space="preserve">Prazo_Previsto</t>
        </is>
      </c>
      <c r="P1" s="1" t="inlineStr">
        <is>
          <t xml:space="preserve">Data_Conclusao</t>
        </is>
      </c>
      <c r="Q1" s="1" t="inlineStr">
        <is>
          <t xml:space="preserve">Ultima_Atualizacao</t>
        </is>
      </c>
      <c r="R1" s="1" t="inlineStr">
        <is>
          <t xml:space="preserve">M1_Conhecer_Processo</t>
        </is>
      </c>
      <c r="S1" s="1" t="inlineStr">
        <is>
          <t xml:space="preserve">M2_Processo_Modelado</t>
        </is>
      </c>
      <c r="T1" s="1" t="inlineStr">
        <is>
          <t xml:space="preserve">M3_Subprocessos_Modelados</t>
        </is>
      </c>
      <c r="U1" s="1" t="inlineStr">
        <is>
          <t xml:space="preserve">M4_ASIS_Modelado</t>
        </is>
      </c>
      <c r="V1" s="1" t="inlineStr">
        <is>
          <t xml:space="preserve">M5_ASIS_Validado</t>
        </is>
      </c>
      <c r="W1" s="1" t="inlineStr">
        <is>
          <t xml:space="preserve">M6_Procedimento_Aprovado</t>
        </is>
      </c>
      <c r="X1" s="1" t="inlineStr">
        <is>
          <t xml:space="preserve">M7_Processo_Publicado</t>
        </is>
      </c>
      <c r="Y1" s="1" t="inlineStr">
        <is>
          <t xml:space="preserve">M8_TOBE_Elaborado</t>
        </is>
      </c>
      <c r="Z1" s="1" t="inlineStr">
        <is>
          <t xml:space="preserve">M9_TOBE_Aprovado</t>
        </is>
      </c>
      <c r="AA1" s="1" t="inlineStr">
        <is>
          <t xml:space="preserve">M10_Processo_Transformado</t>
        </is>
      </c>
      <c r="AB1" s="1" t="inlineStr">
        <is>
          <t xml:space="preserve">Fornecedores</t>
        </is>
      </c>
      <c r="AC1" s="1" t="inlineStr">
        <is>
          <t xml:space="preserve">Entradas</t>
        </is>
      </c>
      <c r="AD1" s="1" t="inlineStr">
        <is>
          <t xml:space="preserve">Saidas</t>
        </is>
      </c>
      <c r="AE1" s="1" t="inlineStr">
        <is>
          <t xml:space="preserve">Beneficiarios</t>
        </is>
      </c>
      <c r="AF1" s="1" t="inlineStr">
        <is>
          <t xml:space="preserve">Sistemas</t>
        </is>
      </c>
      <c r="AG1" s="1" t="inlineStr">
        <is>
          <t xml:space="preserve">Processo_ECodevasf</t>
        </is>
      </c>
      <c r="AH1" s="1" t="inlineStr">
        <is>
          <t xml:space="preserve">Processo_ECodevasf_Link</t>
        </is>
      </c>
      <c r="AI1" s="1" t="inlineStr">
        <is>
          <t xml:space="preserve">Imagem_Bizagi</t>
        </is>
      </c>
      <c r="AJ1" s="1" t="inlineStr">
        <is>
          <t xml:space="preserve">Competencias_Necessarias</t>
        </is>
      </c>
      <c r="AK1" s="1" t="inlineStr">
        <is>
          <t xml:space="preserve">Fontes_Dados</t>
        </is>
      </c>
      <c r="AL1" s="1" t="inlineStr">
        <is>
          <t xml:space="preserve">Proxima_Acao</t>
        </is>
      </c>
      <c r="AM1" s="1" t="inlineStr">
        <is>
          <t xml:space="preserve">Pendencia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6" t="inlineStr">
        <is>
          <t xml:space="preserve">Carlos Eduardo Lima (UNP)</t>
        </is>
      </c>
      <c r="I2" s="7" t="inlineStr">
        <is>
          <t xml:space="preserve">Alta</t>
        </is>
      </c>
      <c r="J2" s="7" t="inlineStr">
        <is>
          <t xml:space="preserve">Alta</t>
        </is>
      </c>
      <c r="K2" s="7" t="inlineStr">
        <is>
          <t xml:space="preserve">Definido</t>
        </is>
      </c>
      <c r="L2" s="7" t="inlineStr">
        <is>
          <t xml:space="preserve">Concluído</t>
        </is>
      </c>
      <c r="M2" s="9">
        <f>=IF(COUNTIF(R2:AA2,"Sim")+COUNTIF(R2:AA2,"Em andamento")+COUNTIF(R2:AA2,"Não")=0,0,(COUNTIF(R2:AA2,"Sim")+COUNTIF(R2:AA2,"Em andamento")*0.5)/(COUNTIF(R2:AA2,"Sim")+COUNTIF(R2:AA2,"Em andamento")+COUNTIF(R2:AA2,"Não")))</f>
        <v>1</v>
      </c>
      <c r="N2" s="7" t="inlineStr">
        <is>
          <t xml:space="preserve">05/01/2026</t>
        </is>
      </c>
      <c r="O2" s="7" t="inlineStr">
        <is>
          <t xml:space="preserve">29/05/2026</t>
        </is>
      </c>
      <c r="P2" s="7" t="inlineStr">
        <is>
          <t xml:space="preserve">18/05/2026</t>
        </is>
      </c>
      <c r="Q2" s="7" t="inlineStr">
        <is>
          <t xml:space="preserve">10/07/2026</t>
        </is>
      </c>
      <c r="R2" s="7" t="inlineStr">
        <is>
          <t xml:space="preserve">Sim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6" t="inlineStr">
        <is>
          <t xml:space="preserve">Áreas demandantes; Painel de Preços; Fornecedores (cotações)</t>
        </is>
      </c>
      <c r="AC2" s="6" t="inlineStr">
        <is>
          <t xml:space="preserve">DFD; Plano de Contratações Anual; Requisitos da área</t>
        </is>
      </c>
      <c r="AD2" s="6" t="inlineStr">
        <is>
          <t xml:space="preserve">ETP aprovado; TR aprovado; Pesquisa de preços validada</t>
        </is>
      </c>
      <c r="AE2" s="6" t="inlineStr">
        <is>
          <t xml:space="preserve">AA/GLC (Seleção do Fornecedor); Assessoria Jurídica</t>
        </is>
      </c>
      <c r="AF2" s="6" t="inlineStr">
        <is>
          <t xml:space="preserve">e-Codevasf; Compras.gov.br; Painel de Preços</t>
        </is>
      </c>
      <c r="AG2" s="7" t="inlineStr">
        <is>
          <t xml:space="preserve">59500.000123/2026-11</t>
        </is>
      </c>
      <c r="AH2" s="6" t="inlineStr">
        <is>
          <t xml:space="preserve">https://e-processo.codevasf.gov.br/sei/controlador.php?acao=procedimento_visualizar&amp;id=59500000123202611</t>
        </is>
      </c>
      <c r="AI2" s="6" t="inlineStr">
        <is>
          <t xml:space="preserve">https://fluxosti.codevasf.gov.br/incidentes/</t>
        </is>
      </c>
      <c r="AJ2" s="6" t="inlineStr">
        <is>
          <t xml:space="preserve">Elaboração de estudos técnicos e termos de referência; Conhecimento da Lei nº 14.133/2021; Pesquisa e análise de preços de mercado</t>
        </is>
      </c>
      <c r="AK2" s="6" t="inlineStr">
        <is>
          <t xml:space="preserve">e-Codevasf; Painel de Preços; PNCP</t>
        </is>
      </c>
      <c r="AL2" s="6" t="inlineStr">
        <is>
          <t xml:space="preserve">Monitorar indicadores do processo e revisar o PRO em 12 meses.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3" t="inlineStr">
        <is>
          <t xml:space="preserve">Carlos Eduardo Lima (UNP)</t>
        </is>
      </c>
      <c r="I3" s="4" t="inlineStr">
        <is>
          <t xml:space="preserve">Alta</t>
        </is>
      </c>
      <c r="J3" s="4" t="inlineStr">
        <is>
          <t xml:space="preserve">Média</t>
        </is>
      </c>
      <c r="K3" s="4" t="inlineStr">
        <is>
          <t xml:space="preserve">Repetível</t>
        </is>
      </c>
      <c r="L3" s="4" t="inlineStr">
        <is>
          <t xml:space="preserve">Em andamento</t>
        </is>
      </c>
      <c r="M3" s="9">
        <f>=IF(COUNTIF(R3:AA3,"Sim")+COUNTIF(R3:AA3,"Em andamento")+COUNTIF(R3:AA3,"Não")=0,0,(COUNTIF(R3:AA3,"Sim")+COUNTIF(R3:AA3,"Em andamento")*0.5)/(COUNTIF(R3:AA3,"Sim")+COUNTIF(R3:AA3,"Em andamento")+COUNTIF(R3:AA3,"Não")))</f>
        <v>0.45</v>
      </c>
      <c r="N3" s="4" t="inlineStr">
        <is>
          <t xml:space="preserve">01/06/2026</t>
        </is>
      </c>
      <c r="O3" s="4" t="inlineStr">
        <is>
          <t xml:space="preserve">30/09/2026</t>
        </is>
      </c>
      <c r="Q3" s="4" t="inlineStr">
        <is>
          <t xml:space="preserve">15/07/2026</t>
        </is>
      </c>
      <c r="R3" s="4" t="inlineStr">
        <is>
          <t xml:space="preserve">Sim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Em andamento</t>
        </is>
      </c>
      <c r="W3" s="4" t="inlineStr">
        <is>
          <t xml:space="preserve">Não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3" t="inlineStr">
        <is>
          <t xml:space="preserve">P-06.01 (artefatos); Compras.gov.br</t>
        </is>
      </c>
      <c r="AC3" s="3" t="inlineStr">
        <is>
          <t xml:space="preserve">Edital minutado; Parecer jurídico; ETP/TR</t>
        </is>
      </c>
      <c r="AD3" s="3" t="inlineStr">
        <is>
          <t xml:space="preserve">Resultado homologado; Contrato/ata para assinatura</t>
        </is>
      </c>
      <c r="AE3" s="3" t="inlineStr">
        <is>
          <t xml:space="preserve">Unidades demandantes; Fornecedores</t>
        </is>
      </c>
      <c r="AF3" s="3" t="inlineStr">
        <is>
          <t xml:space="preserve">Compras.gov.br; PNCP; e-Codevasf</t>
        </is>
      </c>
      <c r="AG3" s="4" t="inlineStr">
        <is>
          <t xml:space="preserve">59500.000456/2026-22</t>
        </is>
      </c>
      <c r="AH3" s="3" t="inlineStr">
        <is>
          <t xml:space="preserve">https://e-processo.codevasf.gov.br/sei/controlador.php?acao=procedimento_visualizar&amp;id=59500000456202622</t>
        </is>
      </c>
      <c r="AJ3" s="3" t="inlineStr">
        <is>
          <t xml:space="preserve">Condução de sessões públicas de licitação; Julgamento de propostas e habilitação; Uso de plataformas de compras governamentais</t>
        </is>
      </c>
      <c r="AK3" s="3" t="inlineStr">
        <is>
          <t xml:space="preserve">Compras.gov.br</t>
        </is>
      </c>
      <c r="AL3" s="3" t="inlineStr">
        <is>
          <t xml:space="preserve">Validar AS-IS com o dono do processo (reunião marcada).</t>
        </is>
      </c>
      <c r="AM3" s="3" t="inlineStr">
        <is>
          <t xml:space="preserve">Pendente retorno da área sobre fluxo de recursos administrativos.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6" t="inlineStr">
        <is>
          <t xml:space="preserve">Bruna Souza (UNP)</t>
        </is>
      </c>
      <c r="I4" s="7" t="inlineStr">
        <is>
          <t xml:space="preserve">Alta</t>
        </is>
      </c>
      <c r="J4" s="7" t="inlineStr">
        <is>
          <t xml:space="preserve">Alta</t>
        </is>
      </c>
      <c r="K4" s="7" t="inlineStr">
        <is>
          <t xml:space="preserve">Gerenciado</t>
        </is>
      </c>
      <c r="L4" s="7" t="inlineStr">
        <is>
          <t xml:space="preserve">Em andamento</t>
        </is>
      </c>
      <c r="M4" s="9">
        <f>=IF(COUNTIF(R4:AA4,"Sim")+COUNTIF(R4:AA4,"Em andamento")+COUNTIF(R4:AA4,"Não")=0,0,(COUNTIF(R4:AA4,"Sim")+COUNTIF(R4:AA4,"Em andamento")*0.5)/(COUNTIF(R4:AA4,"Sim")+COUNTIF(R4:AA4,"Em andamento")+COUNTIF(R4:AA4,"Não")))</f>
        <v>0.2</v>
      </c>
      <c r="N4" s="7" t="inlineStr">
        <is>
          <t xml:space="preserve">15/06/2026</t>
        </is>
      </c>
      <c r="O4" s="7" t="inlineStr">
        <is>
          <t xml:space="preserve">30/11/2026</t>
        </is>
      </c>
      <c r="Q4" s="7" t="inlineStr">
        <is>
          <t xml:space="preserve">20/07/2026</t>
        </is>
      </c>
      <c r="R4" s="7" t="inlineStr">
        <is>
          <t xml:space="preserve">Sim</t>
        </is>
      </c>
      <c r="S4" s="7" t="inlineStr">
        <is>
          <t xml:space="preserve">Sim</t>
        </is>
      </c>
      <c r="T4" s="7" t="inlineStr">
        <is>
          <t xml:space="preserve">Não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6" t="inlineStr">
        <is>
          <t xml:space="preserve">P-06.02 (contrato); Fornecedores contratados</t>
        </is>
      </c>
      <c r="AC4" s="6" t="inlineStr">
        <is>
          <t xml:space="preserve">Contrato assinado; Cronograma; Garantias</t>
        </is>
      </c>
      <c r="AD4" s="6" t="inlineStr">
        <is>
          <t xml:space="preserve">Objeto recebido; Pagamentos efetuados; Termo de encerramento</t>
        </is>
      </c>
      <c r="AE4" s="6" t="inlineStr">
        <is>
          <t xml:space="preserve">Unidades demandantes; Fornecedores</t>
        </is>
      </c>
      <c r="AF4" s="6" t="inlineStr">
        <is>
          <t xml:space="preserve">e-Codevasf; Compras.gov.br</t>
        </is>
      </c>
      <c r="AG4" s="7" t="inlineStr">
        <is>
          <t xml:space="preserve">59500.000789/2026-33</t>
        </is>
      </c>
      <c r="AH4" s="6" t="inlineStr">
        <is>
          <t xml:space="preserve">https://e-processo.codevasf.gov.br/sei/controlador.php?acao=procedimento_visualizar&amp;id=59500000789202633</t>
        </is>
      </c>
      <c r="AJ4" s="6" t="inlineStr">
        <is>
          <t xml:space="preserve">Fiscalização técnica e administrativa de contratos; Gestão de medições e pagamentos; Aplicação de sanções administrativas</t>
        </is>
      </c>
      <c r="AK4" s="6" t="inlineStr">
        <is>
          <t xml:space="preserve">e-Codevasf</t>
        </is>
      </c>
      <c r="AL4" s="6" t="inlineStr">
        <is>
          <t xml:space="preserve">Concluir modelagem AS-IS das medições e pagamentos.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3" t="inlineStr">
        <is>
          <t xml:space="preserve">Eduardo Martins (UNP)</t>
        </is>
      </c>
      <c r="I5" s="4" t="inlineStr">
        <is>
          <t xml:space="preserve">Média</t>
        </is>
      </c>
      <c r="J5" s="4" t="inlineStr">
        <is>
          <t xml:space="preserve">Alta</t>
        </is>
      </c>
      <c r="K5" s="4" t="inlineStr">
        <is>
          <t xml:space="preserve">Inicial</t>
        </is>
      </c>
      <c r="L5" s="4" t="inlineStr">
        <is>
          <t xml:space="preserve">Em andamento</t>
        </is>
      </c>
      <c r="M5" s="9">
        <f>=IF(COUNTIF(R5:AA5,"Sim")+COUNTIF(R5:AA5,"Em andamento")+COUNTIF(R5:AA5,"Não")=0,0,(COUNTIF(R5:AA5,"Sim")+COUNTIF(R5:AA5,"Em andamento")*0.5)/(COUNTIF(R5:AA5,"Sim")+COUNTIF(R5:AA5,"Em andamento")+COUNTIF(R5:AA5,"Não")))</f>
        <v>0.3</v>
      </c>
      <c r="N5" s="4" t="inlineStr">
        <is>
          <t xml:space="preserve">04/05/2026</t>
        </is>
      </c>
      <c r="O5" s="4" t="inlineStr">
        <is>
          <t xml:space="preserve">30/10/2026</t>
        </is>
      </c>
      <c r="Q5" s="4" t="inlineStr">
        <is>
          <t xml:space="preserve">12/07/2026</t>
        </is>
      </c>
      <c r="R5" s="4" t="inlineStr">
        <is>
          <t xml:space="preserve">Sim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Não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3" t="inlineStr">
        <is>
          <t xml:space="preserve">ANA (outorgas); Distritos de irrigação</t>
        </is>
      </c>
      <c r="AC5" s="3" t="inlineStr">
        <is>
          <t xml:space="preserve">Outorga de uso; Demanda de irrigação; Plano de cultivo</t>
        </is>
      </c>
      <c r="AD5" s="3" t="inlineStr">
        <is>
          <t xml:space="preserve">Água distribuída; Infraestrutura mantida; Relatórios de O&amp;M</t>
        </is>
      </c>
      <c r="AE5" s="3" t="inlineStr">
        <is>
          <t xml:space="preserve">Irrigantes; Distritos</t>
        </is>
      </c>
      <c r="AF5" s="3" t="inlineStr">
        <is>
          <t xml:space="preserve">SIG-Irrigação (fictício); e-Codevasf</t>
        </is>
      </c>
      <c r="AG5" s="4" t="inlineStr">
        <is>
          <t xml:space="preserve">59500.000901/2026-44</t>
        </is>
      </c>
      <c r="AH5" s="3" t="inlineStr">
        <is>
          <t xml:space="preserve">https://e-processo.codevasf.gov.br/sei/controlador.php?acao=procedimento_visualizar&amp;id=59500000901202644</t>
        </is>
      </c>
      <c r="AJ5" s="3" t="inlineStr">
        <is>
          <t xml:space="preserve">Operação de sistemas hidráulicos; Manutenção de infraestrutura de irrigação; Relacionamento com associações de irrigantes</t>
        </is>
      </c>
      <c r="AK5" s="3" t="inlineStr">
        <is>
          <t xml:space="preserve">SIG-Irrigação (fictício)</t>
        </is>
      </c>
      <c r="AL5" s="3" t="inlineStr">
        <is>
          <t xml:space="preserve">Agendar oficina de validação do AS-IS com o distrito.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6" t="inlineStr">
        <is>
          <t xml:space="preserve">Eduardo Martins (UNP)</t>
        </is>
      </c>
      <c r="I6" s="7" t="inlineStr">
        <is>
          <t xml:space="preserve">Média</t>
        </is>
      </c>
      <c r="J6" s="7" t="inlineStr">
        <is>
          <t xml:space="preserve">Média</t>
        </is>
      </c>
      <c r="K6" s="7" t="inlineStr">
        <is>
          <t xml:space="preserve">Inicial</t>
        </is>
      </c>
      <c r="L6" s="7" t="inlineStr">
        <is>
          <t xml:space="preserve">Não iniciado</t>
        </is>
      </c>
      <c r="M6" s="9">
        <f>=IF(COUNTIF(R6:AA6,"Sim")+COUNTIF(R6:AA6,"Em andamento")+COUNTIF(R6:AA6,"Não")=0,0,(COUNTIF(R6:AA6,"Sim")+COUNTIF(R6:AA6,"Em andamento")*0.5)/(COUNTIF(R6:AA6,"Sim")+COUNTIF(R6:AA6,"Em andamento")+COUNTIF(R6:AA6,"Não")))</f>
        <v>0</v>
      </c>
      <c r="O6" s="7" t="inlineStr">
        <is>
          <t xml:space="preserve">31/03/2027</t>
        </is>
      </c>
      <c r="Q6" s="7" t="inlineStr">
        <is>
          <t xml:space="preserve">01/07/2026</t>
        </is>
      </c>
      <c r="R6" s="7" t="inlineStr">
        <is>
          <t xml:space="preserve">Não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6" t="inlineStr">
        <is>
          <t xml:space="preserve">Municípios; Comitês de bacia</t>
        </is>
      </c>
      <c r="AC6" s="6" t="inlineStr">
        <is>
          <t xml:space="preserve">Diagnóstico hidroambiental; Termos de cooperação</t>
        </is>
      </c>
      <c r="AD6" s="6" t="inlineStr">
        <is>
          <t xml:space="preserve">Nascentes recuperadas; Relatórios de monitoramento</t>
        </is>
      </c>
      <c r="AE6" s="6" t="inlineStr">
        <is>
          <t xml:space="preserve">Comunidades; Órgãos ambientais</t>
        </is>
      </c>
      <c r="AF6" s="6" t="inlineStr">
        <is>
          <t xml:space="preserve">e-Codevasf; GeoPortal (fictício)</t>
        </is>
      </c>
      <c r="AJ6" s="6" t="inlineStr">
        <is>
          <t xml:space="preserve">Diagnóstico e recuperação de áreas degradadas; Noções de engenharia ambiental; Articulação com comunidades e órgãos ambientais</t>
        </is>
      </c>
      <c r="AL6" s="6" t="inlineStr">
        <is>
          <t xml:space="preserve">Enviar formulário de levantamento à área (previsto ago/2026).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3" t="inlineStr">
        <is>
          <t xml:space="preserve">Gustavo Pereira (UNP)</t>
        </is>
      </c>
      <c r="I7" s="4" t="inlineStr">
        <is>
          <t xml:space="preserve">Alta</t>
        </is>
      </c>
      <c r="J7" s="4" t="inlineStr">
        <is>
          <t xml:space="preserve">Média</t>
        </is>
      </c>
      <c r="K7" s="4" t="inlineStr">
        <is>
          <t xml:space="preserve">Otimizado</t>
        </is>
      </c>
      <c r="L7" s="4" t="inlineStr">
        <is>
          <t xml:space="preserve">Concluído</t>
        </is>
      </c>
      <c r="M7" s="9">
        <f>=IF(COUNTIF(R7:AA7,"Sim")+COUNTIF(R7:AA7,"Em andamento")+COUNTIF(R7:AA7,"Não")=0,0,(COUNTIF(R7:AA7,"Sim")+COUNTIF(R7:AA7,"Em andamento")*0.5)/(COUNTIF(R7:AA7,"Sim")+COUNTIF(R7:AA7,"Em andamento")+COUNTIF(R7:AA7,"Não")))</f>
        <v>1</v>
      </c>
      <c r="N7" s="4" t="inlineStr">
        <is>
          <t xml:space="preserve">01/09/2025</t>
        </is>
      </c>
      <c r="O7" s="4" t="inlineStr">
        <is>
          <t xml:space="preserve">27/02/2026</t>
        </is>
      </c>
      <c r="P7" s="4" t="inlineStr">
        <is>
          <t xml:space="preserve">20/02/2026</t>
        </is>
      </c>
      <c r="Q7" s="4" t="inlineStr">
        <is>
          <t xml:space="preserve">30/06/2026</t>
        </is>
      </c>
      <c r="R7" s="4" t="inlineStr">
        <is>
          <t xml:space="preserve">Sim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3" t="inlineStr">
        <is>
          <t xml:space="preserve">Diretoria; Unidades</t>
        </is>
      </c>
      <c r="AC7" s="3" t="inlineStr">
        <is>
          <t xml:space="preserve">Diretrizes de governo; Diagnóstico institucional</t>
        </is>
      </c>
      <c r="AD7" s="3" t="inlineStr">
        <is>
          <t xml:space="preserve">Plano Estratégico; Painel de indicadores; RAG</t>
        </is>
      </c>
      <c r="AE7" s="3" t="inlineStr">
        <is>
          <t xml:space="preserve">Diretoria Executiva; Conselhos</t>
        </is>
      </c>
      <c r="AF7" s="3" t="inlineStr">
        <is>
          <t xml:space="preserve">e-Codevasf; Painéis de BI</t>
        </is>
      </c>
      <c r="AG7" s="4" t="inlineStr">
        <is>
          <t xml:space="preserve">59500.000015/2025-77</t>
        </is>
      </c>
      <c r="AH7" s="3" t="inlineStr">
        <is>
          <t xml:space="preserve">https://e-processo.codevasf.gov.br/sei/controlador.php?acao=procedimento_visualizar&amp;id=59500000015202577</t>
        </is>
      </c>
      <c r="AJ7" s="3" t="inlineStr">
        <is>
          <t xml:space="preserve">Planejamento estratégico e gestão por indicadores; Facilitação de oficinas; Análise de dados institucionais</t>
        </is>
      </c>
      <c r="AL7" s="3" t="inlineStr">
        <is>
          <t xml:space="preserve">Ciclo de monitoramento trimestral (próximo: set/2026).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6" t="inlineStr">
        <is>
          <t xml:space="preserve">Bruna Souza (UNP)</t>
        </is>
      </c>
      <c r="I8" s="7" t="inlineStr">
        <is>
          <t xml:space="preserve">Baixa</t>
        </is>
      </c>
      <c r="J8" s="7" t="inlineStr">
        <is>
          <t xml:space="preserve">Baixa</t>
        </is>
      </c>
      <c r="K8" s="7" t="inlineStr">
        <is>
          <t xml:space="preserve">Inicial</t>
        </is>
      </c>
      <c r="L8" s="7" t="inlineStr">
        <is>
          <t xml:space="preserve">Não iniciado</t>
        </is>
      </c>
      <c r="M8" s="9">
        <f>=IF(COUNTIF(R8:AA8,"Sim")+COUNTIF(R8:AA8,"Em andamento")+COUNTIF(R8:AA8,"Não")=0,0,(COUNTIF(R8:AA8,"Sim")+COUNTIF(R8:AA8,"Em andamento")*0.5)/(COUNTIF(R8:AA8,"Sim")+COUNTIF(R8:AA8,"Em andamento")+COUNTIF(R8:AA8,"Não")))</f>
        <v>0</v>
      </c>
      <c r="O8" s="7" t="inlineStr">
        <is>
          <t xml:space="preserve">30/06/2027</t>
        </is>
      </c>
      <c r="Q8" s="7" t="inlineStr">
        <is>
          <t xml:space="preserve">15/06/2026</t>
        </is>
      </c>
      <c r="R8" s="7" t="inlineStr">
        <is>
          <t xml:space="preserve">Não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6" t="inlineStr">
        <is>
          <t xml:space="preserve">Banca do concurso; Candidatos</t>
        </is>
      </c>
      <c r="AC8" s="6" t="inlineStr">
        <is>
          <t xml:space="preserve">Resultado homologado; Documentação do candidato</t>
        </is>
      </c>
      <c r="AD8" s="6" t="inlineStr">
        <is>
          <t xml:space="preserve">Empregado admitido e integrado</t>
        </is>
      </c>
      <c r="AE8" s="6" t="inlineStr">
        <is>
          <t xml:space="preserve">Novos empregados; Unidades de lotação</t>
        </is>
      </c>
      <c r="AF8" s="6" t="inlineStr">
        <is>
          <t xml:space="preserve">SIGEP (fictício); e-Codevasf</t>
        </is>
      </c>
      <c r="AJ8" s="6" t="inlineStr">
        <is>
          <t xml:space="preserve">Rotinas de admissão e legislação trabalhista (CLT); Condução de processos de integração; Uso de sistemas de gestão de pessoas</t>
        </is>
      </c>
      <c r="AL8" s="6" t="inlineStr">
        <is>
          <t xml:space="preserve">Aguardando priorização no ciclo 2027.</t>
        </is>
      </c>
    </row>
  </sheetData>
  <autoFilter ref="A1:AM1"/>
  <dataValidations count="17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R2:R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Q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12" customWidth="1"/>
    <col min="12" max="12" width="30" customWidth="1"/>
    <col min="13" max="13" width="36" customWidth="1"/>
    <col min="14" max="14" width="36" customWidth="1"/>
    <col min="15" max="15" width="26" customWidth="1"/>
    <col min="16" max="16" width="26" customWidth="1"/>
    <col min="17" max="17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Reutilizavel</t>
        </is>
      </c>
      <c r="L1" s="1" t="inlineStr">
        <is>
          <t xml:space="preserve">Reutilizado_Em</t>
        </is>
      </c>
      <c r="M1" s="1" t="inlineStr">
        <is>
          <t xml:space="preserve">Entradas</t>
        </is>
      </c>
      <c r="N1" s="1" t="inlineStr">
        <is>
          <t xml:space="preserve">Saidas</t>
        </is>
      </c>
      <c r="O1" s="1" t="inlineStr">
        <is>
          <t xml:space="preserve">Sistemas</t>
        </is>
      </c>
      <c r="P1" s="1" t="inlineStr">
        <is>
          <t xml:space="preserve">Fontes_Dados</t>
        </is>
      </c>
      <c r="Q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M2" s="6" t="inlineStr">
        <is>
          <t xml:space="preserve">DFD; Levantamento de soluções de mercado</t>
        </is>
      </c>
      <c r="N2" s="6" t="inlineStr">
        <is>
          <t xml:space="preserve">ETP aprovado no e-Codevasf</t>
        </is>
      </c>
      <c r="O2" s="6" t="inlineStr">
        <is>
          <t xml:space="preserve">e-Codevasf; Compras.gov.br</t>
        </is>
      </c>
      <c r="P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M3" s="3" t="inlineStr">
        <is>
          <t xml:space="preserve">ETP aprovado; Modelos padronizados de TR</t>
        </is>
      </c>
      <c r="N3" s="3" t="inlineStr">
        <is>
          <t xml:space="preserve">TR aprovado e validado juridicamente</t>
        </is>
      </c>
      <c r="O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M4" s="6" t="inlineStr">
        <is>
          <t xml:space="preserve">TR validado; Fontes de preços admitidas</t>
        </is>
      </c>
      <c r="N4" s="6" t="inlineStr">
        <is>
          <t xml:space="preserve">Relatório de pesquisa de preços; Mapa comparativo</t>
        </is>
      </c>
      <c r="O4" s="6" t="inlineStr">
        <is>
          <t xml:space="preserve">Painel de Preços; PNCP; e-Codevasf</t>
        </is>
      </c>
      <c r="P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Sim</t>
        </is>
      </c>
      <c r="L5" s="3" t="inlineStr">
        <is>
          <t xml:space="preserve">MS-01/PP-02; MF-02/PP-01</t>
        </is>
      </c>
      <c r="M5" s="3" t="inlineStr">
        <is>
          <t xml:space="preserve">Amostra de preços coletados na pesquisa</t>
        </is>
      </c>
      <c r="N5" s="3" t="inlineStr">
        <is>
          <t xml:space="preserve">Valores discrepantes identificados e justificados</t>
        </is>
      </c>
      <c r="O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M6" s="6" t="inlineStr">
        <is>
          <t xml:space="preserve">Edital publicado; Propostas dos licitantes</t>
        </is>
      </c>
      <c r="N6" s="6" t="inlineStr">
        <is>
          <t xml:space="preserve">Ata da sessão; Resultado por item</t>
        </is>
      </c>
      <c r="O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M7" s="3" t="inlineStr">
        <is>
          <t xml:space="preserve">Outorga de uso; Demanda de irrigação</t>
        </is>
      </c>
      <c r="N7" s="3" t="inlineStr">
        <is>
          <t xml:space="preserve">Programação hídrica executada; Registros de volume</t>
        </is>
      </c>
      <c r="O7" s="3" t="inlineStr">
        <is>
          <t xml:space="preserve">SIG-Irrigação (fictício)</t>
        </is>
      </c>
    </row>
  </sheetData>
  <autoFilter ref="A1:Q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Listas!$F$2:$F$4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=IF(LEFT(E2,2)="MG","Macroprocesso",IF(LEFT(E2,2)="MF","Macroprocesso",IF(LEFT(E2,2)="MS","Macroprocesso",IF(LEFT(E2,2)="PP","Processo",IF(OR(LEFT(E2,3)="SP-",ISNUMBER(SEARCH("/SP-",E2))),"Subprocesso",IF(LEFT(E2,2)="AT","Atividade",IF(LEFT(E2,2)="TR","Tarefa","")))))))</f>
        <v>Macroprocesso</v>
      </c>
      <c r="E2" s="6" t="inlineStr">
        <is>
          <t xml:space="preserve">MS-01/PP-01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=IF(LEFT(E3,2)="MG","Macroprocesso",IF(LEFT(E3,2)="MF","Macroprocesso",IF(LEFT(E3,2)="MS","Macroprocesso",IF(LEFT(E3,2)="PP","Processo",IF(OR(LEFT(E3,3)="SP-",ISNUMBER(SEARCH("/SP-",E3))),"Subprocesso",IF(LEFT(E3,2)="AT","Atividade",IF(LEFT(E3,2)="TR","Tarefa","")))))))</f>
        <v>Macroprocesso</v>
      </c>
      <c r="E3" s="3" t="inlineStr">
        <is>
          <t xml:space="preserve">MS-01/PP-01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=IF(LEFT(E4,2)="MG","Macroprocesso",IF(LEFT(E4,2)="MF","Macroprocesso",IF(LEFT(E4,2)="MS","Macroprocesso",IF(LEFT(E4,2)="PP","Processo",IF(OR(LEFT(E4,3)="SP-",ISNUMBER(SEARCH("/SP-",E4))),"Subprocesso",IF(LEFT(E4,2)="AT","Atividade",IF(LEFT(E4,2)="TR","Tarefa","")))))))</f>
        <v>Macroprocesso</v>
      </c>
      <c r="E4" s="6" t="inlineStr">
        <is>
          <t xml:space="preserve">MS-01/PP-01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=IF(LEFT(E5,2)="MG","Macroprocesso",IF(LEFT(E5,2)="MF","Macroprocesso",IF(LEFT(E5,2)="MS","Macroprocesso",IF(LEFT(E5,2)="PP","Processo",IF(OR(LEFT(E5,3)="SP-",ISNUMBER(SEARCH("/SP-",E5))),"Subprocesso",IF(LEFT(E5,2)="AT","Atividade",IF(LEFT(E5,2)="TR","Tarefa","")))))))</f>
        <v>Macroprocesso</v>
      </c>
      <c r="E5" s="3" t="inlineStr">
        <is>
          <t xml:space="preserve">MS-01/PP-01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=IF(LEFT(E6,2)="MG","Macroprocesso",IF(LEFT(E6,2)="MF","Macroprocesso",IF(LEFT(E6,2)="MS","Macroprocesso",IF(LEFT(E6,2)="PP","Processo",IF(OR(LEFT(E6,3)="SP-",ISNUMBER(SEARCH("/SP-",E6))),"Subprocesso",IF(LEFT(E6,2)="AT","Atividade",IF(LEFT(E6,2)="TR","Tarefa","")))))))</f>
        <v>Macroprocesso</v>
      </c>
      <c r="E6" s="6" t="inlineStr">
        <is>
          <t xml:space="preserve">MS-01/PP-01; MS-01/PP-01/SP-03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=IF(LEFT(E7,2)="MG","Macroprocesso",IF(LEFT(E7,2)="MF","Macroprocesso",IF(LEFT(E7,2)="MS","Macroprocesso",IF(LEFT(E7,2)="PP","Processo",IF(OR(LEFT(E7,3)="SP-",ISNUMBER(SEARCH("/SP-",E7))),"Subprocesso",IF(LEFT(E7,2)="AT","Atividade",IF(LEFT(E7,2)="TR","Tarefa","")))))))</f>
        <v>Macroprocesso</v>
      </c>
      <c r="E7" s="3" t="inlineStr">
        <is>
          <t xml:space="preserve">MS-01/PP-01/SP-01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=IF(LEFT(E8,2)="MG","Macroprocesso",IF(LEFT(E8,2)="MF","Macroprocesso",IF(LEFT(E8,2)="MS","Macroprocesso",IF(LEFT(E8,2)="PP","Processo",IF(OR(LEFT(E8,3)="SP-",ISNUMBER(SEARCH("/SP-",E8))),"Subprocesso",IF(LEFT(E8,2)="AT","Atividade",IF(LEFT(E8,2)="TR","Tarefa","")))))))</f>
        <v>Macroprocesso</v>
      </c>
      <c r="E8" s="6" t="inlineStr">
        <is>
          <t xml:space="preserve">MS-01/PP-01/SP-03; MS-01/PP-01/SP-01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=IF(LEFT(E9,2)="MG","Macroprocesso",IF(LEFT(E9,2)="MF","Macroprocesso",IF(LEFT(E9,2)="MS","Macroprocesso",IF(LEFT(E9,2)="PP","Processo",IF(OR(LEFT(E9,3)="SP-",ISNUMBER(SEARCH("/SP-",E9))),"Subprocesso",IF(LEFT(E9,2)="AT","Atividade",IF(LEFT(E9,2)="TR","Tarefa","")))))))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=IF(LEFT(E10,2)="MG","Macroprocesso",IF(LEFT(E10,2)="MF","Macroprocesso",IF(LEFT(E10,2)="MS","Macroprocesso",IF(LEFT(E10,2)="PP","Processo",IF(OR(LEFT(E10,3)="SP-",ISNUMBER(SEARCH("/SP-",E10))),"Subprocesso",IF(LEFT(E10,2)="AT","Atividade",IF(LEFT(E10,2)="TR","Tarefa","")))))))</f>
        <v>Macroprocesso</v>
      </c>
      <c r="E10" s="6" t="inlineStr">
        <is>
          <t xml:space="preserve">MS-01/PP-01; MS-01/PP-03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=IF(LEFT(E11,2)="MG","Macroprocesso",IF(LEFT(E11,2)="MF","Macroprocesso",IF(LEFT(E11,2)="MS","Macroprocesso",IF(LEFT(E11,2)="PP","Processo",IF(OR(LEFT(E11,3)="SP-",ISNUMBER(SEARCH("/SP-",E11))),"Subprocesso",IF(LEFT(E11,2)="AT","Atividade",IF(LEFT(E11,2)="TR","Tarefa","")))))))</f>
        <v>Macroprocesso</v>
      </c>
      <c r="E11" s="3" t="inlineStr">
        <is>
          <t xml:space="preserve">MS-01/PP-02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=IF(LEFT(E12,2)="MG","Macroprocesso",IF(LEFT(E12,2)="MF","Macroprocesso",IF(LEFT(E12,2)="MS","Macroprocesso",IF(LEFT(E12,2)="PP","Processo",IF(OR(LEFT(E12,3)="SP-",ISNUMBER(SEARCH("/SP-",E12))),"Subprocesso",IF(LEFT(E12,2)="AT","Atividade",IF(LEFT(E12,2)="TR","Tarefa","")))))))</f>
        <v>Macroprocesso</v>
      </c>
      <c r="E12" s="6" t="inlineStr">
        <is>
          <t xml:space="preserve">MS-01/PP-01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=IF(LEFT(E13,2)="MG","Macroprocesso",IF(LEFT(E13,2)="MF","Macroprocesso",IF(LEFT(E13,2)="MS","Macroprocesso",IF(LEFT(E13,2)="PP","Processo",IF(OR(LEFT(E13,3)="SP-",ISNUMBER(SEARCH("/SP-",E13))),"Subprocesso",IF(LEFT(E13,2)="AT","Atividade",IF(LEFT(E13,2)="TR","Tarefa","")))))))</f>
        <v>Macroprocesso</v>
      </c>
      <c r="E13" s="3" t="inlineStr">
        <is>
          <t xml:space="preserve">MS-01/PP-01/SP-01/AT-01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=IF(LEFT(E14,2)="MG","Macroprocesso",IF(LEFT(E14,2)="MF","Macroprocesso",IF(LEFT(E14,2)="MS","Macroprocesso",IF(LEFT(E14,2)="PP","Processo",IF(OR(LEFT(E14,3)="SP-",ISNUMBER(SEARCH("/SP-",E14))),"Subprocesso",IF(LEFT(E14,2)="AT","Atividade",IF(LEFT(E14,2)="TR","Tarefa","")))))))</f>
        <v>Macroprocesso</v>
      </c>
      <c r="E14" s="6" t="inlineStr">
        <is>
          <t xml:space="preserve">MS-01/PP-01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=IF(LEFT(E15,2)="MG","Macroprocesso",IF(LEFT(E15,2)="MF","Macroprocesso",IF(LEFT(E15,2)="MS","Macroprocesso",IF(LEFT(E15,2)="PP","Processo",IF(OR(LEFT(E15,3)="SP-",ISNUMBER(SEARCH("/SP-",E15))),"Subprocesso",IF(LEFT(E15,2)="AT","Atividade",IF(LEFT(E15,2)="TR","Tarefa","")))))))</f>
        <v>Macroprocesso</v>
      </c>
      <c r="E15" s="3" t="inlineStr">
        <is>
          <t xml:space="preserve">MS-01/PP-01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=IF(LEFT(E16,2)="MG","Macroprocesso",IF(LEFT(E16,2)="MF","Macroprocesso",IF(LEFT(E16,2)="MS","Macroprocesso",IF(LEFT(E16,2)="PP","Processo",IF(OR(LEFT(E16,3)="SP-",ISNUMBER(SEARCH("/SP-",E16))),"Subprocesso",IF(LEFT(E16,2)="AT","Atividade",IF(LEFT(E16,2)="TR","Tarefa","")))))))</f>
        <v>Macroprocesso</v>
      </c>
      <c r="E16" s="6" t="inlineStr">
        <is>
          <t xml:space="preserve">MS-01/PP-01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=IF(LEFT(E17,2)="MG","Macroprocesso",IF(LEFT(E17,2)="MF","Macroprocesso",IF(LEFT(E17,2)="MS","Macroprocesso",IF(LEFT(E17,2)="PP","Processo",IF(OR(LEFT(E17,3)="SP-",ISNUMBER(SEARCH("/SP-",E17))),"Subprocesso",IF(LEFT(E17,2)="AT","Atividade",IF(LEFT(E17,2)="TR","Tarefa","")))))))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=IF(LEFT(E18,2)="MG","Macroprocesso",IF(LEFT(E18,2)="MF","Macroprocesso",IF(LEFT(E18,2)="MS","Macroprocesso",IF(LEFT(E18,2)="PP","Processo",IF(OR(LEFT(E18,3)="SP-",ISNUMBER(SEARCH("/SP-",E18))),"Subprocesso",IF(LEFT(E18,2)="AT","Atividade",IF(LEFT(E18,2)="TR","Tarefa","")))))))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=IF(LEFT(E19,2)="MG","Macroprocesso",IF(LEFT(E19,2)="MF","Macroprocesso",IF(LEFT(E19,2)="MS","Macroprocesso",IF(LEFT(E19,2)="PP","Processo",IF(OR(LEFT(E19,3)="SP-",ISNUMBER(SEARCH("/SP-",E19))),"Subprocesso",IF(LEFT(E19,2)="AT","Atividade",IF(LEFT(E19,2)="TR","Tarefa","")))))))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=IF(LEFT(E20,2)="MG","Macroprocesso",IF(LEFT(E20,2)="MF","Macroprocesso",IF(LEFT(E20,2)="MS","Macroprocesso",IF(LEFT(E20,2)="PP","Processo",IF(OR(LEFT(E20,3)="SP-",ISNUMBER(SEARCH("/SP-",E20))),"Subprocesso",IF(LEFT(E20,2)="AT","Atividade",IF(LEFT(E20,2)="TR","Tarefa","")))))))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=IF(LEFT(E21,2)="MG","Macroprocesso",IF(LEFT(E21,2)="MF","Macroprocesso",IF(LEFT(E21,2)="MS","Macroprocesso",IF(LEFT(E21,2)="PP","Processo",IF(OR(LEFT(E21,3)="SP-",ISNUMBER(SEARCH("/SP-",E21))),"Subprocesso",IF(LEFT(E21,2)="AT","Atividade",IF(LEFT(E21,2)="TR","Tarefa","")))))))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=IF(LEFT(E22,2)="MG","Macroprocesso",IF(LEFT(E22,2)="MF","Macroprocesso",IF(LEFT(E22,2)="MS","Macroprocesso",IF(LEFT(E22,2)="PP","Processo",IF(OR(LEFT(E22,3)="SP-",ISNUMBER(SEARCH("/SP-",E22))),"Subprocesso",IF(LEFT(E22,2)="AT","Atividade",IF(LEFT(E22,2)="TR","Tarefa","")))))))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=IF(LEFT(E23,2)="MG","Macroprocesso",IF(LEFT(E23,2)="MF","Macroprocesso",IF(LEFT(E23,2)="MS","Macroprocesso",IF(LEFT(E23,2)="PP","Processo",IF(OR(LEFT(E23,3)="SP-",ISNUMBER(SEARCH("/SP-",E23))),"Subprocesso",IF(LEFT(E23,2)="AT","Atividade",IF(LEFT(E23,2)="TR","Tarefa","")))))))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=IF(LEFT(C2,2)="MG","Macroprocesso",IF(LEFT(C2,2)="MF","Macroprocesso",IF(LEFT(C2,2)="MS","Macroprocesso",IF(LEFT(C2,2)="PP","Processo",IF(OR(LEFT(C2,3)="SP-",ISNUMBER(SEARCH("/SP-",C2))),"Subprocesso",IF(LEFT(C2,2)="AT","Atividade",IF(LEFT(C2,2)="TR","Tarefa","")))))))</f>
        <v>Macroprocesso</v>
      </c>
      <c r="C2" s="6" t="inlineStr">
        <is>
          <t xml:space="preserve">MS-01/PP-01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=IF(LEFT(C3,2)="MG","Macroprocesso",IF(LEFT(C3,2)="MF","Macroprocesso",IF(LEFT(C3,2)="MS","Macroprocesso",IF(LEFT(C3,2)="PP","Processo",IF(OR(LEFT(C3,3)="SP-",ISNUMBER(SEARCH("/SP-",C3))),"Subprocesso",IF(LEFT(C3,2)="AT","Atividade",IF(LEFT(C3,2)="TR","Tarefa","")))))))</f>
        <v>Macroprocesso</v>
      </c>
      <c r="C3" s="3" t="inlineStr">
        <is>
          <t xml:space="preserve">MS-01/PP-01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=IF(LEFT(C4,2)="MG","Macroprocesso",IF(LEFT(C4,2)="MF","Macroprocesso",IF(LEFT(C4,2)="MS","Macroprocesso",IF(LEFT(C4,2)="PP","Processo",IF(OR(LEFT(C4,3)="SP-",ISNUMBER(SEARCH("/SP-",C4))),"Subprocesso",IF(LEFT(C4,2)="AT","Atividade",IF(LEFT(C4,2)="TR","Tarefa","")))))))</f>
        <v>Macroprocesso</v>
      </c>
      <c r="C4" s="6" t="inlineStr">
        <is>
          <t xml:space="preserve">MS-01/PP-03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=IF(LEFT(C5,2)="MG","Macroprocesso",IF(LEFT(C5,2)="MF","Macroprocesso",IF(LEFT(C5,2)="MS","Macroprocesso",IF(LEFT(C5,2)="PP","Processo",IF(OR(LEFT(C5,3)="SP-",ISNUMBER(SEARCH("/SP-",C5))),"Subprocesso",IF(LEFT(C5,2)="AT","Atividade",IF(LEFT(C5,2)="TR","Tarefa","")))))))</f>
        <v>Macroprocesso</v>
      </c>
      <c r="C5" s="3" t="inlineStr">
        <is>
          <t xml:space="preserve">MS-01/PP-01/SP-01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=IF(LEFT(C6,2)="MG","Macroprocesso",IF(LEFT(C6,2)="MF","Macroprocesso",IF(LEFT(C6,2)="MS","Macroprocesso",IF(LEFT(C6,2)="PP","Processo",IF(OR(LEFT(C6,3)="SP-",ISNUMBER(SEARCH("/SP-",C6))),"Subprocesso",IF(LEFT(C6,2)="AT","Atividade",IF(LEFT(C6,2)="TR","Tarefa","")))))))</f>
        <v>Macroprocesso</v>
      </c>
      <c r="C6" s="6" t="inlineStr">
        <is>
          <t xml:space="preserve">MS-01/PP-01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=IF(LEFT(C7,2)="MG","Macroprocesso",IF(LEFT(C7,2)="MF","Macroprocesso",IF(LEFT(C7,2)="MS","Macroprocesso",IF(LEFT(C7,2)="PP","Processo",IF(OR(LEFT(C7,3)="SP-",ISNUMBER(SEARCH("/SP-",C7))),"Subprocesso",IF(LEFT(C7,2)="AT","Atividade",IF(LEFT(C7,2)="TR","Tarefa","")))))))</f>
        <v>Macroprocesso</v>
      </c>
      <c r="C7" s="3" t="inlineStr">
        <is>
          <t xml:space="preserve">MS-01/PP-02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=IF(LEFT(C8,2)="MG","Macroprocesso",IF(LEFT(C8,2)="MF","Macroprocesso",IF(LEFT(C8,2)="MS","Macroprocesso",IF(LEFT(C8,2)="PP","Processo",IF(OR(LEFT(C8,3)="SP-",ISNUMBER(SEARCH("/SP-",C8))),"Subprocesso",IF(LEFT(C8,2)="AT","Atividade",IF(LEFT(C8,2)="TR","Tarefa","")))))))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=IF(LEFT(C9,2)="MG","Macroprocesso",IF(LEFT(C9,2)="MF","Macroprocesso",IF(LEFT(C9,2)="MS","Macroprocesso",IF(LEFT(C9,2)="PP","Processo",IF(OR(LEFT(C9,3)="SP-",ISNUMBER(SEARCH("/SP-",C9))),"Subprocesso",IF(LEFT(C9,2)="AT","Atividade",IF(LEFT(C9,2)="TR","Tarefa","")))))))</f>
        <v>Macroprocesso</v>
      </c>
      <c r="C9" s="3" t="inlineStr">
        <is>
          <t xml:space="preserve">MS-01/PP-01/SP-01/AT-01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=IF(LEFT(C10,2)="MG","Macroprocesso",IF(LEFT(C10,2)="MF","Macroprocesso",IF(LEFT(C10,2)="MS","Macroprocesso",IF(LEFT(C10,2)="PP","Processo",IF(OR(LEFT(C10,3)="SP-",ISNUMBER(SEARCH("/SP-",C10))),"Subprocesso",IF(LEFT(C10,2)="AT","Atividade",IF(LEFT(C10,2)="TR","Tarefa","")))))))</f>
        <v>Macroprocesso</v>
      </c>
      <c r="C10" s="6" t="inlineStr">
        <is>
          <t xml:space="preserve">MS-01/PP-01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M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=IF(LEFT(D2,2)="MG","Macroprocesso",IF(LEFT(D2,2)="MF","Macroprocesso",IF(LEFT(D2,2)="MS","Macroprocesso",IF(LEFT(D2,2)="PP","Processo",IF(OR(LEFT(D2,3)="SP-",ISNUMBER(SEARCH("/SP-",D2))),"Subprocesso",IF(LEFT(D2,2)="AT","Atividade",IF(LEFT(D2,2)="TR","Tarefa","")))))))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=IF(LEFT(D3,2)="MG","Macroprocesso",IF(LEFT(D3,2)="MF","Macroprocesso",IF(LEFT(D3,2)="MS","Macroprocesso",IF(LEFT(D3,2)="PP","Processo",IF(OR(LEFT(D3,3)="SP-",ISNUMBER(SEARCH("/SP-",D3))),"Subprocesso",IF(LEFT(D3,2)="AT","Atividade",IF(LEFT(D3,2)="TR","Tarefa","")))))))</f>
        <v>Macroprocesso</v>
      </c>
      <c r="D3" s="3" t="inlineStr">
        <is>
          <t xml:space="preserve">MS-01/PP-01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=IF(LEFT(D4,2)="MG","Macroprocesso",IF(LEFT(D4,2)="MF","Macroprocesso",IF(LEFT(D4,2)="MS","Macroprocesso",IF(LEFT(D4,2)="PP","Processo",IF(OR(LEFT(D4,3)="SP-",ISNUMBER(SEARCH("/SP-",D4))),"Subprocesso",IF(LEFT(D4,2)="AT","Atividade",IF(LEFT(D4,2)="TR","Tarefa","")))))))</f>
        <v>Macroprocesso</v>
      </c>
      <c r="D4" s="6" t="inlineStr">
        <is>
          <t xml:space="preserve">MS-01/PP-02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=IF(LEFT(D5,2)="MG","Macroprocesso",IF(LEFT(D5,2)="MF","Macroprocesso",IF(LEFT(D5,2)="MS","Macroprocesso",IF(LEFT(D5,2)="PP","Processo",IF(OR(LEFT(D5,3)="SP-",ISNUMBER(SEARCH("/SP-",D5))),"Subprocesso",IF(LEFT(D5,2)="AT","Atividade",IF(LEFT(D5,2)="TR","Tarefa","")))))))</f>
        <v>Macroprocesso</v>
      </c>
      <c r="D5" s="3" t="inlineStr">
        <is>
          <t xml:space="preserve">MS-01/PP-03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=IF(LEFT(D6,2)="MG","Macroprocesso",IF(LEFT(D6,2)="MF","Macroprocesso",IF(LEFT(D6,2)="MS","Macroprocesso",IF(LEFT(D6,2)="PP","Processo",IF(OR(LEFT(D6,3)="SP-",ISNUMBER(SEARCH("/SP-",D6))),"Subprocesso",IF(LEFT(D6,2)="AT","Atividade",IF(LEFT(D6,2)="TR","Tarefa","")))))))</f>
        <v>Macroprocesso</v>
      </c>
      <c r="D6" s="6" t="inlineStr">
        <is>
          <t xml:space="preserve">MS-01/PP-01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=IF(LEFT(D7,2)="MG","Macroprocesso",IF(LEFT(D7,2)="MF","Macroprocesso",IF(LEFT(D7,2)="MS","Macroprocesso",IF(LEFT(D7,2)="PP","Processo",IF(OR(LEFT(D7,3)="SP-",ISNUMBER(SEARCH("/SP-",D7))),"Subprocesso",IF(LEFT(D7,2)="AT","Atividade",IF(LEFT(D7,2)="TR","Tarefa","")))))))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=IF(LEFT(D8,2)="MG","Macroprocesso",IF(LEFT(D8,2)="MF","Macroprocesso",IF(LEFT(D8,2)="MS","Macroprocesso",IF(LEFT(D8,2)="PP","Processo",IF(OR(LEFT(D8,3)="SP-",ISNUMBER(SEARCH("/SP-",D8))),"Subprocesso",IF(LEFT(D8,2)="AT","Atividade",IF(LEFT(D8,2)="TR","Tarefa","")))))))</f>
        <v>Macroprocesso</v>
      </c>
      <c r="D8" s="6" t="inlineStr">
        <is>
          <t xml:space="preserve">MS-01/PP-01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=IF(LEFT(D9,2)="MG","Macroprocesso",IF(LEFT(D9,2)="MF","Macroprocesso",IF(LEFT(D9,2)="MS","Macroprocesso",IF(LEFT(D9,2)="PP","Processo",IF(OR(LEFT(D9,3)="SP-",ISNUMBER(SEARCH("/SP-",D9))),"Subprocesso",IF(LEFT(D9,2)="AT","Atividade",IF(LEFT(D9,2)="TR","Tarefa","")))))))</f>
        <v>Macroprocesso</v>
      </c>
      <c r="D9" s="3" t="inlineStr">
        <is>
          <t xml:space="preserve">MS-01/PP-01/SP-03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=IF(LEFT(D10,2)="MG","Macroprocesso",IF(LEFT(D10,2)="MF","Macroprocesso",IF(LEFT(D10,2)="MS","Macroprocesso",IF(LEFT(D10,2)="PP","Processo",IF(OR(LEFT(D10,3)="SP-",ISNUMBER(SEARCH("/SP-",D10))),"Subprocesso",IF(LEFT(D10,2)="AT","Atividade",IF(LEFT(D10,2)="TR","Tarefa","")))))))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=IF(LEFT(D11,2)="MG","Macroprocesso",IF(LEFT(D11,2)="MF","Macroprocesso",IF(LEFT(D11,2)="MS","Macroprocesso",IF(LEFT(D11,2)="PP","Processo",IF(OR(LEFT(D11,3)="SP-",ISNUMBER(SEARCH("/SP-",D11))),"Subprocesso",IF(LEFT(D11,2)="AT","Atividade",IF(LEFT(D11,2)="TR","Tarefa","")))))))</f>
        <v>Macroprocesso</v>
      </c>
      <c r="D11" s="3" t="inlineStr">
        <is>
          <t xml:space="preserve">MS-01/PP-01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=IF(LEFT(D12,2)="MG","Macroprocesso",IF(LEFT(D12,2)="MF","Macroprocesso",IF(LEFT(D12,2)="MS","Macroprocesso",IF(LEFT(D12,2)="PP","Processo",IF(OR(LEFT(D12,3)="SP-",ISNUMBER(SEARCH("/SP-",D12))),"Subprocesso",IF(LEFT(D12,2)="AT","Atividade",IF(LEFT(D12,2)="TR","Tarefa","")))))))</f>
        <v>Macroprocesso</v>
      </c>
      <c r="D12" s="6" t="inlineStr">
        <is>
          <t xml:space="preserve">MS-01/PP-01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</row>
  </sheetData>
  <autoFilter ref="A1:M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=IF(LEFT(C2,2)="MG","Macroprocesso",IF(LEFT(C2,2)="MF","Macroprocesso",IF(LEFT(C2,2)="MS","Macroprocesso",IF(LEFT(C2,2)="PP","Processo",IF(OR(LEFT(C2,3)="SP-",ISNUMBER(SEARCH("/SP-",C2))),"Subprocesso",IF(LEFT(C2,2)="AT","Atividade",IF(LEFT(C2,2)="TR","Tarefa","")))))))</f>
        <v>Macroprocesso</v>
      </c>
      <c r="C2" s="6" t="inlineStr">
        <is>
          <t xml:space="preserve">MS-01/PP-01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=IF(LEFT(C3,2)="MG","Macroprocesso",IF(LEFT(C3,2)="MF","Macroprocesso",IF(LEFT(C3,2)="MS","Macroprocesso",IF(LEFT(C3,2)="PP","Processo",IF(OR(LEFT(C3,3)="SP-",ISNUMBER(SEARCH("/SP-",C3))),"Subprocesso",IF(LEFT(C3,2)="AT","Atividade",IF(LEFT(C3,2)="TR","Tarefa","")))))))</f>
        <v>Macroprocesso</v>
      </c>
      <c r="C3" s="3" t="inlineStr">
        <is>
          <t xml:space="preserve">MS-01/PP-01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=IF(LEFT(C4,2)="MG","Macroprocesso",IF(LEFT(C4,2)="MF","Macroprocesso",IF(LEFT(C4,2)="MS","Macroprocesso",IF(LEFT(C4,2)="PP","Processo",IF(OR(LEFT(C4,3)="SP-",ISNUMBER(SEARCH("/SP-",C4))),"Subprocesso",IF(LEFT(C4,2)="AT","Atividade",IF(LEFT(C4,2)="TR","Tarefa","")))))))</f>
        <v>Macroprocesso</v>
      </c>
      <c r="C4" s="6" t="inlineStr">
        <is>
          <t xml:space="preserve">MS-01/PP-01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=IF(LEFT(C5,2)="MG","Macroprocesso",IF(LEFT(C5,2)="MF","Macroprocesso",IF(LEFT(C5,2)="MS","Macroprocesso",IF(LEFT(C5,2)="PP","Processo",IF(OR(LEFT(C5,3)="SP-",ISNUMBER(SEARCH("/SP-",C5))),"Subprocesso",IF(LEFT(C5,2)="AT","Atividade",IF(LEFT(C5,2)="TR","Tarefa","")))))))</f>
        <v>Macroprocesso</v>
      </c>
      <c r="C5" s="3" t="inlineStr">
        <is>
          <t xml:space="preserve">MS-01/PP-01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=IF(LEFT(C6,2)="MG","Macroprocesso",IF(LEFT(C6,2)="MF","Macroprocesso",IF(LEFT(C6,2)="MS","Macroprocesso",IF(LEFT(C6,2)="PP","Processo",IF(OR(LEFT(C6,3)="SP-",ISNUMBER(SEARCH("/SP-",C6))),"Subprocesso",IF(LEFT(C6,2)="AT","Atividade",IF(LEFT(C6,2)="TR","Tarefa","")))))))</f>
        <v>Macroprocesso</v>
      </c>
      <c r="C6" s="6" t="inlineStr">
        <is>
          <t xml:space="preserve">MS-01/PP-01/SP-03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=IF(LEFT(C7,2)="MG","Macroprocesso",IF(LEFT(C7,2)="MF","Macroprocesso",IF(LEFT(C7,2)="MS","Macroprocesso",IF(LEFT(C7,2)="PP","Processo",IF(OR(LEFT(C7,3)="SP-",ISNUMBER(SEARCH("/SP-",C7))),"Subprocesso",IF(LEFT(C7,2)="AT","Atividade",IF(LEFT(C7,2)="TR","Tarefa","")))))))</f>
        <v>Macroprocesso</v>
      </c>
      <c r="C7" s="3" t="inlineStr">
        <is>
          <t xml:space="preserve">MS-01/PP-01/SP-03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=IF(LEFT(C8,2)="MG","Macroprocesso",IF(LEFT(C8,2)="MF","Macroprocesso",IF(LEFT(C8,2)="MS","Macroprocesso",IF(LEFT(C8,2)="PP","Processo",IF(OR(LEFT(C8,3)="SP-",ISNUMBER(SEARCH("/SP-",C8))),"Subprocesso",IF(LEFT(C8,2)="AT","Atividade",IF(LEFT(C8,2)="TR","Tarefa","")))))))</f>
        <v>Macroprocesso</v>
      </c>
      <c r="C8" s="6" t="inlineStr">
        <is>
          <t xml:space="preserve">MS-01/PP-01/SP-01/AT-01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=IF(LEFT(C9,2)="MG","Macroprocesso",IF(LEFT(C9,2)="MF","Macroprocesso",IF(LEFT(C9,2)="MS","Macroprocesso",IF(LEFT(C9,2)="PP","Processo",IF(OR(LEFT(C9,3)="SP-",ISNUMBER(SEARCH("/SP-",C9))),"Subprocesso",IF(LEFT(C9,2)="AT","Atividade",IF(LEFT(C9,2)="TR","Tarefa","")))))))</f>
        <v>Macroprocesso</v>
      </c>
      <c r="C9" s="3" t="inlineStr">
        <is>
          <t xml:space="preserve">MS-01/PP-02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=IF(LEFT(C10,2)="MG","Macroprocesso",IF(LEFT(C10,2)="MF","Macroprocesso",IF(LEFT(C10,2)="MS","Macroprocesso",IF(LEFT(C10,2)="PP","Processo",IF(OR(LEFT(C10,3)="SP-",ISNUMBER(SEARCH("/SP-",C10))),"Subprocesso",IF(LEFT(C10,2)="AT","Atividade",IF(LEFT(C10,2)="TR","Tarefa","")))))))</f>
        <v>Macroprocesso</v>
      </c>
      <c r="C10" s="6" t="inlineStr">
        <is>
          <t xml:space="preserve">MS-01/PP-03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=IF(LEFT(C11,2)="MG","Macroprocesso",IF(LEFT(C11,2)="MF","Macroprocesso",IF(LEFT(C11,2)="MS","Macroprocesso",IF(LEFT(C11,2)="PP","Processo",IF(OR(LEFT(C11,3)="SP-",ISNUMBER(SEARCH("/SP-",C11))),"Subprocesso",IF(LEFT(C11,2)="AT","Atividade",IF(LEFT(C11,2)="TR","Tarefa","")))))))</f>
        <v>Macroprocesso</v>
      </c>
      <c r="C11" s="3" t="inlineStr">
        <is>
          <t xml:space="preserve">MS-01/PP-01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=IF(LEFT(C12,2)="MG","Macroprocesso",IF(LEFT(C12,2)="MF","Macroprocesso",IF(LEFT(C12,2)="MS","Macroprocesso",IF(LEFT(C12,2)="PP","Processo",IF(OR(LEFT(C12,3)="SP-",ISNUMBER(SEARCH("/SP-",C12))),"Subprocesso",IF(LEFT(C12,2)="AT","Atividade",IF(LEFT(C12,2)="TR","Tarefa","")))))))</f>
        <v>Macroprocesso</v>
      </c>
      <c r="C12" s="6" t="inlineStr">
        <is>
          <t xml:space="preserve">MS-01/PP-01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=IF(LEFT(C13,2)="MG","Macroprocesso",IF(LEFT(C13,2)="MF","Macroprocesso",IF(LEFT(C13,2)="MS","Macroprocesso",IF(LEFT(C13,2)="PP","Processo",IF(OR(LEFT(C13,3)="SP-",ISNUMBER(SEARCH("/SP-",C13))),"Subprocesso",IF(LEFT(C13,2)="AT","Atividade",IF(LEFT(C13,2)="TR","Tarefa","")))))))</f>
        <v>Macroprocesso</v>
      </c>
      <c r="C13" s="3" t="inlineStr">
        <is>
          <t xml:space="preserve">MS-01/PP-01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=IF(LEFT(C14,2)="MG","Macroprocesso",IF(LEFT(C14,2)="MF","Macroprocesso",IF(LEFT(C14,2)="MS","Macroprocesso",IF(LEFT(C14,2)="PP","Processo",IF(OR(LEFT(C14,3)="SP-",ISNUMBER(SEARCH("/SP-",C14))),"Subprocesso",IF(LEFT(C14,2)="AT","Atividade",IF(LEFT(C14,2)="TR","Tarefa","")))))))</f>
        <v>Macroprocesso</v>
      </c>
      <c r="C14" s="6" t="inlineStr">
        <is>
          <t xml:space="preserve">MS-01/PP-01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=IF(LEFT(D2,2)="MG","Macroprocesso",IF(LEFT(D2,2)="MF","Macroprocesso",IF(LEFT(D2,2)="MS","Macroprocesso",IF(LEFT(D2,2)="PP","Processo",IF(OR(LEFT(D2,3)="SP-",ISNUMBER(SEARCH("/SP-",D2))),"Subprocesso",IF(LEFT(D2,2)="AT","Atividade",IF(LEFT(D2,2)="TR","Tarefa","")))))))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=IF(LEFT(D3,2)="MG","Macroprocesso",IF(LEFT(D3,2)="MF","Macroprocesso",IF(LEFT(D3,2)="MS","Macroprocesso",IF(LEFT(D3,2)="PP","Processo",IF(OR(LEFT(D3,3)="SP-",ISNUMBER(SEARCH("/SP-",D3))),"Subprocesso",IF(LEFT(D3,2)="AT","Atividade",IF(LEFT(D3,2)="TR","Tarefa","")))))))</f>
        <v>Macroprocesso</v>
      </c>
      <c r="D3" s="3" t="inlineStr">
        <is>
          <t xml:space="preserve">MS-01/PP-01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=IF(LEFT(D4,2)="MG","Macroprocesso",IF(LEFT(D4,2)="MF","Macroprocesso",IF(LEFT(D4,2)="MS","Macroprocesso",IF(LEFT(D4,2)="PP","Processo",IF(OR(LEFT(D4,3)="SP-",ISNUMBER(SEARCH("/SP-",D4))),"Subprocesso",IF(LEFT(D4,2)="AT","Atividade",IF(LEFT(D4,2)="TR","Tarefa","")))))))</f>
        <v>Macroprocesso</v>
      </c>
      <c r="D4" s="6" t="inlineStr">
        <is>
          <t xml:space="preserve">MS-01/PP-01/SP-03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=IF(LEFT(D5,2)="MG","Macroprocesso",IF(LEFT(D5,2)="MF","Macroprocesso",IF(LEFT(D5,2)="MS","Macroprocesso",IF(LEFT(D5,2)="PP","Processo",IF(OR(LEFT(D5,3)="SP-",ISNUMBER(SEARCH("/SP-",D5))),"Subprocesso",IF(LEFT(D5,2)="AT","Atividade",IF(LEFT(D5,2)="TR","Tarefa","")))))))</f>
        <v>Macroprocesso</v>
      </c>
      <c r="D5" s="3" t="inlineStr">
        <is>
          <t xml:space="preserve">MS-01/PP-01/SP-01/AT-02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MS-01/PP-01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MS-01/PP-01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MS-01/PP-01; MS-01/PP-02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