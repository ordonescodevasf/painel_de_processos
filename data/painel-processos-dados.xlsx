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IA-ME" state="visible" r:id="rId4"/>
    <sheet sheetId="2" name="Macroprocessos" state="visible" r:id="rId5"/>
    <sheet sheetId="3" name="Processos" state="visible" r:id="rId6"/>
    <sheet sheetId="4" name="Subprocessos" state="visible" r:id="rId7"/>
    <sheet sheetId="5" name="Atividades" state="visible" r:id="rId8"/>
    <sheet sheetId="6" name="Tarefas" state="visible" r:id="rId9"/>
    <sheet sheetId="7" name="Documentos" state="visible" r:id="rId10"/>
    <sheet sheetId="8" name="Riscos" state="visible" r:id="rId11"/>
    <sheet sheetId="9" name="Metricas" state="visible" r:id="rId12"/>
    <sheet sheetId="10" name="Medicoes" state="visible" r:id="rId13"/>
    <sheet sheetId="11" name="Papeis" state="visible" r:id="rId14"/>
    <sheet sheetId="12" name="Regras" state="visible" r:id="rId15"/>
    <sheet sheetId="13" name="Jornada" state="visible" r:id="rId16"/>
    <sheet sheetId="14" name="Repositorio" state="visible" r:id="rId17"/>
    <sheet sheetId="15" name="Iniciativas" state="visible" r:id="rId18"/>
    <sheet sheetId="16" name="Cultura_Processos" state="visible" r:id="rId19"/>
    <sheet sheetId="17" name="NUGEP" state="visible" r:id="rId20"/>
    <sheet sheetId="18" name="Glossario" state="visible" r:id="rId21"/>
    <sheet sheetId="19" name="FAQ" state="visible" r:id="rId22"/>
    <sheet sheetId="20" name="Siglas" state="visible" r:id="rId23"/>
    <sheet sheetId="21" name="Parametros" state="visible" r:id="rId24"/>
    <sheet sheetId="22" name="Listas" state="visible" r:id="rId25"/>
    <sheet sheetId="23" name="PlanoAcao" state="visible" r:id="rId26"/>
    <sheet sheetId="24" name="Competencias" state="visible" r:id="rId27"/>
  </sheets>
  <definedNames>
    <definedName name="_xlnm._FilterDatabase">Competencias!$A$1:$D$1</definedName>
  </definedNames>
  <calcPr calcId="171027"/>
</workbook>
</file>

<file path=xl/sharedStrings.xml><?xml version="1.0" encoding="utf-8"?>
<sst xmlns="http://schemas.openxmlformats.org/spreadsheetml/2006/main" count="3477" uniqueCount="2165">
  <si>
    <t>Painel de Processos — planilha de dados</t>
  </si>
  <si>
    <t>Esta planilha alimenta o Painel de Gestão de Processos da Codevasf. Cada aba vira uma tela do painel.</t>
  </si>
  <si>
    <t>Preencha as colunas em branco; o que estiver preenchido é dado de demonstração e pode ser substituído.</t>
  </si>
  <si>
    <t>Como preencher</t>
  </si>
  <si>
    <t>1. Não renomeie abas nem cabeçalhos — o painel procura as colunas pelo nome exato.</t>
  </si>
  <si>
    <t>2. Onde houver seta na célula, escolha um item da lista. Valor fora da lista é recusado.</t>
  </si>
  <si>
    <t>3. Códigos ligam as abas: MP- macroprocesso · P- processo · SP- subprocesso · A- atividade · T- tarefa.</t>
  </si>
  <si>
    <t>4. Datas no formato AAAA-MM-DD (ex.: 2026-05-29), como texto. Formate a coluna como Texto antes de digitar:</t>
  </si>
  <si>
    <t xml:space="preserve">   o Excel converte 29/05/2026 em número de série.</t>
  </si>
  <si>
    <t>5. Marcos M1 a M10 (aba Processos): Sim, Não ou Não se aplica.</t>
  </si>
  <si>
    <t>Colunas em CINZA: não digite</t>
  </si>
  <si>
    <t>Elas se calculam sozinhas a partir do que você já preencheu. Digitar por cima apaga a fórmula.</t>
  </si>
  <si>
    <t>Processos · Macroprocesso</t>
  </si>
  <si>
    <t>Vem do código do processo (P-06.01 → MP-06).</t>
  </si>
  <si>
    <t>Processos · Percentual</t>
  </si>
  <si>
    <t>Marcos "Sim" ÷ marcos aplicáveis. Os "Não se aplica" saem da conta.</t>
  </si>
  <si>
    <t>Documentos, Riscos e Indicadores · Vinculo_Nivel</t>
  </si>
  <si>
    <t>Vem do prefixo do código em Vinculo_Codigo.</t>
  </si>
  <si>
    <t>Riscos · Nivel_PxI</t>
  </si>
  <si>
    <t>Probabilidade × Impacto.</t>
  </si>
  <si>
    <t>Riscos · Classificacao</t>
  </si>
  <si>
    <t>Faixa do P×I: 20+ Extremo · 12+ Alto · 5+ Moderado · abaixo, Baixo.</t>
  </si>
  <si>
    <t>Indicadores · Situacao</t>
  </si>
  <si>
    <t>Compara Resultado com Meta, conforme a Polaridade.</t>
  </si>
  <si>
    <t>NUGEP · Unidade_Nome</t>
  </si>
  <si>
    <t>Vem da sigla, pela tabela de unidades na aba Listas (colunas V e W).</t>
  </si>
  <si>
    <t>Vínculo múltiplo: um documento, risco ou indicador pode apontar para mais de um item. Nesse caso,</t>
  </si>
  <si>
    <t>separe os códigos por ponto e vírgula em Vinculo_Codigo e escreva os níveis à mão em Vinculo_Nivel,</t>
  </si>
  <si>
    <t>na mesma ordem — a fórmula só resolve o vínculo único.</t>
  </si>
  <si>
    <t>O que cada aba alimenta</t>
  </si>
  <si>
    <t>Macroprocessos</t>
  </si>
  <si>
    <t>Cadeia de valor da tela inicial</t>
  </si>
  <si>
    <t>Processos</t>
  </si>
  <si>
    <t>Portfólio, fichas de processo e marcos do mapeamento</t>
  </si>
  <si>
    <t>Subprocessos / Atividades / Tarefas</t>
  </si>
  <si>
    <t>Hierarquia dentro da ficha do processo</t>
  </si>
  <si>
    <t>Documentos</t>
  </si>
  <si>
    <t>Aba Documentos publicados</t>
  </si>
  <si>
    <t>Riscos</t>
  </si>
  <si>
    <t>Radar de riscos e tabela de riscos</t>
  </si>
  <si>
    <t>Indicadores</t>
  </si>
  <si>
    <t>Painel de indicadores</t>
  </si>
  <si>
    <t>Jornada</t>
  </si>
  <si>
    <t>Wizard da jornada de mapeamento</t>
  </si>
  <si>
    <t>Repositorio</t>
  </si>
  <si>
    <t>Repositório de materiais</t>
  </si>
  <si>
    <t>NUGEP</t>
  </si>
  <si>
    <t>Equipe e contato institucional (Foto: URL da imagem; Hierarquia: 1 gerente-executivo, 2 gerente, 3 equipe, 0 interlocutor)</t>
  </si>
  <si>
    <t>Glossario</t>
  </si>
  <si>
    <t>Glossário</t>
  </si>
  <si>
    <t>FAQ</t>
  </si>
  <si>
    <t>Perguntas frequentes</t>
  </si>
  <si>
    <t>Parametros</t>
  </si>
  <si>
    <t>Textos e contatos que aparecem no painel (título da tela inicial, contato da unidade, links do rodapé)</t>
  </si>
  <si>
    <t>Listas</t>
  </si>
  <si>
    <t>Origem das listas suspensas e a tabela de unidades — não apague</t>
  </si>
  <si>
    <t>Dúvidas: ae.gpe.unp@codevasf.gov.br</t>
  </si>
  <si>
    <t>PlanoAcao</t>
  </si>
  <si>
    <t>Ações do plano 5W2H (O que/Por que/Onde/Quando/Quem/Como/Quanto) da etapa "Analisar o processo" — vincula a um Processo, Subprocesso ou Atividade, como Riscos.</t>
  </si>
  <si>
    <t>Competencias</t>
  </si>
  <si>
    <t>Competências e atribuições de cada instância na gestão de processos (RES 031/2025, item 3) — exibidas na aba NUGEP do painel.</t>
  </si>
  <si>
    <t>Codigo</t>
  </si>
  <si>
    <t>Nome</t>
  </si>
  <si>
    <t>Categoria</t>
  </si>
  <si>
    <t>Ordem</t>
  </si>
  <si>
    <t>Descricao</t>
  </si>
  <si>
    <t>Objetivo</t>
  </si>
  <si>
    <t>Unidade_Responsavel</t>
  </si>
  <si>
    <t>Dono_Processo</t>
  </si>
  <si>
    <t>Entregas</t>
  </si>
  <si>
    <t>Clientes_Beneficiarios</t>
  </si>
  <si>
    <t>Partes_Interessadas</t>
  </si>
  <si>
    <t>Sistemas</t>
  </si>
  <si>
    <t>Normativos_Aplicaveis</t>
  </si>
  <si>
    <t>Imagem_Bizagi</t>
  </si>
  <si>
    <t>Observacoes</t>
  </si>
  <si>
    <t>Unidades_Corresponsaveis</t>
  </si>
  <si>
    <t>MP-01</t>
  </si>
  <si>
    <t>Gestão Estratégica e Governança</t>
  </si>
  <si>
    <t>Gerencial</t>
  </si>
  <si>
    <t>1</t>
  </si>
  <si>
    <t>Formulação, desdobramento e monitoramento da estratégia corporativa, da governança e do desempenho institucional.</t>
  </si>
  <si>
    <t>Garantir que a atuação da Companhia esteja alinhada à estratégia, com decisões baseadas em evidências.</t>
  </si>
  <si>
    <t>AE/GPE</t>
  </si>
  <si>
    <t>Gerente de Planejamento</t>
  </si>
  <si>
    <t>Plano Estratégico; Plano de Ação Anual; Relatórios de desempenho</t>
  </si>
  <si>
    <t>Diretoria Executiva; Conselho de Administração; Unidades internas</t>
  </si>
  <si>
    <t>Ministério supervisor; Órgãos de controle; Sociedade</t>
  </si>
  <si>
    <t>e-Codevasf; Painéis de BI</t>
  </si>
  <si>
    <t>Estatuto Social; Regimento Interno; Lei nº 13.303/2016</t>
  </si>
  <si>
    <t>AR/GDT; AI/GOM</t>
  </si>
  <si>
    <t>MP-02</t>
  </si>
  <si>
    <t>Gestão de Riscos, Integridade e Controles</t>
  </si>
  <si>
    <t>2</t>
  </si>
  <si>
    <t>Identificação, avaliação e tratamento de riscos corporativos, integridade e controles internos (2ª linha).</t>
  </si>
  <si>
    <t>Assegurar razoável segurança para o alcance dos objetivos institucionais.</t>
  </si>
  <si>
    <t>AE/GAG</t>
  </si>
  <si>
    <t>Gerente de Governança</t>
  </si>
  <si>
    <t>Política de Gestão de Riscos; Matriz de riscos corporativa; Plano de integridade</t>
  </si>
  <si>
    <t>Alta administração; Gestores de 1ª linha</t>
  </si>
  <si>
    <t>Auditoria interna; CGU; TCU</t>
  </si>
  <si>
    <t>e-Codevasf; Sistema de gestão de riscos</t>
  </si>
  <si>
    <t>Política de Gestão de Riscos (fictícia); IN Conjunta MP/CGU nº 01/2016</t>
  </si>
  <si>
    <t>AI/GOM; AR/GRB</t>
  </si>
  <si>
    <t>MP-03</t>
  </si>
  <si>
    <t>Desenvolvimento Territorial e Estruturação Produtiva</t>
  </si>
  <si>
    <t>Finalístico</t>
  </si>
  <si>
    <t>3</t>
  </si>
  <si>
    <t>Apoio a arranjos produtivos, inclusão socioeconômica e estruturação de cadeias produtivas nos vales.</t>
  </si>
  <si>
    <t>Promover o desenvolvimento regional integrado e sustentável.</t>
  </si>
  <si>
    <t>AR/GDT</t>
  </si>
  <si>
    <t>Gerente de Desenvolvimento</t>
  </si>
  <si>
    <t>Projetos de estruturação produtiva; Convênios e instrumentos de repasse</t>
  </si>
  <si>
    <t>Produtores rurais; Cooperativas; Municípios</t>
  </si>
  <si>
    <t>Parlamentares; Entes federados; Entidades parceiras</t>
  </si>
  <si>
    <t>TransfereGov; e-Codevasf</t>
  </si>
  <si>
    <t>Lei nº 14.133/2021; Portarias de transferências voluntárias</t>
  </si>
  <si>
    <t>AR/GRB; AA/GLC</t>
  </si>
  <si>
    <t>MP-04</t>
  </si>
  <si>
    <t>Gestão de Empreendimentos de Irrigação</t>
  </si>
  <si>
    <t>4</t>
  </si>
  <si>
    <t>Implantação, operação, manutenção e transferência de gestão de perímetros públicos de irrigação.</t>
  </si>
  <si>
    <t>Ampliar a área irrigada produtiva com sustentabilidade hídrica e econômica.</t>
  </si>
  <si>
    <t>AI/GOM</t>
  </si>
  <si>
    <t>Gerente de Operação</t>
  </si>
  <si>
    <t>Perímetros em operação; Água distribuída; Relatórios de O&amp;M</t>
  </si>
  <si>
    <t>Irrigantes; Distritos de irrigação</t>
  </si>
  <si>
    <t>ANA; Agências estaduais; Associações de usuários</t>
  </si>
  <si>
    <t>SIG-Irrigação (fictício); e-Codevasf</t>
  </si>
  <si>
    <t>Lei nº 12.787/2013 (Política Nacional de Irrigação)</t>
  </si>
  <si>
    <t>AA/GLC; AG/GGP</t>
  </si>
  <si>
    <t>MP-05</t>
  </si>
  <si>
    <t>Revitalização de Bacias Hidrográficas</t>
  </si>
  <si>
    <t>5</t>
  </si>
  <si>
    <t>Ações de recuperação hidroambiental, segurança hídrica e uso sustentável dos recursos naturais.</t>
  </si>
  <si>
    <t>Contribuir para a revitalização das bacias dos rios São Francisco e Parnaíba.</t>
  </si>
  <si>
    <t>AR/GRB</t>
  </si>
  <si>
    <t>Gerente de Revitalização</t>
  </si>
  <si>
    <t>Nascentes recuperadas; Obras hidroambientais; Sistemas de abastecimento</t>
  </si>
  <si>
    <t>Comunidades ribeirinhas; Municípios</t>
  </si>
  <si>
    <t>Comitês de bacia; MMA; Órgãos ambientais</t>
  </si>
  <si>
    <t>e-Codevasf; GeoPortal (fictício)</t>
  </si>
  <si>
    <t>Legislação ambiental aplicável</t>
  </si>
  <si>
    <t>AG/GGP; AT/GTI</t>
  </si>
  <si>
    <t>MP-06</t>
  </si>
  <si>
    <t>Gestão de Licitações e Contratos</t>
  </si>
  <si>
    <t>Suporte</t>
  </si>
  <si>
    <t>6</t>
  </si>
  <si>
    <t>Planejamento das contratações, seleção de fornecedores e gestão dos contratos administrativos da Companhia.</t>
  </si>
  <si>
    <t>Prover contratações tempestivas, vantajosas e conformes à legislação.</t>
  </si>
  <si>
    <t>AA/GLC</t>
  </si>
  <si>
    <t>Gerente de Licitações</t>
  </si>
  <si>
    <t>Editais publicados; Contratos firmados; Atas de registro de preços</t>
  </si>
  <si>
    <t>Todas as unidades demandantes</t>
  </si>
  <si>
    <t>Fornecedores; Assessoria Jurídica; Órgãos de controle; PNCP</t>
  </si>
  <si>
    <t>Compras.gov.br; PNCP; Painel de Preços; e-Codevasf</t>
  </si>
  <si>
    <t>Lei nº 14.133/2021; Lei nº 13.303/2016; IN SEGES nº 65/2021; NI-027/2024 (fictícia)</t>
  </si>
  <si>
    <t>Macroprocesso priorizado no ciclo 2026 de mapeamento.</t>
  </si>
  <si>
    <t>AT/GTI; AE/GPE</t>
  </si>
  <si>
    <t>MP-07</t>
  </si>
  <si>
    <t>Gestão de Pessoas</t>
  </si>
  <si>
    <t>7</t>
  </si>
  <si>
    <t>Provimento, desenvolvimento, remuneração e qualidade de vida do corpo funcional.</t>
  </si>
  <si>
    <t>Assegurar pessoas qualificadas e engajadas para a missão institucional.</t>
  </si>
  <si>
    <t>AG/GGP</t>
  </si>
  <si>
    <t>Gerente de Pessoas</t>
  </si>
  <si>
    <t>Empregados admitidos e capacitados; Folha de pagamento</t>
  </si>
  <si>
    <t>Empregados; Gestores</t>
  </si>
  <si>
    <t>Sindicatos; SEST; Ministério supervisor</t>
  </si>
  <si>
    <t>SIGEP (fictício); e-Codevasf</t>
  </si>
  <si>
    <t>CLT; Normas internas de pessoal</t>
  </si>
  <si>
    <t>AE/GPE; AE/GAG</t>
  </si>
  <si>
    <t>MP-08</t>
  </si>
  <si>
    <t>Gestão de Tecnologia da Informação</t>
  </si>
  <si>
    <t>8</t>
  </si>
  <si>
    <t>Planejamento, desenvolvimento, sustentação e segurança dos serviços de TI.</t>
  </si>
  <si>
    <t>Prover soluções digitais seguras que habilitem os processos de negócio.</t>
  </si>
  <si>
    <t>AT/GTI</t>
  </si>
  <si>
    <t>Gerente de TI</t>
  </si>
  <si>
    <t>Sistemas em produção; Serviços de infraestrutura; Suporte ao usuário</t>
  </si>
  <si>
    <t>Todas as unidades</t>
  </si>
  <si>
    <t>SGD/MGI; Fornecedores de TI</t>
  </si>
  <si>
    <t>e-Codevasf; Service Desk</t>
  </si>
  <si>
    <t>IN SGD nº 94/2022; Política de Segurança da Informação (fictícia)</t>
  </si>
  <si>
    <t>AE/GAG; AR/GDT</t>
  </si>
  <si>
    <t>Macroprocesso</t>
  </si>
  <si>
    <t>Area_Responsavel</t>
  </si>
  <si>
    <t>Interlocutor</t>
  </si>
  <si>
    <t>Prioridade</t>
  </si>
  <si>
    <t>Complexidade</t>
  </si>
  <si>
    <t>Status_Mapeamento</t>
  </si>
  <si>
    <t>Percentual</t>
  </si>
  <si>
    <t>Fase_Ciclo_BPM</t>
  </si>
  <si>
    <t>Inicio_Mapeamento</t>
  </si>
  <si>
    <t>Prazo_Previsto</t>
  </si>
  <si>
    <t>Data_Conclusao</t>
  </si>
  <si>
    <t>Fornecedores</t>
  </si>
  <si>
    <t>Entradas</t>
  </si>
  <si>
    <t>Saidas</t>
  </si>
  <si>
    <t>Beneficiarios</t>
  </si>
  <si>
    <t>Normativos_Relacionados</t>
  </si>
  <si>
    <t>Processo_ECodevasf</t>
  </si>
  <si>
    <t>M1_Reuniao_Contextualizacao</t>
  </si>
  <si>
    <t>M2_Macro_Processo_Modelados</t>
  </si>
  <si>
    <t>M3_Subprocessos_Modelados</t>
  </si>
  <si>
    <t>M4_ASIS_Modelado</t>
  </si>
  <si>
    <t>M5_ASIS_Validado</t>
  </si>
  <si>
    <t>M6_Procedimento_Validado</t>
  </si>
  <si>
    <t>M7_Procedimento_Aprovado</t>
  </si>
  <si>
    <t>M8_TOBE_Elaborado</t>
  </si>
  <si>
    <t>M9_TOBE_Validado</t>
  </si>
  <si>
    <t>M10_Publicado_Repositorio</t>
  </si>
  <si>
    <t>Proxima_Acao</t>
  </si>
  <si>
    <t>Pendencia</t>
  </si>
  <si>
    <t>Ultima_Atualizacao</t>
  </si>
  <si>
    <t>Maturidade</t>
  </si>
  <si>
    <t>Fontes_Dados</t>
  </si>
  <si>
    <t>M10_Processo_Transformado</t>
  </si>
  <si>
    <t>Competencias_Necessarias</t>
  </si>
  <si>
    <t>P-06.01</t>
  </si>
  <si>
    <t>Planejamento da Contratação</t>
  </si>
  <si>
    <t>Da identificação da necessidade (DFD) até a aprovação do ETP, TR e pesquisa de preços que instruem o certame.</t>
  </si>
  <si>
    <t>Instruir as contratações com estudos e artefatos completos, reduzindo retrabalho e impugnações.</t>
  </si>
  <si>
    <t>Carlos Eduardo Lima (UNP)</t>
  </si>
  <si>
    <t>Alta</t>
  </si>
  <si>
    <t>Concluído</t>
  </si>
  <si>
    <t>5. Medir o sucesso</t>
  </si>
  <si>
    <t>2026-01-05</t>
  </si>
  <si>
    <t>2026-05-29</t>
  </si>
  <si>
    <t>2026-05-18</t>
  </si>
  <si>
    <t>Áreas demandantes; Painel de Preços; Fornecedores (cotações)</t>
  </si>
  <si>
    <t>DFD; Plano de Contratações Anual; Requisitos da área</t>
  </si>
  <si>
    <t>ETP aprovado; TR aprovado; Pesquisa de preços validada</t>
  </si>
  <si>
    <t>AA/GLC (Seleção do Fornecedor); Assessoria Jurídica</t>
  </si>
  <si>
    <t>e-Codevasf; Compras.gov.br; Painel de Preços</t>
  </si>
  <si>
    <t>Lei nº 14.133/2021; IN SEGES nº 65/2021; NI-027/2024 (fictícia)</t>
  </si>
  <si>
    <t>59500.000123/2026-11</t>
  </si>
  <si>
    <t>https://fluxosti.codevasf.gov.br/incidentes/</t>
  </si>
  <si>
    <t>Sim</t>
  </si>
  <si>
    <t>Monitorar indicadores do processo e revisar o PRO em 12 meses.</t>
  </si>
  <si>
    <t>Definido</t>
  </si>
  <si>
    <t>e-Codevasf; Painel de Preços; PNCP</t>
  </si>
  <si>
    <t>Elaboração de estudos técnicos e termos de referência; Conhecimento da Lei nº 14.133/2021; Pesquisa e análise de preços de mercado</t>
  </si>
  <si>
    <t>P-06.02</t>
  </si>
  <si>
    <t>Seleção do Fornecedor</t>
  </si>
  <si>
    <t>Da divulgação do edital à homologação do resultado, incluindo sessão pública, julgamento e recursos.</t>
  </si>
  <si>
    <t>Selecionar a proposta mais vantajosa com celeridade e segurança jurídica.</t>
  </si>
  <si>
    <t>Média</t>
  </si>
  <si>
    <t>Em andamento</t>
  </si>
  <si>
    <t>2. Arquitetar mudanças</t>
  </si>
  <si>
    <t>2026-06-01</t>
  </si>
  <si>
    <t>2026-09-30</t>
  </si>
  <si>
    <t>P-06.01 (artefatos); Compras.gov.br</t>
  </si>
  <si>
    <t>Edital minutado; Parecer jurídico; ETP/TR</t>
  </si>
  <si>
    <t>Resultado homologado; Contrato/ata para assinatura</t>
  </si>
  <si>
    <t>Unidades demandantes; Fornecedores</t>
  </si>
  <si>
    <t>Compras.gov.br; PNCP; e-Codevasf</t>
  </si>
  <si>
    <t>Lei nº 14.133/2021; NI-027/2024 (fictícia)</t>
  </si>
  <si>
    <t>59500.000456/2026-22</t>
  </si>
  <si>
    <t>Não</t>
  </si>
  <si>
    <t>Validar AS-IS com o dono do processo (reunião marcada).</t>
  </si>
  <si>
    <t>Pendente retorno da área sobre fluxo de recursos administrativos.</t>
  </si>
  <si>
    <t>Repetível</t>
  </si>
  <si>
    <t>Compras.gov.br</t>
  </si>
  <si>
    <t>Condução de sessões públicas de licitação; Julgamento de propostas e habilitação; Uso de plataformas de compras governamentais</t>
  </si>
  <si>
    <t>P-06.03</t>
  </si>
  <si>
    <t>Gestão e Fiscalização Contratual</t>
  </si>
  <si>
    <t>Da assinatura do contrato ao encerramento, incluindo fiscalização, medições, pagamentos e sanções.</t>
  </si>
  <si>
    <t>Garantir a entrega do objeto contratado no prazo, custo e qualidade pactuados.</t>
  </si>
  <si>
    <t>Bruna Souza (UNP)</t>
  </si>
  <si>
    <t>2026-06-15</t>
  </si>
  <si>
    <t>2026-11-30</t>
  </si>
  <si>
    <t>P-06.02 (contrato); Fornecedores contratados</t>
  </si>
  <si>
    <t>Contrato assinado; Cronograma; Garantias</t>
  </si>
  <si>
    <t>Objeto recebido; Pagamentos efetuados; Termo de encerramento</t>
  </si>
  <si>
    <t>e-Codevasf; Compras.gov.br</t>
  </si>
  <si>
    <t>Lei nº 14.133/2021; Manual de Fiscalização (fictício)</t>
  </si>
  <si>
    <t>59500.000789/2026-33</t>
  </si>
  <si>
    <t>Concluir modelagem AS-IS das medições e pagamentos.</t>
  </si>
  <si>
    <t>Gerenciado</t>
  </si>
  <si>
    <t>e-Codevasf</t>
  </si>
  <si>
    <t>Fiscalização técnica e administrativa de contratos; Gestão de medições e pagamentos; Aplicação de sanções administrativas</t>
  </si>
  <si>
    <t>P-04.01</t>
  </si>
  <si>
    <t>Operação e Manutenção de Perímetros Irrigados</t>
  </si>
  <si>
    <t>Programação e distribuição de água, manutenção da infraestrutura de uso comum e relacionamento com irrigantes.</t>
  </si>
  <si>
    <t>Assegurar a distribuição hídrica confiável e a conservação dos ativos.</t>
  </si>
  <si>
    <t>Eduardo Martins (UNP)</t>
  </si>
  <si>
    <t>2026-05-04</t>
  </si>
  <si>
    <t>2026-10-30</t>
  </si>
  <si>
    <t>ANA (outorgas); Distritos de irrigação</t>
  </si>
  <si>
    <t>Outorga de uso; Demanda de irrigação; Plano de cultivo</t>
  </si>
  <si>
    <t>Água distribuída; Infraestrutura mantida; Relatórios de O&amp;M</t>
  </si>
  <si>
    <t>Irrigantes; Distritos</t>
  </si>
  <si>
    <t>Lei nº 12.787/2013</t>
  </si>
  <si>
    <t>59500.000901/2026-44</t>
  </si>
  <si>
    <t>Agendar oficina de validação do AS-IS com o distrito.</t>
  </si>
  <si>
    <t>Inicial</t>
  </si>
  <si>
    <t>SIG-Irrigação (fictício)</t>
  </si>
  <si>
    <t>Operação de sistemas hidráulicos; Manutenção de infraestrutura de irrigação; Relacionamento com associações de irrigantes</t>
  </si>
  <si>
    <t>P-05.01</t>
  </si>
  <si>
    <t>Recuperação de Nascentes e Matas Ciliares</t>
  </si>
  <si>
    <t>Seleção de áreas, execução de cercamento e plantio, e monitoramento da regeneração.</t>
  </si>
  <si>
    <t>Recuperar áreas degradadas prioritárias das bacias.</t>
  </si>
  <si>
    <t>Não iniciado</t>
  </si>
  <si>
    <t>1. Alinhamento à estratégia e metas</t>
  </si>
  <si>
    <t>2027-03-31</t>
  </si>
  <si>
    <t>Municípios; Comitês de bacia</t>
  </si>
  <si>
    <t>Diagnóstico hidroambiental; Termos de cooperação</t>
  </si>
  <si>
    <t>Nascentes recuperadas; Relatórios de monitoramento</t>
  </si>
  <si>
    <t>Comunidades; Órgãos ambientais</t>
  </si>
  <si>
    <t>Enviar formulário de levantamento à área (previsto ago/2026).</t>
  </si>
  <si>
    <t>Diagnóstico e recuperação de áreas degradadas; Noções de engenharia ambiental; Articulação com comunidades e órgãos ambientais</t>
  </si>
  <si>
    <t>P-01.01</t>
  </si>
  <si>
    <t>Formulação e Monitoramento do Planejamento Estratégico</t>
  </si>
  <si>
    <t>Construção do plano estratégico, desdobramento em planos de ação e monitoramento periódico de resultados.</t>
  </si>
  <si>
    <t>Manter a estratégia viva, monitorada e comunicada.</t>
  </si>
  <si>
    <t>Gustavo Pereira (UNP)</t>
  </si>
  <si>
    <t>2025-09-01</t>
  </si>
  <si>
    <t>2026-02-27</t>
  </si>
  <si>
    <t>2026-02-20</t>
  </si>
  <si>
    <t>Diretoria; Unidades</t>
  </si>
  <si>
    <t>Diretrizes de governo; Diagnóstico institucional</t>
  </si>
  <si>
    <t>Plano Estratégico; Painel de indicadores; RAG</t>
  </si>
  <si>
    <t>Diretoria Executiva; Conselhos</t>
  </si>
  <si>
    <t>Lei nº 13.303/2016</t>
  </si>
  <si>
    <t>59500.000015/2025-77</t>
  </si>
  <si>
    <t>Ciclo de monitoramento trimestral (próximo: set/2026).</t>
  </si>
  <si>
    <t>Otimizado</t>
  </si>
  <si>
    <t>Planejamento estratégico e gestão por indicadores; Facilitação de oficinas; Análise de dados institucionais</t>
  </si>
  <si>
    <t>P-07.01</t>
  </si>
  <si>
    <t>Admissão e Integração de Empregados</t>
  </si>
  <si>
    <t>Da homologação do concurso à integração do novo empregado, incluindo exames, posse e ambientação.</t>
  </si>
  <si>
    <t>Admitir e integrar novos empregados com agilidade e conformidade.</t>
  </si>
  <si>
    <t>Baixa</t>
  </si>
  <si>
    <t>2027-06-30</t>
  </si>
  <si>
    <t>Banca do concurso; Candidatos</t>
  </si>
  <si>
    <t>Resultado homologado; Documentação do candidato</t>
  </si>
  <si>
    <t>Empregado admitido e integrado</t>
  </si>
  <si>
    <t>Novos empregados; Unidades de lotação</t>
  </si>
  <si>
    <t>Aguardando priorização no ciclo 2027.</t>
  </si>
  <si>
    <t>Rotinas de admissão e legislação trabalhista (CLT); Condução de processos de integração; Uso de sistemas de gestão de pessoas</t>
  </si>
  <si>
    <t>Vinculo_Pai</t>
  </si>
  <si>
    <t>Dono</t>
  </si>
  <si>
    <t>Reutilizavel</t>
  </si>
  <si>
    <t>Reutilizado_Em</t>
  </si>
  <si>
    <t>Produto</t>
  </si>
  <si>
    <t>Cronograma_Proposto_Dias</t>
  </si>
  <si>
    <t>SP-06.01.01</t>
  </si>
  <si>
    <t>Estudo Técnico Preliminar (ETP)</t>
  </si>
  <si>
    <t>Caracterização da necessidade, análise de soluções de mercado e demonstração da viabilidade da contratação.</t>
  </si>
  <si>
    <t>Fundamentar tecnicamente a melhor solução para a necessidade.</t>
  </si>
  <si>
    <t>DFD; Levantamento de soluções de mercado</t>
  </si>
  <si>
    <t>ETP aprovado no e-Codevasf</t>
  </si>
  <si>
    <t>Estudo Técnico Preliminar (ETP) aprovado</t>
  </si>
  <si>
    <t>SP-06.01.02</t>
  </si>
  <si>
    <t>Termo de Referência (TR)</t>
  </si>
  <si>
    <t>Definição do objeto, requisitos, modelo de execução e gestão contratual, e critérios de julgamento.</t>
  </si>
  <si>
    <t>Especificar com precisão o objeto e as condições da contratação.</t>
  </si>
  <si>
    <t>ETP aprovado; Modelos padronizados de TR</t>
  </si>
  <si>
    <t>TR aprovado e validado juridicamente</t>
  </si>
  <si>
    <t>Termo de Referência (TR) aprovado e validado juridicamente</t>
  </si>
  <si>
    <t>SP-06.01.03</t>
  </si>
  <si>
    <t>Pesquisa de Preços</t>
  </si>
  <si>
    <t>Levantamento de preços em fontes admitidas (Painel de Preços, PNCP, cotações) e consolidação do valor estimado.</t>
  </si>
  <si>
    <t>Estimar o valor da contratação conforme a IN SEGES nº 65/2021.</t>
  </si>
  <si>
    <t>TR validado; Fontes de preços admitidas</t>
  </si>
  <si>
    <t>Relatório de pesquisa de preços; Mapa comparativo</t>
  </si>
  <si>
    <t>Painel de Preços; PNCP; e-Codevasf</t>
  </si>
  <si>
    <t>Painel de Preços; PNCP</t>
  </si>
  <si>
    <t>Relatório de pesquisa de preços com valor estimado consolidado</t>
  </si>
  <si>
    <t>SP-06.01.03.01</t>
  </si>
  <si>
    <t>Tratamento de Preços Inexequíveis ou Excessivos</t>
  </si>
  <si>
    <t>Identificação e exclusão de valores discrepantes coletados na pesquisa, com justificativa técnica registrada.</t>
  </si>
  <si>
    <t>Evitar que outliers de preço distorçam o valor estimado da contratação.</t>
  </si>
  <si>
    <t>Amostra de preços coletados na pesquisa</t>
  </si>
  <si>
    <t>Valores discrepantes identificados e justificados</t>
  </si>
  <si>
    <t>Planilha padrão; e-Codevasf</t>
  </si>
  <si>
    <t>P-06.02; P-04.01</t>
  </si>
  <si>
    <t>Amostra de preços tratada estatisticamente, com justificativa de exclusões</t>
  </si>
  <si>
    <t>SP-06.02.01</t>
  </si>
  <si>
    <t>Condução da Sessão Pública</t>
  </si>
  <si>
    <t>Abertura da sessão no sistema, fase de lances, julgamento, habilitação e registro em ata.</t>
  </si>
  <si>
    <t>Conduzir o certame com transparência e celeridade.</t>
  </si>
  <si>
    <t>Edital publicado; Propostas dos licitantes</t>
  </si>
  <si>
    <t>Ata da sessão; Resultado por item</t>
  </si>
  <si>
    <t>Ata da sessão pública com resultado do certame por item</t>
  </si>
  <si>
    <t>SP-04.01.01</t>
  </si>
  <si>
    <t>Distribuição de Água aos Irrigantes</t>
  </si>
  <si>
    <t>Programação semanal, operação de comportas e bombas, e registro de volumes distribuídos.</t>
  </si>
  <si>
    <t>Entregar a água programada com eficiência e equidade.</t>
  </si>
  <si>
    <t>Outorga de uso; Demanda de irrigação</t>
  </si>
  <si>
    <t>Programação hídrica executada; Registros de volume</t>
  </si>
  <si>
    <t>Programação hídrica semanal executada e registrada</t>
  </si>
  <si>
    <t>Tipo_Atividade</t>
  </si>
  <si>
    <t>Responsavel</t>
  </si>
  <si>
    <t>A-06.01.01.01</t>
  </si>
  <si>
    <t>Formalizar a necessidade (DFD)</t>
  </si>
  <si>
    <t>Necessidade identificada; Plano de Contratações Anual</t>
  </si>
  <si>
    <t>DFD assinado no e-Codevasf</t>
  </si>
  <si>
    <t>https://placehold.co/960x420/155bcb/ffffff?text=Diagrama+BPMN+A-06.01.01.01</t>
  </si>
  <si>
    <t>Agregação de Valor</t>
  </si>
  <si>
    <t>A área demandante registra a necessidade de contratação no Documento de Formalização da Demanda (DFD), justificando o objeto e vinculando-o ao Plano de Contratações Anual.</t>
  </si>
  <si>
    <t>A-06.01.01.02</t>
  </si>
  <si>
    <t>Levantar soluções de mercado</t>
  </si>
  <si>
    <t>DFD; Catálogos; Contratações similares (PNCP)</t>
  </si>
  <si>
    <t>Levantamento de soluções documentado</t>
  </si>
  <si>
    <t>PNCP; Compras.gov.br</t>
  </si>
  <si>
    <t>A equipe de planejamento pesquisa catálogos, contratações similares no PNCP e alternativas de mercado que atendam à necessidade formalizada no DFD.</t>
  </si>
  <si>
    <t>A-06.01.01.03</t>
  </si>
  <si>
    <t>Estimar quantidades e resultados</t>
  </si>
  <si>
    <t>Levantamento de soluções; Séries históricas</t>
  </si>
  <si>
    <t>Memória de cálculo de quantitativos</t>
  </si>
  <si>
    <t>A equipe de planejamento estima quantitativos e resultados pretendidos com base no levantamento de soluções e em séries históricas de consumo.</t>
  </si>
  <si>
    <t>A-06.01.01.04</t>
  </si>
  <si>
    <t>Elaborar e aprovar o ETP</t>
  </si>
  <si>
    <t>Levantamentos e memórias anteriores</t>
  </si>
  <si>
    <t>ETP aprovado</t>
  </si>
  <si>
    <t>Controle</t>
  </si>
  <si>
    <t>A equipe de planejamento consolida os levantamentos no Estudo Técnico Preliminar (ETP) e o submete à aprovação da autoridade competente.</t>
  </si>
  <si>
    <t>A-06.01.02.01</t>
  </si>
  <si>
    <t>Redigir o Termo de Referência</t>
  </si>
  <si>
    <t>ETP aprovado; Modelos padronizados</t>
  </si>
  <si>
    <t>Minuta de TR</t>
  </si>
  <si>
    <t>A equipe de planejamento redige a minuta do Termo de Referência a partir do ETP aprovado, utilizando os modelos padronizados da Empresa.</t>
  </si>
  <si>
    <t>A-06.01.02.02</t>
  </si>
  <si>
    <t>Validar o TR com a Assessoria Jurídica</t>
  </si>
  <si>
    <t>TR validado; Parecer jurídico</t>
  </si>
  <si>
    <t>A Assessoria Jurídica analisa a minuta do Termo de Referência e emite parecer sobre sua conformidade legal antes da publicação do edital.</t>
  </si>
  <si>
    <t>A-06.01.03.01</t>
  </si>
  <si>
    <t>Realizar a pesquisa de preços</t>
  </si>
  <si>
    <t>TR validado; Fontes de preços</t>
  </si>
  <si>
    <t>Relatório de pesquisa de preços</t>
  </si>
  <si>
    <t>A equipe de planejamento coleta preços em ao menos três fontes distintas (Painel de Preços, PNCP e contratações similares) para compor a estimativa de valor.</t>
  </si>
  <si>
    <t>A-06.01.03.02</t>
  </si>
  <si>
    <t>Consolidar o valor estimado</t>
  </si>
  <si>
    <t>Relatório de pesquisa</t>
  </si>
  <si>
    <t>Valor estimado consolidado</t>
  </si>
  <si>
    <t>A equipe de planejamento consolida os preços coletados e tratados estatisticamente em um valor estimado único para a contratação.</t>
  </si>
  <si>
    <t>A-06.01.03.01.01</t>
  </si>
  <si>
    <t>Aplicar critério de exclusão de valores discrepantes</t>
  </si>
  <si>
    <t>Amostra de preços coletados</t>
  </si>
  <si>
    <t>Amostra tratada; Justificativa de exclusão</t>
  </si>
  <si>
    <t>Planilha padrão</t>
  </si>
  <si>
    <t>A equipe de planejamento aplica o critério estatístico definido para excluir da amostra valores inexequíveis ou excessivamente discrepantes, registrando a justificativa.</t>
  </si>
  <si>
    <t>A-06.02.01.01</t>
  </si>
  <si>
    <t>Publicar o edital</t>
  </si>
  <si>
    <t>Edital aprovado; Parecer jurídico</t>
  </si>
  <si>
    <t>Edital publicado (PNCP)</t>
  </si>
  <si>
    <t>Compras.gov.br; PNCP</t>
  </si>
  <si>
    <t>Transferência</t>
  </si>
  <si>
    <t>A área responsável publica o edital aprovado e o parecer jurídico no Compras.gov.br e no PNCP, abrindo o certame.</t>
  </si>
  <si>
    <t>A-06.02.01.02</t>
  </si>
  <si>
    <t>Conduzir a sessão e julgar propostas</t>
  </si>
  <si>
    <t>Edital publicado; Propostas</t>
  </si>
  <si>
    <t>Ata da sessão; Resultado do julgamento</t>
  </si>
  <si>
    <t>O agente de contratação conduz a sessão pública, analisa as propostas recebidas e registra o resultado do julgamento em ata.</t>
  </si>
  <si>
    <t>A-04.01.01.01</t>
  </si>
  <si>
    <t>Programar a distribuição hídrica</t>
  </si>
  <si>
    <t>Plano de cultivo; Disponibilidade hídrica</t>
  </si>
  <si>
    <t>Programação semanal aprovada</t>
  </si>
  <si>
    <t>A equipe de operação do perímetro programa semanalmente a distribuição de água com base no plano de cultivo e na disponibilidade hídrica.</t>
  </si>
  <si>
    <t>A-04.01.01.02</t>
  </si>
  <si>
    <t>Operar e registrar a distribuição</t>
  </si>
  <si>
    <t>Programação semanal</t>
  </si>
  <si>
    <t>Volumes registrados; Ocorrências</t>
  </si>
  <si>
    <t>A equipe de operação executa a distribuição programada e registra volumes e ocorrências no sistema de gestão da irrigação.</t>
  </si>
  <si>
    <t>Atividade</t>
  </si>
  <si>
    <t>Tipo_Tarefa</t>
  </si>
  <si>
    <t>Duracao_Estimada</t>
  </si>
  <si>
    <t>Disparador</t>
  </si>
  <si>
    <t>Passos</t>
  </si>
  <si>
    <t>Criterios_Desempenho</t>
  </si>
  <si>
    <t>Principios</t>
  </si>
  <si>
    <t>Materiais_Ferramentas</t>
  </si>
  <si>
    <t>Resultados_Esperados</t>
  </si>
  <si>
    <t>Pessoas_Consultar</t>
  </si>
  <si>
    <t>T-06.01.01.01.01</t>
  </si>
  <si>
    <t>Reunir informações da demanda</t>
  </si>
  <si>
    <t>Manual</t>
  </si>
  <si>
    <t>Área demandante identifica necessidade de contratação</t>
  </si>
  <si>
    <t>Levantar justificativa da necessidade; Consultar o PCA vigente; Reunir quantitativos preliminares com a área demandante</t>
  </si>
  <si>
    <t>Informações completas e alinhadas ao PCA; prazo de até 3 dias úteis</t>
  </si>
  <si>
    <t>Transparência; Economicidade</t>
  </si>
  <si>
    <t>e-Codevasf; Modelo de DFD</t>
  </si>
  <si>
    <t>Justificativa e quantitativos preliminares documentados</t>
  </si>
  <si>
    <t>Gestor da área demandante; Coordenador de orçamento</t>
  </si>
  <si>
    <t>T-06.01.01.01.02</t>
  </si>
  <si>
    <t>Preencher o formulário DFD no e-Codevasf</t>
  </si>
  <si>
    <t>Modelo DOC-006/DOC-012.</t>
  </si>
  <si>
    <t>T-06.01.01.01.03</t>
  </si>
  <si>
    <t>Colher assinatura eletrônica do gestor</t>
  </si>
  <si>
    <t>T-06.01.03.01.01</t>
  </si>
  <si>
    <t>Consultar o Painel de Preços</t>
  </si>
  <si>
    <t>Termo de Referência validado pela Assessoria Jurídica</t>
  </si>
  <si>
    <t>Consultar Painel de Preços, PNCP e contratações similares; Registrar as fontes e os valores coletados; Aplicar o método de tratamento estatístico definido</t>
  </si>
  <si>
    <t>No mínimo 3 fontes distintas; amostra sem valores inexequíveis não tratados</t>
  </si>
  <si>
    <t>Isonomia; Economicidade; Ampla concorrência</t>
  </si>
  <si>
    <t>Painel de Preços; PNCP; Planilha padrão de pesquisa</t>
  </si>
  <si>
    <t>Amostra de preços coletada e tratada, pronta para consolidação do valor estimado</t>
  </si>
  <si>
    <t>Equipe de planejamento da contratação</t>
  </si>
  <si>
    <t>T-06.01.03.01.02</t>
  </si>
  <si>
    <t>Consultar contratações no PNCP</t>
  </si>
  <si>
    <t>T-06.01.03.01.03</t>
  </si>
  <si>
    <t>Registrar cotações de fornecedores</t>
  </si>
  <si>
    <t>Mínimo de 3 fontes (IN 65/2021).</t>
  </si>
  <si>
    <t>T-06.01.03.01.04</t>
  </si>
  <si>
    <t>Aplicar tratamento estatístico</t>
  </si>
  <si>
    <t>Regra de negócio</t>
  </si>
  <si>
    <t>T-06.02.01.01.01</t>
  </si>
  <si>
    <t>Cadastrar o edital no Compras.gov.br</t>
  </si>
  <si>
    <t>T-06.02.01.01.02</t>
  </si>
  <si>
    <t>Publicar o aviso no PNCP</t>
  </si>
  <si>
    <t>Automatizada</t>
  </si>
  <si>
    <t>T-04.01.01.01.01</t>
  </si>
  <si>
    <t>Consolidar demandas semanais dos lotes</t>
  </si>
  <si>
    <t>ID</t>
  </si>
  <si>
    <t>Vinculo_Nivel</t>
  </si>
  <si>
    <t>Vinculo_Codigo</t>
  </si>
  <si>
    <t>Tipo_Documento</t>
  </si>
  <si>
    <t>Titulo</t>
  </si>
  <si>
    <t>Versao</t>
  </si>
  <si>
    <t>Data</t>
  </si>
  <si>
    <t>Situacao</t>
  </si>
  <si>
    <t>Link</t>
  </si>
  <si>
    <t>Ato_Aprovacao</t>
  </si>
  <si>
    <t>DOC-001</t>
  </si>
  <si>
    <t>Procedimento (PRO)</t>
  </si>
  <si>
    <t>PRO 06.01 — Planejamento da Contratação</t>
  </si>
  <si>
    <t>2.0</t>
  </si>
  <si>
    <t>Vigente</t>
  </si>
  <si>
    <t>https://exemplo.codevasf.gov.br/repositorio/pop-06-01.pdf</t>
  </si>
  <si>
    <t>Publicado após validação do TO-BE.</t>
  </si>
  <si>
    <t>Resolução nº 812, de 18/05/2026 (Diretoria Executiva)</t>
  </si>
  <si>
    <t>DOC-002</t>
  </si>
  <si>
    <t>Diagrama BPMN</t>
  </si>
  <si>
    <t>Diagrama AS-IS — Planejamento da Contratação (Bizagi)</t>
  </si>
  <si>
    <t>1.0</t>
  </si>
  <si>
    <t>2026-03-02</t>
  </si>
  <si>
    <t>Exportado do Bizagi Modeler. Mesmo link da ficha do processo (P-06.01).</t>
  </si>
  <si>
    <t>DOC-003</t>
  </si>
  <si>
    <t>Diagrama TO-BE — Planejamento da Contratação (Bizagi)</t>
  </si>
  <si>
    <t>https://exemplo.codevasf.gov.br/repositorio/p-06-01-tobe.pdf</t>
  </si>
  <si>
    <t>DOC-004</t>
  </si>
  <si>
    <t>Ata de reunião</t>
  </si>
  <si>
    <t>Ata — Reunião de contextualização com a GLC</t>
  </si>
  <si>
    <t>2026-01-12</t>
  </si>
  <si>
    <t>https://exemplo.codevasf.gov.br/sei/ata-contextualizacao-p0601</t>
  </si>
  <si>
    <t>e-Codevasf 59500.000123/2026-11.</t>
  </si>
  <si>
    <t>DOC-005</t>
  </si>
  <si>
    <t>P-06.01;SP-06.01.03</t>
  </si>
  <si>
    <t>Relatório</t>
  </si>
  <si>
    <t>Relatório de oportunidades de melhoria (AS-IS → TO-BE)</t>
  </si>
  <si>
    <t>2026-04-13</t>
  </si>
  <si>
    <t>https://exemplo.codevasf.gov.br/repositorio/rel-melhorias-p0601.pdf</t>
  </si>
  <si>
    <t>DOC-006</t>
  </si>
  <si>
    <t>Formulário/Modelo</t>
  </si>
  <si>
    <t>Modelo de DFD — Documento de Formalização da Demanda</t>
  </si>
  <si>
    <t>3.1</t>
  </si>
  <si>
    <t>2026-02-10</t>
  </si>
  <si>
    <t>https://exemplo.codevasf.gov.br/modelos/dfd.docx</t>
  </si>
  <si>
    <t>DOC-007</t>
  </si>
  <si>
    <t>SP-06.01.03;SP-06.01.03.01</t>
  </si>
  <si>
    <t>Roteiro de pesquisa de preços (IN SEGES nº 65/2021)</t>
  </si>
  <si>
    <t>1.2</t>
  </si>
  <si>
    <t>2026-04-27</t>
  </si>
  <si>
    <t>https://exemplo.codevasf.gov.br/repositorio/roteiro-precos.pdf</t>
  </si>
  <si>
    <t>Resolução nº 845, de 27/04/2026 (Diretor da Área de Aquisições)</t>
  </si>
  <si>
    <t>DOC-008</t>
  </si>
  <si>
    <t>Norma interna</t>
  </si>
  <si>
    <t>NI-027/2024 — Norma de Licitações e Contratos (fictícia)</t>
  </si>
  <si>
    <t>4.0</t>
  </si>
  <si>
    <t>2024-11-20</t>
  </si>
  <si>
    <t>https://exemplo.codevasf.gov.br/normativos/ni-027</t>
  </si>
  <si>
    <t>Resolução nº 621, de 20/11/2024 (Diretoria Executiva)</t>
  </si>
  <si>
    <t>DOC-009</t>
  </si>
  <si>
    <t>P-06.01;P-06.03</t>
  </si>
  <si>
    <t>Manual de Gestão e Fiscalização de Contratos (fictício)</t>
  </si>
  <si>
    <t>2.3</t>
  </si>
  <si>
    <t>2025-08-14</t>
  </si>
  <si>
    <t>Em revisão</t>
  </si>
  <si>
    <t>https://exemplo.codevasf.gov.br/normativos/manual-fiscalizacao</t>
  </si>
  <si>
    <t>Resolução nº 703, de 14/08/2025 (Diretoria Executiva)</t>
  </si>
  <si>
    <t>DOC-010</t>
  </si>
  <si>
    <t>Ata — Contextualização do processo Seleção do Fornecedor</t>
  </si>
  <si>
    <t>2026-06-02</t>
  </si>
  <si>
    <t>https://exemplo.codevasf.gov.br/sei/ata-contextualizacao-p0602</t>
  </si>
  <si>
    <t>DOC-011</t>
  </si>
  <si>
    <t>Diagrama AS-IS parcial — O&amp;M de Perímetros (Bizagi)</t>
  </si>
  <si>
    <t>0.3</t>
  </si>
  <si>
    <t>2026-07-08</t>
  </si>
  <si>
    <t>Em elaboração</t>
  </si>
  <si>
    <t>Modelagem em curso.</t>
  </si>
  <si>
    <t>DOC-012</t>
  </si>
  <si>
    <t>Passo a passo do DFD no e-Codevasf</t>
  </si>
  <si>
    <t>2026-02-12</t>
  </si>
  <si>
    <t>https://exemplo.codevasf.gov.br/modelos/dfd-sei-passoapasso.pdf</t>
  </si>
  <si>
    <t>DOC-013</t>
  </si>
  <si>
    <t>Caderno de Indicadores Estratégicos 2026</t>
  </si>
  <si>
    <t>2026-03-31</t>
  </si>
  <si>
    <t>https://exemplo.codevasf.gov.br/estrategia/caderno-2026.pdf</t>
  </si>
  <si>
    <t>DOC-014</t>
  </si>
  <si>
    <t>Plano</t>
  </si>
  <si>
    <t>Plano de implantação do TO-BE (PMBOK — plano do projeto)</t>
  </si>
  <si>
    <t>2026-05-06</t>
  </si>
  <si>
    <t>https://exemplo.codevasf.gov.br/repositorio/plano-tobe-p0601.pdf</t>
  </si>
  <si>
    <t>DOC-015</t>
  </si>
  <si>
    <t>Checklist</t>
  </si>
  <si>
    <t>Checklist de Conformidade — Planejamento da Contratação</t>
  </si>
  <si>
    <t>https://exemplo.codevasf.gov.br/repositorio/checklist-p0601.pdf</t>
  </si>
  <si>
    <t>Exemplo — checklist ainda não padronizado para os demais processos da carteira.</t>
  </si>
  <si>
    <t>DOC-016</t>
  </si>
  <si>
    <t>NI-014/2019 — Norma de Administração de Pessoal (fictícia)</t>
  </si>
  <si>
    <t>3.0</t>
  </si>
  <si>
    <t>https://exemplo.codevasf.gov.br/normativos/ni-014</t>
  </si>
  <si>
    <t>Exemplo — norma com revisão trienal vencida (N-000, item 4.2.3), ainda não atualizada.</t>
  </si>
  <si>
    <t>Resolução nº 512, de 10/06/2019 (Diretoria Executiva)</t>
  </si>
  <si>
    <t>Descricao_Risco</t>
  </si>
  <si>
    <t>Probabilidade_1a5</t>
  </si>
  <si>
    <t>Impacto_1a5</t>
  </si>
  <si>
    <t>Nivel_PxI</t>
  </si>
  <si>
    <t>Classificacao</t>
  </si>
  <si>
    <t>Resposta</t>
  </si>
  <si>
    <t>Controles_Tratamento</t>
  </si>
  <si>
    <t>Status</t>
  </si>
  <si>
    <t>Cronograma_Risco</t>
  </si>
  <si>
    <t>Fatores</t>
  </si>
  <si>
    <t>RIS-001</t>
  </si>
  <si>
    <t>Processo</t>
  </si>
  <si>
    <t>Estimativas de preço defasadas gerando sobrepreço ou licitação deserta.</t>
  </si>
  <si>
    <t>Operacional</t>
  </si>
  <si>
    <t>Alto</t>
  </si>
  <si>
    <t>Mitigar</t>
  </si>
  <si>
    <t>Roteiro de pesquisa com múltiplas fontes (Painel de Preços, PNCP) e revisão pela UNP.</t>
  </si>
  <si>
    <t>Ricardo Nogueira</t>
  </si>
  <si>
    <t>Em tratamento</t>
  </si>
  <si>
    <t>RIS-002</t>
  </si>
  <si>
    <t>TR genérico ou restritivo provocando impugnações e atrasos no certame.</t>
  </si>
  <si>
    <t>Legal/Conformidade</t>
  </si>
  <si>
    <t>Checklist de revisão e validação obrigatória pela Assessoria Jurídica.</t>
  </si>
  <si>
    <t>RIS-003</t>
  </si>
  <si>
    <t>Fiscalização intempestiva de contratos, com medições e pagamentos atrasados.</t>
  </si>
  <si>
    <t>Designação formal de fiscais, agenda de medições e alertas no e-Codevasf.</t>
  </si>
  <si>
    <t>Aberto</t>
  </si>
  <si>
    <t>RIS-004</t>
  </si>
  <si>
    <t>Subprocesso</t>
  </si>
  <si>
    <t>Conhecimento concentrado em um único empregado (pessoa-chave) na elaboração de ETP.</t>
  </si>
  <si>
    <t>Pessoas</t>
  </si>
  <si>
    <t>Publicar o PRO, treinar substitutos e revezar a equipe de planejamento.</t>
  </si>
  <si>
    <t>Patrícia Ramos</t>
  </si>
  <si>
    <t>RIS-005</t>
  </si>
  <si>
    <t>Indisponibilidade hídrica comprometendo a programação de distribuição.</t>
  </si>
  <si>
    <t>Moderado</t>
  </si>
  <si>
    <t>Plano de contingência hídrica e priorização de culturas conforme regras do perímetro.</t>
  </si>
  <si>
    <t>Marcos Vinícius</t>
  </si>
  <si>
    <t>RIS-006</t>
  </si>
  <si>
    <t>Instabilidade do Compras.gov.br durante a sessão pública.</t>
  </si>
  <si>
    <t>Tecnologia da Informação</t>
  </si>
  <si>
    <t>Protocolo de suspensão formal da sessão e comunicação imediata aos licitantes.</t>
  </si>
  <si>
    <t>Daniela Ribeiro</t>
  </si>
  <si>
    <t>RIS-007</t>
  </si>
  <si>
    <t>Alterações normativas frequentes exigindo atualização contínua de procedimentos.</t>
  </si>
  <si>
    <t>Monitoramento normativo mensal (resenha) e revisão programada dos PROs.</t>
  </si>
  <si>
    <t>Bruna Souza</t>
  </si>
  <si>
    <t>RIS-008</t>
  </si>
  <si>
    <t>Uso de fontes de preço não admitidas pela IN SEGES nº 65/2021.</t>
  </si>
  <si>
    <t>Validação da pesquisa pela UNP antes da aprovação do valor estimado.</t>
  </si>
  <si>
    <t>Carlos Eduardo Lima</t>
  </si>
  <si>
    <t>Encerrado</t>
  </si>
  <si>
    <t>RIS-009</t>
  </si>
  <si>
    <t>Baixo engajamento das áreas demandantes no preenchimento do DFD.</t>
  </si>
  <si>
    <t>Oficinas de capacitação e modelo simplificado de DFD no e-Codevasf.</t>
  </si>
  <si>
    <t>Descricao_Formula</t>
  </si>
  <si>
    <t>Unidade</t>
  </si>
  <si>
    <t>Polaridade</t>
  </si>
  <si>
    <t>Meta</t>
  </si>
  <si>
    <t>Periodicidade</t>
  </si>
  <si>
    <t>Fonte</t>
  </si>
  <si>
    <t>IND-001</t>
  </si>
  <si>
    <t>Tempo médio do ciclo de contratação</t>
  </si>
  <si>
    <t>Média de dias entre o DFD e a homologação do certame.</t>
  </si>
  <si>
    <t>dias</t>
  </si>
  <si>
    <t>Menor melhor</t>
  </si>
  <si>
    <t>120</t>
  </si>
  <si>
    <t>Trimestral</t>
  </si>
  <si>
    <t>IND-002</t>
  </si>
  <si>
    <t>Prazo médio de elaboração do ETP</t>
  </si>
  <si>
    <t>Média de dias úteis entre o DFD e a aprovação do ETP.</t>
  </si>
  <si>
    <t>30</t>
  </si>
  <si>
    <t>Mensal</t>
  </si>
  <si>
    <t>IND-003</t>
  </si>
  <si>
    <t>Impugnações por edital</t>
  </si>
  <si>
    <t>Nº médio de impugnações recebidas por edital publicado.</t>
  </si>
  <si>
    <t>nº</t>
  </si>
  <si>
    <t>IND-004</t>
  </si>
  <si>
    <t>Contratos com fiscal designado</t>
  </si>
  <si>
    <t>% de contratos vigentes com fiscal formalmente designado.</t>
  </si>
  <si>
    <t>%</t>
  </si>
  <si>
    <t>Maior melhor</t>
  </si>
  <si>
    <t>100</t>
  </si>
  <si>
    <t>IND-005</t>
  </si>
  <si>
    <t>Eficiência no uso da água</t>
  </si>
  <si>
    <t>Relação % entre volume faturado e volume captado no perímetro.</t>
  </si>
  <si>
    <t>75</t>
  </si>
  <si>
    <t>IND-006</t>
  </si>
  <si>
    <t>Processos com mapeamento concluído</t>
  </si>
  <si>
    <t>% de processos do macroprocesso com marco M9 concluído.</t>
  </si>
  <si>
    <t>Painel de Processos</t>
  </si>
  <si>
    <t>IND-007</t>
  </si>
  <si>
    <t>Ações estratégicas monitoradas no prazo</t>
  </si>
  <si>
    <t>% de ações do plano com status atualizado no ciclo.</t>
  </si>
  <si>
    <t>95</t>
  </si>
  <si>
    <t>Painéis de BI</t>
  </si>
  <si>
    <t>IND-008</t>
  </si>
  <si>
    <t>Pesquisas de preço com 3+ fontes</t>
  </si>
  <si>
    <t>% de pesquisas de preços com três ou mais fontes admitidas.</t>
  </si>
  <si>
    <t>IND-009</t>
  </si>
  <si>
    <t>Nascentes recuperadas no ano</t>
  </si>
  <si>
    <t>Nº de nascentes com recuperação concluída no exercício.</t>
  </si>
  <si>
    <t>Anual</t>
  </si>
  <si>
    <t>GeoPortal (fictício)</t>
  </si>
  <si>
    <t>MET-010</t>
  </si>
  <si>
    <t>SLA — Tempo de resposta ao demandante</t>
  </si>
  <si>
    <t>Dias úteis entre o recebimento do DFD e o retorno inicial à área demandante.</t>
  </si>
  <si>
    <t>Nível de Serviço (SLA)</t>
  </si>
  <si>
    <t>dias úteis</t>
  </si>
  <si>
    <t>Acordado com as áreas demandantes em 2026.</t>
  </si>
  <si>
    <t>MET-011</t>
  </si>
  <si>
    <t>ROI — Automatização da pesquisa de preços</t>
  </si>
  <si>
    <t>(Economia de horas de trabalho convertida em custo − custo da ferramenta) / custo da ferramenta.</t>
  </si>
  <si>
    <t>Financeiro (ROI)</t>
  </si>
  <si>
    <t>Estimativa fictícia para demonstração.</t>
  </si>
  <si>
    <t>Metrica_ID</t>
  </si>
  <si>
    <t>Data_Medicao</t>
  </si>
  <si>
    <t>Valor</t>
  </si>
  <si>
    <t>Observacao</t>
  </si>
  <si>
    <t>MED-001</t>
  </si>
  <si>
    <t>2026-06-30</t>
  </si>
  <si>
    <t>148</t>
  </si>
  <si>
    <t>MED-002</t>
  </si>
  <si>
    <t>26</t>
  </si>
  <si>
    <t>MED-003</t>
  </si>
  <si>
    <t>0.8</t>
  </si>
  <si>
    <t>MED-004</t>
  </si>
  <si>
    <t>92</t>
  </si>
  <si>
    <t>MED-005</t>
  </si>
  <si>
    <t>71</t>
  </si>
  <si>
    <t>MED-006</t>
  </si>
  <si>
    <t>33</t>
  </si>
  <si>
    <t>MED-007</t>
  </si>
  <si>
    <t>97</t>
  </si>
  <si>
    <t>MED-008</t>
  </si>
  <si>
    <t>88</t>
  </si>
  <si>
    <t>MED-901</t>
  </si>
  <si>
    <t>Primeira apuração do trimestre.</t>
  </si>
  <si>
    <t>MED-902</t>
  </si>
  <si>
    <t>2025-12-31</t>
  </si>
  <si>
    <t>MED-903</t>
  </si>
  <si>
    <t>2026-07-31</t>
  </si>
  <si>
    <t>MED-904</t>
  </si>
  <si>
    <t>Acúmulo de demandas no fim do semestre.</t>
  </si>
  <si>
    <t>MED-905</t>
  </si>
  <si>
    <t>Papel</t>
  </si>
  <si>
    <t>Envolvimento</t>
  </si>
  <si>
    <t>Unidade_Pessoa</t>
  </si>
  <si>
    <t>PAP-001</t>
  </si>
  <si>
    <t>Gestor do processo</t>
  </si>
  <si>
    <t>Aprova (A)</t>
  </si>
  <si>
    <t>PAP-002</t>
  </si>
  <si>
    <t>Executa (R)</t>
  </si>
  <si>
    <t>PAP-003</t>
  </si>
  <si>
    <t>Assessoria Jurídica</t>
  </si>
  <si>
    <t>Consultado (C)</t>
  </si>
  <si>
    <t>PAP-004</t>
  </si>
  <si>
    <t>UNP</t>
  </si>
  <si>
    <t>Informado (I)</t>
  </si>
  <si>
    <t>AE/GPE/UNP</t>
  </si>
  <si>
    <t>PAP-005</t>
  </si>
  <si>
    <t>PAP-006</t>
  </si>
  <si>
    <t>PAP-007</t>
  </si>
  <si>
    <t>Analista de planejamento da contratação</t>
  </si>
  <si>
    <t>Tipo_Regra</t>
  </si>
  <si>
    <t>Fonte_Normativa</t>
  </si>
  <si>
    <t>REG-001</t>
  </si>
  <si>
    <t>Alçada de aprovação por valor</t>
  </si>
  <si>
    <t>Operação</t>
  </si>
  <si>
    <t>Contratações acima de R$ 50.000 exigem aprovação da autoridade competente.</t>
  </si>
  <si>
    <t>Lei nº 14.133/2021</t>
  </si>
  <si>
    <t>REG-002</t>
  </si>
  <si>
    <t>Pesquisa de preços obrigatória</t>
  </si>
  <si>
    <t>Regulatória</t>
  </si>
  <si>
    <t>Toda contratação exige pesquisa de preços prévia, conforme métodos definidos em norma.</t>
  </si>
  <si>
    <t>IN SEGES nº 65/2021</t>
  </si>
  <si>
    <t>REG-003</t>
  </si>
  <si>
    <t>Exclusão de valores discrepantes</t>
  </si>
  <si>
    <t>Decisão</t>
  </si>
  <si>
    <t>Valores inexequíveis ou excessivos devem ser excluídos da amostra, com justificativa registrada.</t>
  </si>
  <si>
    <t>IN SEGES nº 65/2021, art. 6º</t>
  </si>
  <si>
    <t>REG-004</t>
  </si>
  <si>
    <t>Validação jurídica obrigatória</t>
  </si>
  <si>
    <t>Procedimento e política</t>
  </si>
  <si>
    <t>Toda minuta de Termo de Referência deve ser submetida à Assessoria Jurídica antes da publicação do edital.</t>
  </si>
  <si>
    <t>Lei nº 14.133/2021, art. 53</t>
  </si>
  <si>
    <t>Fase</t>
  </si>
  <si>
    <t>Duracao</t>
  </si>
  <si>
    <t>Atividades_Chave</t>
  </si>
  <si>
    <t>Quem_Faz</t>
  </si>
  <si>
    <t>Entregaveis</t>
  </si>
  <si>
    <t>Sentimento_Usuario</t>
  </si>
  <si>
    <t>Descobrir</t>
  </si>
  <si>
    <t>Escuta e contextualização</t>
  </si>
  <si>
    <t>1–2 semanas</t>
  </si>
  <si>
    <t>Compreender a dor real, o contexto e as expectativas de quem executa e de quem se beneficia do processo.</t>
  </si>
  <si>
    <t>Reunião de sensibilização com a unidade demandante; Entrevistas semiestruturadas com executores e gestores; Aplicação do formulário de contextualização; Escuta ativa das partes interessadas (jornada empática)</t>
  </si>
  <si>
    <t>NUGEP; Interlocutor da área; Dono do processo</t>
  </si>
  <si>
    <t>Ata de reunião; Formulário preenchido; Mapa de partes interessadas</t>
  </si>
  <si>
    <t>Curiosidade e ansiedade: “por que estão olhando meu trabalho?”</t>
  </si>
  <si>
    <t>Definir</t>
  </si>
  <si>
    <t>Delimitação de escopo</t>
  </si>
  <si>
    <t>1 semana</t>
  </si>
  <si>
    <t>Traçar limites claros: onde começa, onde termina, quem participa e o que está fora do mapeamento.</t>
  </si>
  <si>
    <t>SIPOC preliminar (Fornecedores, Entradas, Processo, Saídas, Clientes); Identificação de sistemas e normativos aplicáveis; Definição de premissas, restrições e critérios de sucesso; Termo de abertura do projeto de mapeamento (PMBOK)</t>
  </si>
  <si>
    <t>Gerente do projeto; NUGEP</t>
  </si>
  <si>
    <t>Ficha do mapeamento publicada</t>
  </si>
  <si>
    <t>Segurança: “agora sei o que esperam de mim”</t>
  </si>
  <si>
    <t>Desenvolver</t>
  </si>
  <si>
    <t>Modelagem AS-IS</t>
  </si>
  <si>
    <t>2–4 semanas</t>
  </si>
  <si>
    <t>Fotografar o processo como ele é hoje, incluindo variações, filas, retrabalhos e workarounds.</t>
  </si>
  <si>
    <t>Workshops de modelagem com quem executa; Desenho BPMN no Bizagi (com anexação de evidências); Registro de hipóteses, dores e memória do mapeamento (no processo e-Codevasf/e-Codevasf); Identificação de riscos, gargalos e handoffs</t>
  </si>
  <si>
    <t>Equipe de mapeamento; Executores do processo</t>
  </si>
  <si>
    <t>Diagrama BPMN AS-IS; Lista de dores e riscos</t>
  </si>
  <si>
    <t>Reconhecimento: “alguém finalmente enxerga o que a gente vive”</t>
  </si>
  <si>
    <t>Validação AS-IS</t>
  </si>
  <si>
    <t>Confirmar com quem executa e com quem decide que o retrato do processo é fiel.</t>
  </si>
  <si>
    <t>Reunião de validação com donos e executores; Ajustes finos no BPMN e nos artefatos; Homologação formal do AS-IS</t>
  </si>
  <si>
    <t>Dono do processo; NUGEP</t>
  </si>
  <si>
    <t>AS-IS homologado e publicado no repositório</t>
  </si>
  <si>
    <t>Orgulho: “é isso que a gente faz”</t>
  </si>
  <si>
    <t>Análise do processo</t>
  </si>
  <si>
    <t>Investigar as causas dos problemas do AS-IS validado e preparar o plano de melhorias, antes de redesenhar o processo.</t>
  </si>
  <si>
    <t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</si>
  <si>
    <t>Equipe de gerenciamento de processo; Dono do processo</t>
  </si>
  <si>
    <t>Lista de problemas e causas; Plano de Ação (5W2H)</t>
  </si>
  <si>
    <t>Alívio: “agora vamos atacar o que realmente trava o meu trabalho”</t>
  </si>
  <si>
    <t>Redesenho TO-BE</t>
  </si>
  <si>
    <t>Desenhar o processo desejado, eliminando desperdícios e melhorando a experiência de quem executa e de quem recebe.</t>
  </si>
  <si>
    <t>Análise de causas-raiz das dores identificadas; Ideação de melhorias com a equipe da área; Modelagem TO-BE (BPMN) e simulação de cenários; Definição de indicadores de desempenho e riscos residuais</t>
  </si>
  <si>
    <t>NUGEP; Área; Escritório de Riscos (2ª linha)</t>
  </si>
  <si>
    <t>Diagrama TO-BE; Indicadores; Plano de transição</t>
  </si>
  <si>
    <t>Esperança: “dá pra melhorar de verdade”</t>
  </si>
  <si>
    <t>Entregar</t>
  </si>
  <si>
    <t>Publicação e transição</t>
  </si>
  <si>
    <t>2 semanas</t>
  </si>
  <si>
    <t>Colocar o novo processo em operação com apoio, treinamento e comunicação clara.</t>
  </si>
  <si>
    <t>Publicação no repositório institucional de processos; Capacitação dos executores e multiplicadores; Atualização de normativos e do e-Codevasf; Lançamento do TO-BE</t>
  </si>
  <si>
    <t>Área responsável; NUGEP; Comunicação</t>
  </si>
  <si>
    <t>Processo publicado; Equipe capacitada; Comunicação institucional</t>
  </si>
  <si>
    <t>Confiança: “fui preparado para o novo jeito”</t>
  </si>
  <si>
    <t>Evoluir</t>
  </si>
  <si>
    <t>Monitoramento e indicadores</t>
  </si>
  <si>
    <t>Contínuo</t>
  </si>
  <si>
    <t>Acompanhar o desempenho real do processo e a experiência de quem o executa e recebe.</t>
  </si>
  <si>
    <t>Coleta de indicadores (eficiência, eficácia, qualidade, satisfação); Monitoramento de riscos e controles (2ª linha); Escuta contínua da unidade e dos beneficiários</t>
  </si>
  <si>
    <t>Dono do processo; NUGEP; Escritório de Riscos</t>
  </si>
  <si>
    <t>Painel de indicadores; Radar de riscos atualizado</t>
  </si>
  <si>
    <t>Pertencimento: “meu trabalho é acompanhado e valorizado”</t>
  </si>
  <si>
    <t>9</t>
  </si>
  <si>
    <t>Melhoria contínua</t>
  </si>
  <si>
    <t>Fechar o ciclo: aprender, ajustar e reiniciar a jornada sempre que necessário (PDCA/CBOK 4.0).</t>
  </si>
  <si>
    <t>Retrospectivas periódicas com a área; Revisão do processo com base em dados e feedback; Abertura de novo ciclo de redesenho quando necessário</t>
  </si>
  <si>
    <t>NUGEP; Comunidade de prática BPM</t>
  </si>
  <si>
    <t>Novo ciclo de mapeamento ou ajustes incrementais</t>
  </si>
  <si>
    <t>Autonomia: “nosso processo é vivo, evolui com a gente”</t>
  </si>
  <si>
    <t>Fase_Ciclo</t>
  </si>
  <si>
    <t>REP-001</t>
  </si>
  <si>
    <t>Documento oficial</t>
  </si>
  <si>
    <t>RES 031/2025</t>
  </si>
  <si>
    <t>Metodologia de Gerenciamento de Processos da Codevasf</t>
  </si>
  <si>
    <t>Documento normativo que institui a metodologia corporativa de gerenciamento de processos (disponível na intranet/e-Codevasf).</t>
  </si>
  <si>
    <t>Codevasf</t>
  </si>
  <si>
    <t>https://intraplone.codevasf.gov.br/documentos_normativos_referencia/governanca-e-gestao/copy_of_planos/met_gerenciamento-processos_res-031_2025-01-08.pdf</t>
  </si>
  <si>
    <t>REP-002</t>
  </si>
  <si>
    <t>Guia de Gerenciamento de Processos da Codevasf</t>
  </si>
  <si>
    <t>Guia prático que detalha etapas, papéis, artefatos e padrões do mapeamento (disponível na intranet/e-Codevasf).</t>
  </si>
  <si>
    <t>https://intraplone.codevasf.gov.br/documentos_normativos_referencia/governanca-e-gestao/copy_of_planos/guia_gerenciamento-processos_res-031_2025-01-08.pdf</t>
  </si>
  <si>
    <t>REP-005</t>
  </si>
  <si>
    <t>Template</t>
  </si>
  <si>
    <t>Desenho</t>
  </si>
  <si>
    <t>Modelo de Diagramas BPMN</t>
  </si>
  <si>
    <t>Template padrão para modelagem em BPMN 2.0 (pools, lanes, eventos, atividades e gateways), em formato Bizagi e draw.io.</t>
  </si>
  <si>
    <t>https://exemplo.codevasf.gov.br/modelos/template-bpmn.bpm</t>
  </si>
  <si>
    <t>REP-006</t>
  </si>
  <si>
    <t>Análise</t>
  </si>
  <si>
    <t>Roteiro de Reunião de Contextualização</t>
  </si>
  <si>
    <t>Guia para conduzir a reunião de contextualização: perguntas-guia, dinâmicas de elicitação e checklist de tópicos.</t>
  </si>
  <si>
    <t>https://exemplo.codevasf.gov.br/modelos/roteiro-contextualizacao.docx</t>
  </si>
  <si>
    <t>REP-011</t>
  </si>
  <si>
    <t>Instrumento</t>
  </si>
  <si>
    <t>BPMN-01</t>
  </si>
  <si>
    <t>Checklist BPMN 2.0 (notação)</t>
  </si>
  <si>
    <t>Lista de verificação dos elementos mínimos para um diagrama BPMN aderente ao padrão.</t>
  </si>
  <si>
    <t>CBOK 4.0</t>
  </si>
  <si>
    <t>https://exemplo.codevasf.gov.br/instrumentos/bpmn-01.docx</t>
  </si>
  <si>
    <t>11</t>
  </si>
  <si>
    <t>REP-012</t>
  </si>
  <si>
    <t>RACI-01</t>
  </si>
  <si>
    <t>Matriz RACI</t>
  </si>
  <si>
    <t>Atribui Responsável (R), Aprovador (A), Consultado (C) e Informado (I) por atividade.</t>
  </si>
  <si>
    <t>PMBOK</t>
  </si>
  <si>
    <t>https://exemplo.codevasf.gov.br/instrumentos/raci-01.xlsx</t>
  </si>
  <si>
    <t>12</t>
  </si>
  <si>
    <t>REP-013</t>
  </si>
  <si>
    <t>Monitoramento</t>
  </si>
  <si>
    <t>KPI-01</t>
  </si>
  <si>
    <t>Canvas de Indicador (KPI)</t>
  </si>
  <si>
    <t>Define nome, fórmula, fonte, meta, periodicidade e responsável de um indicador.</t>
  </si>
  <si>
    <t>https://exemplo.codevasf.gov.br/instrumentos/kpi-01.docx</t>
  </si>
  <si>
    <t>13</t>
  </si>
  <si>
    <t>REP-014</t>
  </si>
  <si>
    <t>RISK-01</t>
  </si>
  <si>
    <t>Registro de Riscos (ISO 31000)</t>
  </si>
  <si>
    <t>Identifica risco, causa, efeito, probabilidade, impacto, resposta e responsável.</t>
  </si>
  <si>
    <t>ISO 31000</t>
  </si>
  <si>
    <t>https://exemplo.codevasf.gov.br/instrumentos/risk-01.xlsx</t>
  </si>
  <si>
    <t>14</t>
  </si>
  <si>
    <t>REP-015</t>
  </si>
  <si>
    <t>AS-IS-01</t>
  </si>
  <si>
    <t>Roteiro de entrevista AS-IS</t>
  </si>
  <si>
    <t>Perguntas-guia para levantar o processo como ele é hoje com quem executa.</t>
  </si>
  <si>
    <t>https://exemplo.codevasf.gov.br/instrumentos/as-is-01.docx</t>
  </si>
  <si>
    <t>15</t>
  </si>
  <si>
    <t>REP-016</t>
  </si>
  <si>
    <t>Implementação</t>
  </si>
  <si>
    <t>TO-BE-01</t>
  </si>
  <si>
    <t>Plano de transição AS-IS → TO-BE</t>
  </si>
  <si>
    <t>Compara o processo atual e o futuro e organiza as ações de migração.</t>
  </si>
  <si>
    <t>https://exemplo.codevasf.gov.br/instrumentos/to-be-01.docx</t>
  </si>
  <si>
    <t>16</t>
  </si>
  <si>
    <t>REP-017</t>
  </si>
  <si>
    <t>Refinamento</t>
  </si>
  <si>
    <t>MAT-01</t>
  </si>
  <si>
    <t>Diagnóstico rápido de maturidade (PEMM)</t>
  </si>
  <si>
    <t>Autoavaliação em 5 dimensões: desenho, executores, dono, infraestrutura e indicadores.</t>
  </si>
  <si>
    <t>https://exemplo.codevasf.gov.br/instrumentos/mat-01.xlsx</t>
  </si>
  <si>
    <t>17</t>
  </si>
  <si>
    <t>REP-018</t>
  </si>
  <si>
    <t>Ferramenta</t>
  </si>
  <si>
    <t>Bizagi Modeler</t>
  </si>
  <si>
    <t>Ferramenta gratuita de modelagem BPMN 2.0, recomendada pela UNP para os diagramas AS-IS e TO-BE.</t>
  </si>
  <si>
    <t>Bizagi</t>
  </si>
  <si>
    <t>https://www.bizagi.com/pt/plataforma/modeler</t>
  </si>
  <si>
    <t>18</t>
  </si>
  <si>
    <t>REP-022</t>
  </si>
  <si>
    <t>Referência</t>
  </si>
  <si>
    <t>BPM CBOK 4.0 — ABPMP International</t>
  </si>
  <si>
    <t>Guia de referência em gerenciamento de processos de negócio; padrão metodológico principal da UNP.</t>
  </si>
  <si>
    <t>ABPMP</t>
  </si>
  <si>
    <t>https://www.abpmp-br.org</t>
  </si>
  <si>
    <t>22</t>
  </si>
  <si>
    <t>REP-033</t>
  </si>
  <si>
    <t>BPMN 2.0 — Business Process Model and Notation</t>
  </si>
  <si>
    <t>Especificação oficial da notação usada nos diagramas (Bizagi e demais ferramentas de modelagem): símbolos, semântica de execução e serialização XML.</t>
  </si>
  <si>
    <t>OMG (Object Management Group)</t>
  </si>
  <si>
    <t>https://www.omg.org/spec/BPMN/2.0/</t>
  </si>
  <si>
    <t>23</t>
  </si>
  <si>
    <t>REP-025</t>
  </si>
  <si>
    <t>Mapa de Partes Interessadas (modelo)</t>
  </si>
  <si>
    <t>Identifica e classifica stakeholders por interesse e influência, com estratégia de engajamento por grupo.</t>
  </si>
  <si>
    <t>https://exemplo.codevasf.gov.br/modelos/mapa-partes-interessadas.xlsx</t>
  </si>
  <si>
    <t>25</t>
  </si>
  <si>
    <t>Tipo</t>
  </si>
  <si>
    <t>Processos_Relacionados</t>
  </si>
  <si>
    <t>Caracteristica</t>
  </si>
  <si>
    <t>CULT-01</t>
  </si>
  <si>
    <t>Acordo geral sobre o que são os processos de negócio</t>
  </si>
  <si>
    <t>Não avaliado</t>
  </si>
  <si>
    <t>CULT-02</t>
  </si>
  <si>
    <t>Compreensão de como os processos de negócio interagem e se afetam uns aos outros</t>
  </si>
  <si>
    <t>CULT-03</t>
  </si>
  <si>
    <t>Definição clara do valor que cada processo produz</t>
  </si>
  <si>
    <t>CULT-04</t>
  </si>
  <si>
    <t>Documentação de como cada processo produz os seus resultados</t>
  </si>
  <si>
    <t>CULT-05</t>
  </si>
  <si>
    <t>Compreensão das competências necessárias para cada processo</t>
  </si>
  <si>
    <t>CULT-06</t>
  </si>
  <si>
    <t>Compreensão do desempenho de cada processo</t>
  </si>
  <si>
    <t>CULT-07</t>
  </si>
  <si>
    <t>Medição contínua do desempenho dos processos</t>
  </si>
  <si>
    <t>CULT-08</t>
  </si>
  <si>
    <t>Decisões de gestão baseadas no conhecimento do desempenho dos processos</t>
  </si>
  <si>
    <t>CULT-09</t>
  </si>
  <si>
    <t>Donos de cada processo com a responsabilidade pelo desempenho do processo</t>
  </si>
  <si>
    <t>Unidade_Sigla</t>
  </si>
  <si>
    <t>Unidade_Nome</t>
  </si>
  <si>
    <t>Email</t>
  </si>
  <si>
    <t>Telefone</t>
  </si>
  <si>
    <t>Foto</t>
  </si>
  <si>
    <t>Hierarquia</t>
  </si>
  <si>
    <t>Ricardo Nunes Vasconcelos</t>
  </si>
  <si>
    <t>Gerente-Executivo da Área de Gestão Estratégica</t>
  </si>
  <si>
    <t>AE</t>
  </si>
  <si>
    <t>ricardo.vasconcelos@codevasf.gov.br</t>
  </si>
  <si>
    <t>(61) 2028-4400</t>
  </si>
  <si>
    <t>https://randomuser.me/api/portraits/men/32.jpg</t>
  </si>
  <si>
    <t>Patrícia Moreira Lopes</t>
  </si>
  <si>
    <t>Gerente de Planejamento Estratégico</t>
  </si>
  <si>
    <t>patricia.lopes@codevasf.gov.br</t>
  </si>
  <si>
    <t>(61) 2028-4430</t>
  </si>
  <si>
    <t>https://randomuser.me/api/portraits/women/68.jpg</t>
  </si>
  <si>
    <t>Coordenadora do NUGEP</t>
  </si>
  <si>
    <t>bruna.souza@codevasf.gov.br</t>
  </si>
  <si>
    <t>(61) 2028-4441</t>
  </si>
  <si>
    <t>https://randomuser.me/api/portraits/women/44.jpg</t>
  </si>
  <si>
    <t>Analista de Processos</t>
  </si>
  <si>
    <t>carlos.lima@codevasf.gov.br</t>
  </si>
  <si>
    <t>(61) 2028-4442</t>
  </si>
  <si>
    <t>https://randomuser.me/api/portraits/men/45.jpg</t>
  </si>
  <si>
    <t>Especialista em BPM</t>
  </si>
  <si>
    <t>daniela.ribeiro@codevasf.gov.br</t>
  </si>
  <si>
    <t>(61) 2028-4501</t>
  </si>
  <si>
    <t>https://randomuser.me/api/portraits/women/12.jpg</t>
  </si>
  <si>
    <t>Eduardo Martins</t>
  </si>
  <si>
    <t>Ponto Focal do Nugep — Processos Finalísticos</t>
  </si>
  <si>
    <t>AR/GPR</t>
  </si>
  <si>
    <t>eduardo.martins@codevasf.gov.br</t>
  </si>
  <si>
    <t>(61) 2028-4612</t>
  </si>
  <si>
    <t>https://randomuser.me/api/portraits/men/76.jpg</t>
  </si>
  <si>
    <t>Fernanda Alves</t>
  </si>
  <si>
    <t>Analista de Riscos e Conformidade</t>
  </si>
  <si>
    <t>fernanda.alves@codevasf.gov.br</t>
  </si>
  <si>
    <t>(61) 2028-4380</t>
  </si>
  <si>
    <t>https://randomuser.me/api/portraits/women/29.jpg</t>
  </si>
  <si>
    <t>Gustavo Pereira</t>
  </si>
  <si>
    <t>Apoio Metodológico — PMBOK/CBOK</t>
  </si>
  <si>
    <t>gustavo.pereira@codevasf.gov.br</t>
  </si>
  <si>
    <t>(61) 2028-4443</t>
  </si>
  <si>
    <t>https://randomuser.me/api/portraits/men/22.jpg</t>
  </si>
  <si>
    <t>Juliana Tavares</t>
  </si>
  <si>
    <t>juliana.tavares@codevasf.gov.br</t>
  </si>
  <si>
    <t>(61) 2028-4444</t>
  </si>
  <si>
    <t>https://randomuser.me/api/portraits/women/8.jpg</t>
  </si>
  <si>
    <t>10</t>
  </si>
  <si>
    <t>Rafael Menezes</t>
  </si>
  <si>
    <t>Analista de Dados e Indicadores</t>
  </si>
  <si>
    <t>rafael.menezes@codevasf.gov.br</t>
  </si>
  <si>
    <t>(61) 2028-4445</t>
  </si>
  <si>
    <t>https://randomuser.me/api/portraits/men/54.jpg</t>
  </si>
  <si>
    <t>Camila Duarte</t>
  </si>
  <si>
    <t>Ponto Focal do Nugep — Processos de Suporte</t>
  </si>
  <si>
    <t>camila.duarte@codevasf.gov.br</t>
  </si>
  <si>
    <t>(61) 2028-4520</t>
  </si>
  <si>
    <t>https://randomuser.me/api/portraits/women/90.jpg</t>
  </si>
  <si>
    <t>Paulo Henrique Barros</t>
  </si>
  <si>
    <t>Apoio de Comunicação Institucional</t>
  </si>
  <si>
    <t>PR/ASCOM</t>
  </si>
  <si>
    <t>paulo.barros@codevasf.gov.br</t>
  </si>
  <si>
    <t>(61) 2028-4630</t>
  </si>
  <si>
    <t>https://randomuser.me/api/portraits/men/60.jpg</t>
  </si>
  <si>
    <t>Termo</t>
  </si>
  <si>
    <t>Definicao</t>
  </si>
  <si>
    <t>Termos_Relacionados</t>
  </si>
  <si>
    <t>BPM (CBOK)</t>
  </si>
  <si>
    <t>Association of Business Process Management Professionals — entidade internacional sem fins lucrativos que mantém o CBOK e certificações como CBPP (Certified Business Process Professional).</t>
  </si>
  <si>
    <t>CBOK; BPM</t>
  </si>
  <si>
    <t>Conjunto de tarefas executadas para transformar entradas em saídas dentro de um processo. É o nível operacional mapeado em diagramas BPMN.</t>
  </si>
  <si>
    <t>Tarefa; Subprocesso; BPMN</t>
  </si>
  <si>
    <t>Arquitetura de Processos</t>
  </si>
  <si>
    <t>Visão estruturada e hierárquica de todos os processos da organização, do macroprocesso à tarefa, mostrando relações, donos e contribuição para a estratégia.</t>
  </si>
  <si>
    <t>Cadeia de Valor; Macroprocesso</t>
  </si>
  <si>
    <t>AS-IS</t>
  </si>
  <si>
    <t>Modelo do processo no estado atual (como ele realmente é executado hoje), usado como base de diagnóstico antes de propor melhorias.</t>
  </si>
  <si>
    <t>TO-BE; Análise de Processos</t>
  </si>
  <si>
    <t>Análise de Processos</t>
  </si>
  <si>
    <t>Estudo do processo AS-IS para identificar gargalos, retrabalho, desperdícios e oportunidades de melhoria. Usa ferramentas como Ishikawa, 5 porquês e análise de valor agregado.</t>
  </si>
  <si>
    <t>AS-IS; Melhoria Contínua; Gargalo</t>
  </si>
  <si>
    <t>Agile</t>
  </si>
  <si>
    <t>Projetos (PMBOK)</t>
  </si>
  <si>
    <t>Abordagem iterativa e incremental de gerenciamento, baseada no Manifesto Ágil, com entregas frequentes e adaptação contínua.</t>
  </si>
  <si>
    <t>Manifesto Ágil</t>
  </si>
  <si>
    <t>Scrum; Kanban; Sprint</t>
  </si>
  <si>
    <t>Metodologia Codevasf</t>
  </si>
  <si>
    <t>Área de Estratégia e Finanças da Codevasf, instância superior da GPE/UNP.</t>
  </si>
  <si>
    <t>GPE; UNP</t>
  </si>
  <si>
    <t>Accountability</t>
  </si>
  <si>
    <t>Governança e Papéis</t>
  </si>
  <si>
    <t>Obrigação de prestar contas e responder pelos resultados, especialmente no setor público.</t>
  </si>
  <si>
    <t>TCU</t>
  </si>
  <si>
    <t>Governança Pública</t>
  </si>
  <si>
    <t>BPM</t>
  </si>
  <si>
    <t>Business Process Management — disciplina gerencial integrada que combina técnicas, métodos e ferramentas para identificar, modelar, executar, monitorar e melhorar continuamente os processos de negócio, alinhando-os à estratégia e à entrega de valor ao cliente.</t>
  </si>
  <si>
    <t>ABPMP CBOK 4.0</t>
  </si>
  <si>
    <t>Processo de Negócio; Ciclo de Vida BPM; Governança de Processos</t>
  </si>
  <si>
    <t>BPMN</t>
  </si>
  <si>
    <t>Business Process Model and Notation — padrão da OMG para modelagem gráfica de processos de negócio. Define símbolos para atividades, eventos, gateways, fluxos e raias.</t>
  </si>
  <si>
    <t>OMG / CBOK 4.0</t>
  </si>
  <si>
    <t>Notação; Raia (Swimlane); Pool</t>
  </si>
  <si>
    <t>Beneficiário / Cidadão-usuário</t>
  </si>
  <si>
    <t>SIPOC e Modelagem</t>
  </si>
  <si>
    <t>Destinatário da saída do processo no setor público. Pode ser interno (outra unidade da Codevasf) ou externo — cidadão, irrigante, comunidade beneficiária, ente federativo ou órgão parceiro.</t>
  </si>
  <si>
    <t>SIPOC</t>
  </si>
  <si>
    <t>Linha de Base (Indicador)</t>
  </si>
  <si>
    <t>Indicadores e Riscos</t>
  </si>
  <si>
    <t>Valor de referência inicial de um indicador, usado como base para comparar resultados futuros.</t>
  </si>
  <si>
    <t>Indicador; Meta</t>
  </si>
  <si>
    <t>Burndown</t>
  </si>
  <si>
    <t>Gráfico que mostra a quantidade de trabalho restante ao longo do tempo, comum em métodos ágeis.</t>
  </si>
  <si>
    <t>Scrum</t>
  </si>
  <si>
    <t>Agile; Sprint</t>
  </si>
  <si>
    <t>Burnup</t>
  </si>
  <si>
    <t>Gráfico que mostra o trabalho concluído acumulado ao longo do tempo, comparando com o escopo total.</t>
  </si>
  <si>
    <t>Burndown; Agile</t>
  </si>
  <si>
    <t>CBOK</t>
  </si>
  <si>
    <t>Guide to the Business Process Management Common Body of Knowledge — referência da ABPMP que consolida conceitos, práticas e competências essenciais de BPM. A versão 4.0 reorganiza o conteúdo em 9 áreas de conhecimento.</t>
  </si>
  <si>
    <t>BPM; ABPMP</t>
  </si>
  <si>
    <t>Cadeia de Valor</t>
  </si>
  <si>
    <t>Representação visual dos macroprocessos de uma organização ordenados segundo sua contribuição para a entrega de valor. Permite visão sistêmica e priorização do mapeamento.</t>
  </si>
  <si>
    <t>Porter / CBOK 4.0</t>
  </si>
  <si>
    <t>Macroprocesso; Arquitetura de Processos</t>
  </si>
  <si>
    <t>Ciclo de Vida BPM</t>
  </si>
  <si>
    <t>Sequência iterativa de fases para gerenciar processos: planejar, analisar, desenhar, implementar, monitorar e refinar (PDCA aplicado a processos).</t>
  </si>
  <si>
    <t>BPM; Análise de Processos</t>
  </si>
  <si>
    <t>Cronograma</t>
  </si>
  <si>
    <t>Modelo que apresenta a sequência, datas e durações das atividades do projeto.</t>
  </si>
  <si>
    <t>Gantt</t>
  </si>
  <si>
    <t>Caminho Crítico</t>
  </si>
  <si>
    <t>Sequência de atividades que determina a menor duração possível do projeto. Atrasos em qualquer atividade do caminho crítico atrasam o projeto.</t>
  </si>
  <si>
    <t>PMBOK / CPM</t>
  </si>
  <si>
    <t>CPI</t>
  </si>
  <si>
    <t>Cost Performance Index — índice de desempenho de custo. CPI &lt; 1 indica estouro de orçamento.</t>
  </si>
  <si>
    <t>EVM</t>
  </si>
  <si>
    <t>EVM; SPI</t>
  </si>
  <si>
    <t>Compliance</t>
  </si>
  <si>
    <t>Conformidade com leis, regulamentos, normas e políticas internas. Inclui prevenção a fraudes e corrupção.</t>
  </si>
  <si>
    <t>Lei 12.846/2013</t>
  </si>
  <si>
    <t>Governança Pública; Controle Interno</t>
  </si>
  <si>
    <t>Controle Interno</t>
  </si>
  <si>
    <t>Conjunto de atividades, planos e métodos adotados para salvaguardar ativos, conferir exatidão e segurança aos dados e promover a eficiência operacional.</t>
  </si>
  <si>
    <t>INTOSAI / IN 03/2017</t>
  </si>
  <si>
    <t>Desperdício (Muda)</t>
  </si>
  <si>
    <t>Toda atividade que consome recursos sem agregar valor ao cliente. Os 7+1 desperdícios clássicos: superprodução, espera, transporte, processamento excessivo, estoque, movimento, defeito e talento não utilizado.</t>
  </si>
  <si>
    <t>Lean</t>
  </si>
  <si>
    <t>Lean; Valor Agregado</t>
  </si>
  <si>
    <t>Dono do Processo</t>
  </si>
  <si>
    <t>Pessoa formalmente responsável pelo desempenho, integridade e melhoria contínua de um processo de ponta a ponta, independentemente da estrutura hierárquica.</t>
  </si>
  <si>
    <t>Governança de Processos</t>
  </si>
  <si>
    <t>Diagrama de Tartaruga</t>
  </si>
  <si>
    <t>Ferramenta de modelagem que detalha um processo por entradas, saídas, recursos, métodos, pessoas e indicadores, formando o desenho de uma tartaruga.</t>
  </si>
  <si>
    <t>ISO 9001</t>
  </si>
  <si>
    <t>Evento</t>
  </si>
  <si>
    <t>Acontecimento que afeta o fluxo do processo: início, fim, intermediário, de tempo, mensagem ou erro.</t>
  </si>
  <si>
    <t>Escritório de Processos (BPM Office)</t>
  </si>
  <si>
    <t>Unidade organizacional responsável por orientar metodologia, manter o repositório de processos e apoiar áreas no mapeamento. Na Codevasf, esse papel é da UNP/GPE.</t>
  </si>
  <si>
    <t>UNP; Governança de Processos</t>
  </si>
  <si>
    <t>Entrada</t>
  </si>
  <si>
    <t>Insumo, informação, documento ou recurso necessário para iniciar ou executar uma atividade do processo.</t>
  </si>
  <si>
    <t>Eficiência</t>
  </si>
  <si>
    <t>Relação entre o que foi produzido (saída) e os recursos consumidos (entrada). “Fazer certo as coisas”.</t>
  </si>
  <si>
    <t>Eficácia; Efetividade</t>
  </si>
  <si>
    <t>Eficácia</t>
  </si>
  <si>
    <t>Grau em que os resultados pretendidos foram alcançados. “Fazer as coisas certas”.</t>
  </si>
  <si>
    <t>Eficiência; Efetividade</t>
  </si>
  <si>
    <t>Efetividade</t>
  </si>
  <si>
    <t>Impacto real e duradouro do processo no público-alvo ou na sociedade. Combina eficiência e eficácia com sustentabilidade.</t>
  </si>
  <si>
    <t>Gestão Pública</t>
  </si>
  <si>
    <t>Eficiência; Eficácia</t>
  </si>
  <si>
    <t>Escopo</t>
  </si>
  <si>
    <t>Soma dos produtos, serviços e resultados a serem entregues no projeto. Inclui escopo do produto e escopo do trabalho.</t>
  </si>
  <si>
    <t>EAP; Entrega</t>
  </si>
  <si>
    <t>EAP</t>
  </si>
  <si>
    <t>Estrutura Analítica do Projeto (Work Breakdown Structure — WBS) — decomposição hierárquica do escopo em entregas e pacotes de trabalho.</t>
  </si>
  <si>
    <t>Escopo; Entrega; Pacote de Trabalho</t>
  </si>
  <si>
    <t>Entrega</t>
  </si>
  <si>
    <t>Produto, resultado ou capacidade único e verificável, obtido a partir de uma fase ou de todo o projeto.</t>
  </si>
  <si>
    <t>Earned Value Management — técnica que integra escopo, prazo e custo para medir o desempenho do projeto (SPI, CPI).</t>
  </si>
  <si>
    <t>SPI; CPI; Cronograma</t>
  </si>
  <si>
    <t>Fornecedor</t>
  </si>
  <si>
    <t>Pessoa, área ou sistema que fornece insumos (entradas) ao processo.</t>
  </si>
  <si>
    <t>Fluxograma</t>
  </si>
  <si>
    <t>Representação gráfica sequencial das etapas de um processo, usando símbolos padronizados para atividade, decisão, início e fim.</t>
  </si>
  <si>
    <t>ASME / ISO</t>
  </si>
  <si>
    <t>Gateway</t>
  </si>
  <si>
    <t>Elemento BPMN que controla a divergência ou convergência do fluxo: decisão exclusiva, paralela ou inclusiva.</t>
  </si>
  <si>
    <t>Gargalo</t>
  </si>
  <si>
    <t>Ponto do processo onde a capacidade é menor que a demanda, restringindo a vazão de todo o fluxo. Identificado por filas, atrasos e acúmulo de trabalho.</t>
  </si>
  <si>
    <t>Teoria das Restrições</t>
  </si>
  <si>
    <t>Estrutura de papéis, responsabilidades, políticas e instâncias decisórias que garante que os processos sejam executados, monitorados e melhorados conforme a estratégia.</t>
  </si>
  <si>
    <t>Gráfico de barras horizontais que representa o cronograma do projeto ao longo do tempo, com início, duração e fim de cada atividade.</t>
  </si>
  <si>
    <t>Henry Gantt</t>
  </si>
  <si>
    <t>GPE</t>
  </si>
  <si>
    <t>Gerência de Planejamento Estratégico da Codevasf, à qual a UNP está subordinada.</t>
  </si>
  <si>
    <t>UNP; AE</t>
  </si>
  <si>
    <t>Conjunto de mecanismos de liderança, estratégia e controle postos em prática para avaliar, direcionar e monitorar a gestão pública.</t>
  </si>
  <si>
    <t>Decreto 9.203/2017</t>
  </si>
  <si>
    <t>Accountability; Governança de Processos</t>
  </si>
  <si>
    <t>Handoff</t>
  </si>
  <si>
    <t>Transferência de responsabilidade entre áreas, sistemas ou pessoas no fluxo do processo. Cada handoff é ponto crítico de falha e atraso.</t>
  </si>
  <si>
    <t>Processo Ponta a Ponta</t>
  </si>
  <si>
    <t>Indicador</t>
  </si>
  <si>
    <t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</si>
  <si>
    <t>Métrica; Medição</t>
  </si>
  <si>
    <t>Impacto</t>
  </si>
  <si>
    <t>Magnitude das consequências de um evento de risco caso ele se concretize, normalmente avaliado em escala.</t>
  </si>
  <si>
    <t>Risco; Probabilidade</t>
  </si>
  <si>
    <t>Kaizen</t>
  </si>
  <si>
    <t>Filosofia japonesa de melhoria contínua que promove pequenas mudanças incrementais com participação de toda a equipe.</t>
  </si>
  <si>
    <t>PDCA; Melhoria Contínua</t>
  </si>
  <si>
    <t>KPI</t>
  </si>
  <si>
    <t>Key Performance Indicator — indicador-chave de desempenho. Métrica quantificável usada para avaliar o sucesso de um processo, projeto ou objetivo estratégico.</t>
  </si>
  <si>
    <t>BSC / CBOK</t>
  </si>
  <si>
    <t>Indicador; Meta; SLA</t>
  </si>
  <si>
    <t>Kanban</t>
  </si>
  <si>
    <t>Método visual de gestão do fluxo de trabalho, com cartões e colunas (To Do, Doing, Done) e limites de WIP.</t>
  </si>
  <si>
    <t>Toyota / Kanban Method</t>
  </si>
  <si>
    <t>Agile; WIP</t>
  </si>
  <si>
    <t>Conjunto de práticas focadas na eliminação de desperdícios (muda) e maximização de valor para o cliente, oriundas do Sistema Toyota de Produção.</t>
  </si>
  <si>
    <t>Toyota / Lean</t>
  </si>
  <si>
    <t>Valor Agregado; Desperdício (Muda)</t>
  </si>
  <si>
    <t>Linha de Base (Projeto)</t>
  </si>
  <si>
    <t>Versão aprovada do escopo, prazo ou custo, usada como referência para comparação com o desempenho real.</t>
  </si>
  <si>
    <t>Baseline; Escopo; Cronograma</t>
  </si>
  <si>
    <t>Lições Aprendidas</t>
  </si>
  <si>
    <t>Conhecimento adquirido durante o projeto, registrado para uso em projetos futuros. Inclui o que deu certo, o que deu errado e recomendações.</t>
  </si>
  <si>
    <t>LGPD</t>
  </si>
  <si>
    <t>Lei Geral de Proteção de Dados Pessoais (Lei 13.709/2018) — disciplina o tratamento de dados pessoais por pessoas físicas e jurídicas, públicas e privadas.</t>
  </si>
  <si>
    <t>Lei 13.709/2018</t>
  </si>
  <si>
    <t>Agrupamento dos grandes processos de uma organização que atravessam várias áreas e contribuem de forma estratégica para a cadeia de valor. Na Codevasf, são classificados em gerenciais, finalísticos e de suporte.</t>
  </si>
  <si>
    <t>CBOK 4.0 / Codevasf</t>
  </si>
  <si>
    <t>Cadeia de Valor; Processo de Negócio; Subprocesso</t>
  </si>
  <si>
    <t>Modelagem de Processos</t>
  </si>
  <si>
    <t>Representação gráfica e textual de um processo, mostrando atividades, papéis, fluxos, decisões e eventos. Geralmente utiliza notação BPMN.</t>
  </si>
  <si>
    <t>BPMN; AS-IS; TO-BE; SIPOC</t>
  </si>
  <si>
    <t>Melhoria Contínua</t>
  </si>
  <si>
    <t>Esforço sistemático e incremental para aperfeiçoar processos, fundamentado em ciclos PDCA e Kaizen.</t>
  </si>
  <si>
    <t>Deming / CBOK 4.0</t>
  </si>
  <si>
    <t>PDCA; Kaizen; Ciclo de Vida BPM</t>
  </si>
  <si>
    <t>Maturidade em Processos</t>
  </si>
  <si>
    <t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</si>
  <si>
    <t>CMMI / BPM-MM</t>
  </si>
  <si>
    <t>Indicador; Métrica</t>
  </si>
  <si>
    <t>Valor numérico que se deseja alcançar para um indicador em um prazo determinado, geralmente desafiador e mensurável.</t>
  </si>
  <si>
    <t>BSC</t>
  </si>
  <si>
    <t>Indicador; KPI</t>
  </si>
  <si>
    <t>Matriz de Risco</t>
  </si>
  <si>
    <t>Ferramenta que cruza probabilidade e impacto para classificar e priorizar riscos (baixo, moderado, alto, extremo).</t>
  </si>
  <si>
    <t>Risco; Probabilidade; Impacto</t>
  </si>
  <si>
    <t>Mitigação</t>
  </si>
  <si>
    <t>Ação para reduzir a probabilidade ou o impacto de um risco, ou para tratar suas consequências.</t>
  </si>
  <si>
    <t>Risco; Plano de Mitigação</t>
  </si>
  <si>
    <t>Marco</t>
  </si>
  <si>
    <t>Ponto significativo no cronograma, normalmente a conclusão de uma entrega importante. Não consome tempo.</t>
  </si>
  <si>
    <t>Cronograma; Entrega</t>
  </si>
  <si>
    <t>Matriz de responsabilidades que define quem é Responsável (executa), Accountable (responde), Consultado e Informado em cada atividade.</t>
  </si>
  <si>
    <t>Stakeholder; Dono do Processo</t>
  </si>
  <si>
    <t>Mapeamento de Processos (Codevasf)</t>
  </si>
  <si>
    <t>Trabalho conduzido pela UNP em parceria com as unidades gestoras para documentar processos em formato padronizado (SIPOC, BPMN, indicadores e riscos), conforme a RES 031/2025.</t>
  </si>
  <si>
    <t>SIPOC; BPMN; Metodologia Codevasf</t>
  </si>
  <si>
    <t>Conjunto de etapas, artefatos e padrões definidos na Metodologia e no Guia de Gerenciamento de Processos (RES 031/2025) para conduzir o mapeamento e a melhoria dos processos.</t>
  </si>
  <si>
    <t>Mapeamento de Processos (Codevasf); UNP</t>
  </si>
  <si>
    <t>Notação</t>
  </si>
  <si>
    <t>Conjunto padronizado de símbolos para representar processos. BPMN é a mais usada em BPM.</t>
  </si>
  <si>
    <t>BPMN; Fluxograma</t>
  </si>
  <si>
    <t>Processo de Negócio</t>
  </si>
  <si>
    <t>Conjunto definido de atividades, executadas por pessoas ou sistemas, que entrega um resultado de valor a um cliente interno ou externo. Tem início, fim, entradas, saídas e mensuração claros.</t>
  </si>
  <si>
    <t>Macroprocesso; Subprocesso; Atividade; Tarefa</t>
  </si>
  <si>
    <t>Pool</t>
  </si>
  <si>
    <t>Contêiner BPMN que representa um participante (organização, sistema ou área) e agrupa raias.</t>
  </si>
  <si>
    <t>BPMN; Raia (Swimlane)</t>
  </si>
  <si>
    <t>PDCA</t>
  </si>
  <si>
    <t>Plan-Do-Check-Act — ciclo de melhoria contínua atribuído a Deming/Shewhart: planejar, executar, verificar e agir corretivamente.</t>
  </si>
  <si>
    <t>Deming</t>
  </si>
  <si>
    <t>Melhoria Contínua; Kaizen</t>
  </si>
  <si>
    <t>Processo de Trabalho</t>
  </si>
  <si>
    <t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</si>
  <si>
    <t>Adm. Pública / CBOK 4.0</t>
  </si>
  <si>
    <t>Processo de Negócio; Subprocesso; Atividade; Tarefa</t>
  </si>
  <si>
    <t>Visão completa do processo, do primeiro evento desencadeador até a entrega final ao cliente, atravessando todas as áreas envolvidas.</t>
  </si>
  <si>
    <t>Processo de Negócio; Handoff</t>
  </si>
  <si>
    <t>Probabilidade</t>
  </si>
  <si>
    <t>Estimativa da chance de ocorrência de um evento de risco, geralmente em escala (muito baixa, baixa, média, alta, muito alta).</t>
  </si>
  <si>
    <t>Risco; Impacto</t>
  </si>
  <si>
    <t>Plano de Mitigação</t>
  </si>
  <si>
    <t>Conjunto estruturado de ações, prazos e responsáveis para tratar um risco específico.</t>
  </si>
  <si>
    <t>Mitigação; Risco</t>
  </si>
  <si>
    <t>Project Management Body of Knowledge — guia do PMI que consolida boas práticas, princípios e domínios de desempenho em gerenciamento de projetos.</t>
  </si>
  <si>
    <t>PMI</t>
  </si>
  <si>
    <t>PMI; Projeto</t>
  </si>
  <si>
    <t>Project Management Institute — instituto internacional que mantém o PMBOK e certificações como PMP.</t>
  </si>
  <si>
    <t>Projeto</t>
  </si>
  <si>
    <t>Esforço temporário empreendido para criar um produto, serviço ou resultado único. Tem início e fim definidos.</t>
  </si>
  <si>
    <t>Programa; Portfólio; Entrega</t>
  </si>
  <si>
    <t>Programa</t>
  </si>
  <si>
    <t>Conjunto de projetos relacionados, gerenciados de forma coordenada para obter benefícios que não seriam alcançados se gerenciados individualmente.</t>
  </si>
  <si>
    <t>Projeto; Portfólio</t>
  </si>
  <si>
    <t>Portfólio</t>
  </si>
  <si>
    <t>Conjunto de projetos, programas e operações gerenciados em grupo para atingir objetivos estratégicos.</t>
  </si>
  <si>
    <t>Projeto; Programa</t>
  </si>
  <si>
    <t>Pacote de Trabalho</t>
  </si>
  <si>
    <t>Componente de menor nível da EAP, para o qual se pode estimar custo, prazo e responsável.</t>
  </si>
  <si>
    <t>EAP; Escopo</t>
  </si>
  <si>
    <t>Plano de Ações AE/GPE</t>
  </si>
  <si>
    <t>Plano de Ações 2026 conduzido pela AE/GPE/UNP para estruturar o escritório de processos, mapear processos prioritários e implantar a governança.</t>
  </si>
  <si>
    <t>Codevasf 2026</t>
  </si>
  <si>
    <t>UNP; GPE; AE</t>
  </si>
  <si>
    <t>Raia (Swimlane)</t>
  </si>
  <si>
    <t>Faixa horizontal ou vertical no diagrama BPMN que indica o papel, área ou sistema responsável pelas atividades nela contidas.</t>
  </si>
  <si>
    <t>BPMN; Pool</t>
  </si>
  <si>
    <t>Reengenharia</t>
  </si>
  <si>
    <t>Repensar e redesenhar radicalmente processos para obter ganhos expressivos em custo, qualidade, serviço e velocidade. Diferente da melhoria contínua incremental.</t>
  </si>
  <si>
    <t>Hammer &amp; Champy</t>
  </si>
  <si>
    <t>TO-BE; Melhoria Contínua</t>
  </si>
  <si>
    <t>Risco</t>
  </si>
  <si>
    <t>Efeito da incerteza sobre os objetivos. Pode ser ameaça (negativo) ou oportunidade (positivo). Tem causa, evento e consequência.</t>
  </si>
  <si>
    <t>ISO 31000 / PMBOK</t>
  </si>
  <si>
    <t>Probabilidade; Impacto; Mitigação</t>
  </si>
  <si>
    <t>Recorte de um processo, com objetivo específico, que pode ser detalhado em atividades e tarefas. Permite gerenciar partes complexas do processo separadamente.</t>
  </si>
  <si>
    <t>Processo de Negócio; Atividade</t>
  </si>
  <si>
    <t>Ferramenta visual que descreve um processo em alto nível por meio de cinco elementos: Fornecedores, Entradas, Processo, Saídas e Beneficiários.</t>
  </si>
  <si>
    <t>Six Sigma / CBOK</t>
  </si>
  <si>
    <t>Fornecedor; Entrada; Saída</t>
  </si>
  <si>
    <t>Saída</t>
  </si>
  <si>
    <t>Produto, serviço, informação ou decisão gerada pelo processo e entregue a um cliente.</t>
  </si>
  <si>
    <t>SLA</t>
  </si>
  <si>
    <t>Service Level Agreement — acordo formal entre prestador e cliente que define níveis de serviço, prazos, qualidade e penalidades.</t>
  </si>
  <si>
    <t>ITIL</t>
  </si>
  <si>
    <t>KPI; Indicador</t>
  </si>
  <si>
    <t>Stakeholder</t>
  </si>
  <si>
    <t>Parte interessada — pessoa, grupo ou organização que afeta ou é afetada pelo projeto.</t>
  </si>
  <si>
    <t>Framework ágil baseado em sprints curtas, papéis definidos (Product Owner, Scrum Master, Time) e cerimônias (planning, daily, review, retro).</t>
  </si>
  <si>
    <t>Schwaber &amp; Sutherland</t>
  </si>
  <si>
    <t>Sprint</t>
  </si>
  <si>
    <t>Iteração de duração fixa (geralmente 1 a 4 semanas) em Scrum, ao final da qual se entrega um incremento potencialmente utilizável.</t>
  </si>
  <si>
    <t>Scrum; Agile</t>
  </si>
  <si>
    <t>SPI</t>
  </si>
  <si>
    <t>Schedule Performance Index — índice de desempenho de prazo do projeto. SPI &lt; 1 indica atraso.</t>
  </si>
  <si>
    <t>EVM; CPI</t>
  </si>
  <si>
    <t>Status de Mapeamento</t>
  </si>
  <si>
    <t>Indicador do estágio em que se encontra o mapeamento de um processo: Não iniciado, Em andamento, Concluído ou Suspenso.</t>
  </si>
  <si>
    <t>Semáforo do Processo</t>
  </si>
  <si>
    <t>Sinal visual (verde, amarelo, vermelho) que combina prazo e percentual de execução do mapeamento.</t>
  </si>
  <si>
    <t>Tarefa</t>
  </si>
  <si>
    <t>Menor unidade de trabalho identificada em uma atividade. Pode ser manual, automatizada ou de regra de negócio.</t>
  </si>
  <si>
    <t>TO-BE</t>
  </si>
  <si>
    <t>Modelo do processo no estado futuro desejado, após análise e proposta de melhorias. Serve de referência para a implementação.</t>
  </si>
  <si>
    <t>AS-IS; Melhoria Contínua</t>
  </si>
  <si>
    <t>Unidade de Gestão Normativa e de Processos da Codevasf — vinculada à GPE/AE. Responsável por conduzir a metodologia de mapeamento e a governança dos processos da Empresa.</t>
  </si>
  <si>
    <t>GPE; AE</t>
  </si>
  <si>
    <t>Unidade Gestora</t>
  </si>
  <si>
    <t>Área da Codevasf responsável pelo processo, por seus resultados e pela manutenção da documentação atualizada.</t>
  </si>
  <si>
    <t>Valor Agregado</t>
  </si>
  <si>
    <t>Atributo de uma atividade que transforma a entrada de forma percebida como valiosa pelo cliente. Atividades sem valor agregado devem ser eliminadas ou reduzidas.</t>
  </si>
  <si>
    <t>Lean / CBOK</t>
  </si>
  <si>
    <t>WIP</t>
  </si>
  <si>
    <t>Work in Progress — quantidade de trabalho em andamento. Limitar o WIP reduz multitarefa e acelera entregas.</t>
  </si>
  <si>
    <t>Kanban / Lean</t>
  </si>
  <si>
    <t>Kanban; Lean</t>
  </si>
  <si>
    <t>Métrica</t>
  </si>
  <si>
    <t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</si>
  <si>
    <t>Medição; Indicador</t>
  </si>
  <si>
    <t>Medição</t>
  </si>
  <si>
    <t>Quantificação de um dado, num padrão e qualidade aceitáveis (precisão, completude, consistência, atualidade) — o dado bruto de um único momento no tempo. Uma métrica é calculada a partir de uma ou mais medições.</t>
  </si>
  <si>
    <t>Métrica; Indicador</t>
  </si>
  <si>
    <t>Tipo de atividade que contribui para o resultado do processo de forma positiva — por exemplo, confirmar com o Cliente se ficou satisfeito após um serviço. Um dos três tipos de atividade do CBOK, junto com Transferência e Controle.</t>
  </si>
  <si>
    <t>Transferência; Atividade de Controle</t>
  </si>
  <si>
    <t>Tipo de atividade que passa o controle do processo para outro departamento ou organização — por exemplo, encaminhar um Cliente para o setor responsável por resolver seu problema. Também chamada de handoff. Um dos três tipos de atividade do CBOK.</t>
  </si>
  <si>
    <t>Agregação de Valor; Atividade de Controle; Handoffs</t>
  </si>
  <si>
    <t>Atividade de Controle</t>
  </si>
  <si>
    <t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</si>
  <si>
    <t>Agregação de Valor; Transferência</t>
  </si>
  <si>
    <t>RACI</t>
  </si>
  <si>
    <t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</si>
  <si>
    <t>Prática de gestão de projetos e processos</t>
  </si>
  <si>
    <t>ROI (Retorno sobre o Investimento)</t>
  </si>
  <si>
    <t>Relação entre o ganho obtido com uma iniciativa (por exemplo, economia de tempo ou de custo com a automatização de um processo) e o valor investido nela. Neste repositório é tratado como uma categoria de métrica, ao lado de SLA, produto, processo e projeto.</t>
  </si>
  <si>
    <t>SLA; Métrica</t>
  </si>
  <si>
    <t>5W2H</t>
  </si>
  <si>
    <t>Checklist de atividades, prazos e responsabilidades usado no plano de ação da etapa de análise: o que, por que, onde, quando, por quem, como e quanto vai custar.</t>
  </si>
  <si>
    <t>Plano de Gerenciamento do Processo (PGP)</t>
  </si>
  <si>
    <t>Ator do Processo</t>
  </si>
  <si>
    <t>Empregado que participa, em algum momento, da execução do processo.</t>
  </si>
  <si>
    <t>Gestor do Processo; Equipe de Gerenciamento de Processo</t>
  </si>
  <si>
    <t>Diagrama</t>
  </si>
  <si>
    <t>Representação gráfica que demonstra os principais elementos do fluxo do processo, ajudando a identificar e entender rapidamente suas atividades.</t>
  </si>
  <si>
    <t>BPMN; Fluxograma; Mapa; Modelo</t>
  </si>
  <si>
    <t>Equipe de Gerenciamento de Processo</t>
  </si>
  <si>
    <t>Grupo formado pelo ponto focal do Nugep, pelo gestor do processo e por atores do processo, responsável por gerenciar o processo priorizado.</t>
  </si>
  <si>
    <t>Ponto Focal do Nugep; Gestor do Processo; Ator do Processo</t>
  </si>
  <si>
    <t>Gestor do Processo</t>
  </si>
  <si>
    <t>Titular da unidade orgânica responsável pela execução do processo ou, na sua ausência, o demandante do processo. Aprova os processos mapeados pelo ponto focal, forma a equipe de gerenciamento e responde pelos resultados perante a UNP.</t>
  </si>
  <si>
    <t>Dono do Processo; Unidade Orgânica</t>
  </si>
  <si>
    <t>Hierarquia de Processos</t>
  </si>
  <si>
    <t>Forma de visualizar como os processos se desdobram do nível mais alto — a cadeia de valor — até o mais baixo — as tarefas.</t>
  </si>
  <si>
    <t>Arquitetura de Processos; Cadeia de Valor</t>
  </si>
  <si>
    <t>Documento da etapa de planejamento, com o cronograma das etapas de conhecimento, análise, transformação, gerenciamento de desempenho, monitoramento e reavaliação do processo.</t>
  </si>
  <si>
    <t>Equipe de Gerenciamento de Processo; Cronograma</t>
  </si>
  <si>
    <t>Ponto Focal do Nugep</t>
  </si>
  <si>
    <t>Empregado que conduz e coordena os trabalhos de gerenciamento de processos na própria unidade orgânica, como agente multiplicador do Nugep.</t>
  </si>
  <si>
    <t>Documento que reúne objetivo, diagramas, referências legais, classificação na cadeia de valor, unidade responsável, sistemas, produtos, atores, tarefas, regras de negócio, cronograma e indicadores do processo.</t>
  </si>
  <si>
    <t>Regras de Negócio; Diagrama</t>
  </si>
  <si>
    <t>Regras de Negócio</t>
  </si>
  <si>
    <t>Premissas e restrições que garantem o funcionamento adequado da organização: definem o que, onde, por que e como algo será feito, e como será gerenciado e governado.</t>
  </si>
  <si>
    <t>Unidade Orgânica</t>
  </si>
  <si>
    <t>Toda e qualquer unidade com representação formal na estrutura orgânica da Empresa.</t>
  </si>
  <si>
    <t>Gestor do Processo; Unidade Gestora</t>
  </si>
  <si>
    <t>Mapa</t>
  </si>
  <si>
    <t>Nível intermediário de detalhamento de um processo: evolução do diagrama que soma atores, eventos, regras e resultados. Usado para representar subprocessos, de preferência pelo “caminho feliz” — as exceções ficam na Tabela de Descrição das Atividades.</t>
  </si>
  <si>
    <t>Diagrama; Modelo</t>
  </si>
  <si>
    <t>Modelo</t>
  </si>
  <si>
    <t>Nível mais analítico de detalhamento de um processo, usado quando o mapa não é suficiente. Tem alto grau de precisão, mas exige cuidado para não poluir a leitura.</t>
  </si>
  <si>
    <t>Diagrama; Mapa</t>
  </si>
  <si>
    <t>Pergunta</t>
  </si>
  <si>
    <t>Conceitos básicos</t>
  </si>
  <si>
    <t>O que é Gestão de Processos (BPM)?</t>
  </si>
  <si>
    <t>Business Process Management é uma disciplina gerencial integrada que combina técnicas, métodos e ferramentas para identificar, modelar, executar, monitorar e melhorar continuamente os processos de negócio, alinhando-os à estratégia e à entrega de valor (CBOK 4.0).</t>
  </si>
  <si>
    <t>Qual a diferença entre Gestão DE Processos e Gestão POR Processos?</t>
  </si>
  <si>
    <t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</si>
  <si>
    <t>Qual a diferença entre macroprocesso, processo, subprocesso, atividade e tarefa?</t>
  </si>
  <si>
    <t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</si>
  <si>
    <t>O que é um processo finalístico, gerencial e de suporte?</t>
  </si>
  <si>
    <t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</si>
  <si>
    <t>Modelagem e SIPOC</t>
  </si>
  <si>
    <t>O que é SIPOC e como ler a ficha de um processo?</t>
  </si>
  <si>
    <t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</si>
  <si>
    <t>O que é AS-IS e TO-BE?</t>
  </si>
  <si>
    <t>AS-IS é o retrato do processo como ele é executado hoje, usado para diagnóstico. TO-BE é o desenho do processo futuro, após a análise de melhorias. Os dois modelos são validados formalmente com o dono do processo antes da publicação (marcos M5 e M8).</t>
  </si>
  <si>
    <t>Que notação a Codevasf usa para modelar processos?</t>
  </si>
  <si>
    <t>BPMN 2.0, modelada preferencialmente no Bizagi Modeler, conforme o Guia de Gerenciamento de Processos (RES 031/2025). Os diagramas publicados aparecem na ficha de cada macroprocesso, processo e subprocesso.</t>
  </si>
  <si>
    <t>Como propor uma mudança em um processo já mapeado?</t>
  </si>
  <si>
    <t>Use o botão flutuante “Sugerir melhoria de processo” (que abre um e-mail para a UNP) ou procure o dono do processo indicado na ficha. Propostas aceitas abrem um novo ciclo de análise e redesenho, registrado no processo e-Codevasf/e-Codevasf correspondente.</t>
  </si>
  <si>
    <t>Cadeia de Valor e governança</t>
  </si>
  <si>
    <t>O que é a Cadeia de Valor Integrada da Codevasf?</t>
  </si>
  <si>
    <t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</si>
  <si>
    <t>Quem é o dono do processo?</t>
  </si>
  <si>
    <t>É a pessoa formalmente responsável pelo desempenho, pela integridade e pela melhoria contínua do processo de ponta a ponta, independentemente da hierarquia (CBOK 4.0). O dono está identificado na ficha de cada processo.</t>
  </si>
  <si>
    <t>Qual o papel da UNP, da GPE e da AE?</t>
  </si>
  <si>
    <t>A UNP é o escritório de processos: conduz a metodologia, mantém o repositório e apoia as áreas. Ela integra a GPE (Gerência de Planejamento Estratégico), que por sua vez se vincula à AE (Área de Estratégia e Finanças), instância superior de governança.</t>
  </si>
  <si>
    <t>Quem aprova as mudanças nos processos?</t>
  </si>
  <si>
    <t>O dono do processo valida os modelos (AS-IS e TO-BE) e as instâncias de governança definidas na RES 031/2025 aprovam a publicação, com apoio metodológico da UNP. Mudanças que alteram normativos seguem também o fluxo do Sistema Normativo.</t>
  </si>
  <si>
    <t>Indicadores, metas e riscos</t>
  </si>
  <si>
    <t>O que é um KPI?</t>
  </si>
  <si>
    <t>Key Performance Indicator: um indicador-chave de desempenho, com fórmula, fonte, meta, periodicidade e responsável definidos. A aba Indicadores lista os KPIs por nível (macroprocesso, processo, subprocesso) com a situação calculada em relação à meta.</t>
  </si>
  <si>
    <t>Qual a diferença entre eficiência, eficácia e efetividade?</t>
  </si>
  <si>
    <t>Eficiência é fazer certo as coisas (relação produto/recursos); eficácia é fazer as coisas certas (alcançar o resultado pretendido); efetividade é o impacto real e duradouro no público-alvo — a combinação das duas com sustentabilidade.</t>
  </si>
  <si>
    <t>Como os riscos são classificados?</t>
  </si>
  <si>
    <t>Pela matriz 5×5 de probabilidade × impacto: o produto P×I gera o nível — Baixo (até 4), Moderado (5 a 11), Alto (12 a 19) e Extremo (20 a 25). A aba Riscos mostra a matriz com os riscos posicionados e a tabela com resposta, controles e status.</t>
  </si>
  <si>
    <t>Onde vejo os riscos do projeto de mapeamento?</t>
  </si>
  <si>
    <t>Na aba Riscos (visão geral, com matriz e tabela) e na ficha de cada item da hierarquia, que lista os riscos vinculados àquele macroprocesso, processo, subprocesso ou atividade.</t>
  </si>
  <si>
    <t>O que é o Plano de Ações AE/GPE 2026?</t>
  </si>
  <si>
    <t>É o plano conduzido pela AE/GPE/UNP para estruturar o escritório de processos, mapear os processos prioritários e implantar a governança de processos na Codevasf. Os projetos de mapeamento deste painel derivam dele. (Nesta demonstração, os dados são fictícios.)</t>
  </si>
  <si>
    <t>Quem é a responsável geral pelo plano?</t>
  </si>
  <si>
    <t>A coordenação do NUGEP — Núcleo de Gestão Normativa e de Processos (ver aba NUGEP), em articulação com a GPE e a AE.</t>
  </si>
  <si>
    <t>19</t>
  </si>
  <si>
    <t>Como o avanço das ações é medido?</t>
  </si>
  <si>
    <t>Pelos marcos M1–M10 de cada mapeamento, pelo percentual de execução e pelos indicadores da aba Indicadores.</t>
  </si>
  <si>
    <t>20</t>
  </si>
  <si>
    <t>O painel usa PMBOK ou CBOK?</t>
  </si>
  <si>
    <t>Os dois, com papéis distintos: o CBOK 4.0 orienta o conteúdo de processos (hierarquia, SIPOC, ciclo de vida BPM, indicadores); o PMBOK orienta a gestão de cada mapeamento como projeto (termo de abertura, escopo, marcos, riscos e lições aprendidas).</t>
  </si>
  <si>
    <t>21</t>
  </si>
  <si>
    <t>Como usar o painel</t>
  </si>
  <si>
    <t>Como pesquiso um processo?</t>
  </si>
  <si>
    <t>Use a busca no topo da página (digite e pressione Enter) para pesquisar em processos, documentos, glossário e registros — ou navegue pela aba Processos, filtrando por macroprocesso, status e texto.</t>
  </si>
  <si>
    <t>Como sugerir uma melhoria ou reportar um erro?</t>
  </si>
  <si>
    <t>Pelo botão flutuante “Sugerir melhoria de processo”, que abre um e-mail para a UNP (ae.gpe.unp@codevasf.gov.br). Indique o código do processo para agilizar a análise.</t>
  </si>
  <si>
    <t>Como o painel é alimentado?</t>
  </si>
  <si>
    <t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</si>
  <si>
    <t>24</t>
  </si>
  <si>
    <t>Onde encontro os modelos, a metodologia e o guia oficiais?</t>
  </si>
  <si>
    <t>Na aba Repositório: a jornada de mapeamento, a Metodologia e o Guia de Gerenciamento de Processos (RES 031/2025, na intranet/e-Codevasf), os instrumentos por fase do ciclo BPM, os templates e as ferramentas de modelagem.</t>
  </si>
  <si>
    <t>Sigla</t>
  </si>
  <si>
    <t>10ª/AJ</t>
  </si>
  <si>
    <t>Assessoria Jurídica Regional</t>
  </si>
  <si>
    <t>10ª/Cogex</t>
  </si>
  <si>
    <t>Comitê de Gestão Executiva da Superintendência Regional</t>
  </si>
  <si>
    <t>10ª/EAG</t>
  </si>
  <si>
    <t>Escritório de Apoio Técnico de Araguaína</t>
  </si>
  <si>
    <t>10ª/GB</t>
  </si>
  <si>
    <t>Gabinete da Superintendência Regional</t>
  </si>
  <si>
    <t>10ª/GGR</t>
  </si>
  <si>
    <t>Gerência de Gestão Regional</t>
  </si>
  <si>
    <t>10ª/GTR</t>
  </si>
  <si>
    <t>Gerência Técnica Regional</t>
  </si>
  <si>
    <t>10ª/SL</t>
  </si>
  <si>
    <t>Secretaria Regional de Licitações</t>
  </si>
  <si>
    <t>10ª/SR</t>
  </si>
  <si>
    <t>10ª Superintendência Regional</t>
  </si>
  <si>
    <t>11ª/AJ</t>
  </si>
  <si>
    <t>11ª/Cogex</t>
  </si>
  <si>
    <t>11ª/GB</t>
  </si>
  <si>
    <t>11ª/GGR</t>
  </si>
  <si>
    <t>11ª/GGR/UOF</t>
  </si>
  <si>
    <t>Unidade Regional de Orçamento e Finanças</t>
  </si>
  <si>
    <t>11ª/GGR/UOF/SCO</t>
  </si>
  <si>
    <t>Setor de Contabilidade</t>
  </si>
  <si>
    <t>11ª/GGR/URA</t>
  </si>
  <si>
    <t>Unidade Regional de Administração</t>
  </si>
  <si>
    <t>11ª/GRD</t>
  </si>
  <si>
    <t>Gerência Regional de Infraestrutura</t>
  </si>
  <si>
    <t>11ª/GRD/UEP</t>
  </si>
  <si>
    <t>Unidade Regional de Estudos e Projetos</t>
  </si>
  <si>
    <t>11ª/GRD/UIP</t>
  </si>
  <si>
    <t>Unidade Regional de Implantação e Acompanhamento de Projetos</t>
  </si>
  <si>
    <t>11ª/GRR</t>
  </si>
  <si>
    <t>Gerência Regional de Revitalização e Desenvolvimento Territorial</t>
  </si>
  <si>
    <t>11ª/GRR/UDT</t>
  </si>
  <si>
    <t>Unidade Regional de Desenvolvimento Territorial</t>
  </si>
  <si>
    <t>11ª/GRR/UES</t>
  </si>
  <si>
    <t>Unidade Regional de Empreendimentos Socioambientais</t>
  </si>
  <si>
    <t>11ª/SL</t>
  </si>
  <si>
    <t>11ª/SR</t>
  </si>
  <si>
    <t>11ª Superintendência Regional</t>
  </si>
  <si>
    <t>12ª/AJ</t>
  </si>
  <si>
    <t>12ª/Cogex</t>
  </si>
  <si>
    <t>12ª/EMO</t>
  </si>
  <si>
    <t>Escritório de Apoio Técnico de Mossoró</t>
  </si>
  <si>
    <t>12ª/GB</t>
  </si>
  <si>
    <t>12ª/GGR</t>
  </si>
  <si>
    <t>12ª/GTR</t>
  </si>
  <si>
    <t>12ª/SL</t>
  </si>
  <si>
    <t>12ª/SR</t>
  </si>
  <si>
    <t>12ª Superintendência Regional</t>
  </si>
  <si>
    <t>13ª/AJ</t>
  </si>
  <si>
    <t>13ª/Cogex</t>
  </si>
  <si>
    <t>13ª/EPT</t>
  </si>
  <si>
    <t>Escritório de Apoio Técnico de Patos</t>
  </si>
  <si>
    <t>13ª/GB</t>
  </si>
  <si>
    <t>13ª/GGR</t>
  </si>
  <si>
    <t>13ª/GTR</t>
  </si>
  <si>
    <t>13ª/SL</t>
  </si>
  <si>
    <t>13ª/SR</t>
  </si>
  <si>
    <t>13ª Superintendência Regional</t>
  </si>
  <si>
    <t>14ª/AJ</t>
  </si>
  <si>
    <t>14ª/Cogex</t>
  </si>
  <si>
    <t>14ª/ETA</t>
  </si>
  <si>
    <t>Escritório de Apoio Técnico de Tauá</t>
  </si>
  <si>
    <t>14ª/GB</t>
  </si>
  <si>
    <t>14ª/GGR</t>
  </si>
  <si>
    <t>14ª/GTR</t>
  </si>
  <si>
    <t>14ª/SL</t>
  </si>
  <si>
    <t>14ª/SR</t>
  </si>
  <si>
    <t>14ª Superintendência Regional</t>
  </si>
  <si>
    <t>15ª/AJ</t>
  </si>
  <si>
    <t>15ª/Cogex</t>
  </si>
  <si>
    <t>15ª/GB</t>
  </si>
  <si>
    <t>15ª/GGR</t>
  </si>
  <si>
    <t>15ª/GTR</t>
  </si>
  <si>
    <t>15ª/SL</t>
  </si>
  <si>
    <t>15ª/SR</t>
  </si>
  <si>
    <t>15ª Superintendência Regional</t>
  </si>
  <si>
    <t>16ª/AJ</t>
  </si>
  <si>
    <t>16ª/Cogex</t>
  </si>
  <si>
    <t>16ª/EPI</t>
  </si>
  <si>
    <t>Escritório de Apoio Técnico de Piumhi</t>
  </si>
  <si>
    <t>16ª/GB</t>
  </si>
  <si>
    <t>16ª/GGR</t>
  </si>
  <si>
    <t>16ª/GTR</t>
  </si>
  <si>
    <t>16ª/SL</t>
  </si>
  <si>
    <t>16ª/SR</t>
  </si>
  <si>
    <t>16ª Superintendência Regional</t>
  </si>
  <si>
    <t>1ª/AJ</t>
  </si>
  <si>
    <t>1ª/CIG</t>
  </si>
  <si>
    <t>Centro Integrado de Recursos Pesqueiros e Aquicultura de Gorutuba</t>
  </si>
  <si>
    <t>1ª/CIM</t>
  </si>
  <si>
    <t>Centro Integrado de Recursos Pesqueiros e Aquicultura de Três Marias</t>
  </si>
  <si>
    <t>1ª/Cogex</t>
  </si>
  <si>
    <t>1ª/EAL</t>
  </si>
  <si>
    <t>Escritório de Apoio Técnico de Almenara</t>
  </si>
  <si>
    <t>1ª/GB</t>
  </si>
  <si>
    <t>1ª/GB/URC</t>
  </si>
  <si>
    <t>Unidade Regional de Comunicação</t>
  </si>
  <si>
    <t>1ª/GRA</t>
  </si>
  <si>
    <t>Gerência Regional de Administração e Tecnologia</t>
  </si>
  <si>
    <t>1ª/GRA/UGP</t>
  </si>
  <si>
    <t>Unidade Regional de Gestão de Pessoas</t>
  </si>
  <si>
    <t>1ª/GRA/USA</t>
  </si>
  <si>
    <t>Unidade Regional de Patrimônio, Logística e Serviços Auxiliares</t>
  </si>
  <si>
    <t>1ª/GRA/UTI</t>
  </si>
  <si>
    <t>Unidade Regional de Tecnologia da Informação</t>
  </si>
  <si>
    <t>1ª/GRD</t>
  </si>
  <si>
    <t>1ª/GRD/UEP</t>
  </si>
  <si>
    <t>1ª/GRD/UIP</t>
  </si>
  <si>
    <t>1ª/GRG</t>
  </si>
  <si>
    <t>Gerência Regional de Estratégia e Finanças</t>
  </si>
  <si>
    <t>1ª/GRG/UCB</t>
  </si>
  <si>
    <t>Unidade Regional de Contabilidade</t>
  </si>
  <si>
    <t>1ª/GRG/UFN</t>
  </si>
  <si>
    <t>Unidade Regional de Finanças e Cobrança</t>
  </si>
  <si>
    <t>1ª/GRG/UFN/SCB</t>
  </si>
  <si>
    <t>Setor de Cobrança</t>
  </si>
  <si>
    <t>1ª/GRG/UMC</t>
  </si>
  <si>
    <t>Unidade Regional de Monitoramento e de Controle de Contratos e Convênios</t>
  </si>
  <si>
    <t>1ª/GRG/URO</t>
  </si>
  <si>
    <t>Unidade Regional Orçamentária</t>
  </si>
  <si>
    <t>1ª/GRI</t>
  </si>
  <si>
    <t>Gerência Regional de Irrigação e Operações</t>
  </si>
  <si>
    <t>1ª/GRI/UEI</t>
  </si>
  <si>
    <t>Unidade Regional de Gestão dos Empreendimentos de Irrigação</t>
  </si>
  <si>
    <t>1ª/GRI/URP</t>
  </si>
  <si>
    <t>Unidade Regional de Apoio à Produção</t>
  </si>
  <si>
    <t>1ª/GRR</t>
  </si>
  <si>
    <t>1ª/GRR/UDT</t>
  </si>
  <si>
    <t>1ª/GRR/UES</t>
  </si>
  <si>
    <t>1ª/GRS</t>
  </si>
  <si>
    <t>Gerência Regional de Suporte Integrado</t>
  </si>
  <si>
    <t>1ª/GRS/ULF</t>
  </si>
  <si>
    <t>Unidade Regional de Licenciamento Ambiental e Administração Fundiária</t>
  </si>
  <si>
    <t>1ª/SL</t>
  </si>
  <si>
    <t>1ª/SR</t>
  </si>
  <si>
    <t>1ª Superintendência Regional</t>
  </si>
  <si>
    <t>2ª/AJ</t>
  </si>
  <si>
    <t>2ª/CIX</t>
  </si>
  <si>
    <t>Centro Integrado de Recursos Pesqueiros e Aquicultura de Xique-Xique</t>
  </si>
  <si>
    <t>2ª/Cogex</t>
  </si>
  <si>
    <t>2ª/EGU</t>
  </si>
  <si>
    <t>Escritório de Apoio Técnico de Guanambi</t>
  </si>
  <si>
    <t>2ª/EIR</t>
  </si>
  <si>
    <t>Escritório de Apoio Técnico de Irecê</t>
  </si>
  <si>
    <t>2ª/GB</t>
  </si>
  <si>
    <t>2ª/GB/URC</t>
  </si>
  <si>
    <t>2ª/GRA</t>
  </si>
  <si>
    <t>2ª/GRA/UGP</t>
  </si>
  <si>
    <t>2ª/GRA/USA</t>
  </si>
  <si>
    <t>2ª/GRA/UTI</t>
  </si>
  <si>
    <t>2ª/GRD</t>
  </si>
  <si>
    <t>2ª/GRD/UEP</t>
  </si>
  <si>
    <t>2ª/GRD/UIP</t>
  </si>
  <si>
    <t>2ª/GRG</t>
  </si>
  <si>
    <t>2ª/GRG/UCB</t>
  </si>
  <si>
    <t>2ª/GRG/UFN</t>
  </si>
  <si>
    <t>2ª/GRG/UFN/SCB</t>
  </si>
  <si>
    <t>2ª/GRG/UMC</t>
  </si>
  <si>
    <t>2ª/GRG/URO</t>
  </si>
  <si>
    <t>2ª/GRI</t>
  </si>
  <si>
    <t>2ª/GRI/UEI</t>
  </si>
  <si>
    <t>2ª/GRI/URP</t>
  </si>
  <si>
    <t>2ª/GRR</t>
  </si>
  <si>
    <t>2ª/GRR/UDT</t>
  </si>
  <si>
    <t>2ª/GRR/UES</t>
  </si>
  <si>
    <t>2ª/GRS</t>
  </si>
  <si>
    <t>2ª/GRS/ULF</t>
  </si>
  <si>
    <t>2ª/SL</t>
  </si>
  <si>
    <t>2ª/SR</t>
  </si>
  <si>
    <t>2ª Superintendência Regional</t>
  </si>
  <si>
    <t>2ª/UBA</t>
  </si>
  <si>
    <t>Unidade Regional Descentralizada de Barreiras</t>
  </si>
  <si>
    <t>2ª/UVC</t>
  </si>
  <si>
    <t>Unidade Regional Descentralizada de Vitória da Conquista</t>
  </si>
  <si>
    <t>3ª/AJ</t>
  </si>
  <si>
    <t>3ª/CIB</t>
  </si>
  <si>
    <t>Centro Integrado de Recursos Pesqueiros e Aquicultura de Bebedouro</t>
  </si>
  <si>
    <t>3ª/Cogex</t>
  </si>
  <si>
    <t>3ª/GB</t>
  </si>
  <si>
    <t>3ª/GB/URC</t>
  </si>
  <si>
    <t>3ª/GRA</t>
  </si>
  <si>
    <t>3ª/GRA/UGP</t>
  </si>
  <si>
    <t>3ª/GRA/USA</t>
  </si>
  <si>
    <t>3ª/GRA/UTI</t>
  </si>
  <si>
    <t>3ª/GRD</t>
  </si>
  <si>
    <t>3ª/GRD/UEP</t>
  </si>
  <si>
    <t>3ª/GRD/UIP</t>
  </si>
  <si>
    <t>3ª/GRG</t>
  </si>
  <si>
    <t>3ª/GRG/UCB</t>
  </si>
  <si>
    <t>3ª/GRG/UFN</t>
  </si>
  <si>
    <t>3ª/GRG/UFN/SCB</t>
  </si>
  <si>
    <t>3ª/GRG/UMC</t>
  </si>
  <si>
    <t>3ª/GRG/URO</t>
  </si>
  <si>
    <t>3ª/GRI</t>
  </si>
  <si>
    <t>3ª/GRI/UEI</t>
  </si>
  <si>
    <t>3ª/GRI/URP</t>
  </si>
  <si>
    <t>3ª/GRR</t>
  </si>
  <si>
    <t>3ª/GRR/UDT</t>
  </si>
  <si>
    <t>3ª/GRR/UES</t>
  </si>
  <si>
    <t>3ª/GRS</t>
  </si>
  <si>
    <t>3ª/GRS/ULF</t>
  </si>
  <si>
    <t>3ª/SL</t>
  </si>
  <si>
    <t>3ª/SR</t>
  </si>
  <si>
    <t>3ª Superintendência Regional</t>
  </si>
  <si>
    <t>4ª/AJ</t>
  </si>
  <si>
    <t>4ª/CIT</t>
  </si>
  <si>
    <t>Centro Integrado de Recursos Pesqueiros e Aquicultura de Betume</t>
  </si>
  <si>
    <t>4ª/Cogex</t>
  </si>
  <si>
    <t>4ª/EPR</t>
  </si>
  <si>
    <t>Escritório de Apoio Técnico de Propriá</t>
  </si>
  <si>
    <t>4ª/GB</t>
  </si>
  <si>
    <t>4ª/GB/URC</t>
  </si>
  <si>
    <t>4ª/GRA</t>
  </si>
  <si>
    <t>4ª/GRA/UGP</t>
  </si>
  <si>
    <t>4ª/GRA/USA</t>
  </si>
  <si>
    <t>4ª/GRA/UTI</t>
  </si>
  <si>
    <t>4ª/GRD</t>
  </si>
  <si>
    <t>4ª/GRD/UEP</t>
  </si>
  <si>
    <t>4ª/GRD/UIP</t>
  </si>
  <si>
    <t>4ª/GRG</t>
  </si>
  <si>
    <t>4ª/GRG/UCB</t>
  </si>
  <si>
    <t>4ª/GRG/UFN</t>
  </si>
  <si>
    <t>4ª/GRG/UMC</t>
  </si>
  <si>
    <t>4ª/GRG/URO</t>
  </si>
  <si>
    <t>4ª/GRI</t>
  </si>
  <si>
    <t>4ª/GRI/UEI</t>
  </si>
  <si>
    <t>4ª/GRI/URP</t>
  </si>
  <si>
    <t>4ª/GRR</t>
  </si>
  <si>
    <t>4ª/GRR/UDT</t>
  </si>
  <si>
    <t>4ª/GRR/UES</t>
  </si>
  <si>
    <t>4ª/GRS</t>
  </si>
  <si>
    <t>4ª/GRS/ULF</t>
  </si>
  <si>
    <t>4ª/SL</t>
  </si>
  <si>
    <t>4ª/SR</t>
  </si>
  <si>
    <t>4ª Superintendência Regional</t>
  </si>
  <si>
    <t>5ª/AJ</t>
  </si>
  <si>
    <t>5ª/CII</t>
  </si>
  <si>
    <t>Centro Integrado de Recursos Pesqueiros e Aquicultura de Itiúba</t>
  </si>
  <si>
    <t>5ª/Cogex</t>
  </si>
  <si>
    <t>5ª/EPE</t>
  </si>
  <si>
    <t>Escritório de Apoio Técnico de Penedo</t>
  </si>
  <si>
    <t>5ª/GB</t>
  </si>
  <si>
    <t>5ª/GB/URC</t>
  </si>
  <si>
    <t>5ª/GRA</t>
  </si>
  <si>
    <t>5ª/GRA/UGP</t>
  </si>
  <si>
    <t>5ª/GRA/USA</t>
  </si>
  <si>
    <t>5ª/GRA/UTI</t>
  </si>
  <si>
    <t>5ª/GRD</t>
  </si>
  <si>
    <t>5ª/GRD/UEP</t>
  </si>
  <si>
    <t>5ª/GRD/UIP</t>
  </si>
  <si>
    <t>5ª/GRG</t>
  </si>
  <si>
    <t>5ª/GRG/UCB</t>
  </si>
  <si>
    <t>5ª/GRG/UFN</t>
  </si>
  <si>
    <t>5ª/GRG/UMC</t>
  </si>
  <si>
    <t>5ª/GRG/URO</t>
  </si>
  <si>
    <t>5ª/GRI</t>
  </si>
  <si>
    <t>5ª/GRI/UEI</t>
  </si>
  <si>
    <t>5ª/GRI/URP</t>
  </si>
  <si>
    <t>5ª/GRR</t>
  </si>
  <si>
    <t>5ª/GRR/UDT</t>
  </si>
  <si>
    <t>5ª/GRR/UES</t>
  </si>
  <si>
    <t>5ª/GRS</t>
  </si>
  <si>
    <t>5ª/GRS/ULF</t>
  </si>
  <si>
    <t>5ª/SL</t>
  </si>
  <si>
    <t>5ª/SR</t>
  </si>
  <si>
    <t>5ª Superintendência Regional</t>
  </si>
  <si>
    <t>6ª/AJ</t>
  </si>
  <si>
    <t>6ª/Cogex</t>
  </si>
  <si>
    <t>6ª/ESA</t>
  </si>
  <si>
    <t>Escritório de Representação de Salvador</t>
  </si>
  <si>
    <t>6ª/GB</t>
  </si>
  <si>
    <t>6ª/GB/URC</t>
  </si>
  <si>
    <t>6ª/GRA</t>
  </si>
  <si>
    <t>6ª/GRA/UGP</t>
  </si>
  <si>
    <t>6ª/GRA/USA</t>
  </si>
  <si>
    <t>6ª/GRA/UTI</t>
  </si>
  <si>
    <t>6ª/GRD</t>
  </si>
  <si>
    <t>6ª/GRD/UEP</t>
  </si>
  <si>
    <t>6ª/GRD/UIP</t>
  </si>
  <si>
    <t>6ª/GRG</t>
  </si>
  <si>
    <t>6ª/GRG/UCB</t>
  </si>
  <si>
    <t>6ª/GRG/UFN</t>
  </si>
  <si>
    <t>6ª/GRG/UFN/SCB</t>
  </si>
  <si>
    <t>6ª/GRG/UMC</t>
  </si>
  <si>
    <t>6ª/GRG/URO</t>
  </si>
  <si>
    <t>6ª/GRI</t>
  </si>
  <si>
    <t>6ª/GRI/UEI</t>
  </si>
  <si>
    <t>6ª/GRI/URP</t>
  </si>
  <si>
    <t>6ª/GRR</t>
  </si>
  <si>
    <t>6ª/GRR/UDT</t>
  </si>
  <si>
    <t>6ª/GRR/UES</t>
  </si>
  <si>
    <t>6ª/GRS</t>
  </si>
  <si>
    <t>6ª/GRS/ULF</t>
  </si>
  <si>
    <t>6ª/SL</t>
  </si>
  <si>
    <t>6ª/SR</t>
  </si>
  <si>
    <t>6ª Superintendência Regional</t>
  </si>
  <si>
    <t>6ª/UPF</t>
  </si>
  <si>
    <t>Unidade Regional Descentralizada de Paulo Afonso</t>
  </si>
  <si>
    <t>7ª/AJ</t>
  </si>
  <si>
    <t>7ª/Cogex</t>
  </si>
  <si>
    <t>7ª/EOE</t>
  </si>
  <si>
    <t>Escritório de Apoio Técnico de Oeiras</t>
  </si>
  <si>
    <t>7ª/EPA</t>
  </si>
  <si>
    <t>Escritório de Apoio Técnico de Parnaíba</t>
  </si>
  <si>
    <t>7ª/ERN</t>
  </si>
  <si>
    <t>Escritório de Apoio Técnico de São Raimundo Nonato</t>
  </si>
  <si>
    <t>7ª/GB</t>
  </si>
  <si>
    <t>7ª/GB/URC</t>
  </si>
  <si>
    <t>7ª/GRA</t>
  </si>
  <si>
    <t>7ª/GRA/UGP</t>
  </si>
  <si>
    <t>7ª/GRA/USA</t>
  </si>
  <si>
    <t>7ª/GRA/UTI</t>
  </si>
  <si>
    <t>7ª/GRD</t>
  </si>
  <si>
    <t>7ª/GRD/UEP</t>
  </si>
  <si>
    <t>7ª/GRD/UIP</t>
  </si>
  <si>
    <t>7ª/GRD/UPS</t>
  </si>
  <si>
    <t>Unidade Regional de Projetos Especiais</t>
  </si>
  <si>
    <t>7ª/GRG</t>
  </si>
  <si>
    <t>7ª/GRG/UCB</t>
  </si>
  <si>
    <t>7ª/GRG/UFN</t>
  </si>
  <si>
    <t>7ª/GRG/UMC</t>
  </si>
  <si>
    <t>7ª/GRG/URO</t>
  </si>
  <si>
    <t>7ª/GRI</t>
  </si>
  <si>
    <t>7ª/GRI/UEI</t>
  </si>
  <si>
    <t>7ª/GRI/URP</t>
  </si>
  <si>
    <t>7ª/GRR</t>
  </si>
  <si>
    <t>7ª/GRR/UDT</t>
  </si>
  <si>
    <t>7ª/GRR/UES</t>
  </si>
  <si>
    <t>7ª/GRS</t>
  </si>
  <si>
    <t>7ª/GRS/ULF</t>
  </si>
  <si>
    <t>7ª/SL</t>
  </si>
  <si>
    <t>7ª/SR</t>
  </si>
  <si>
    <t>7ª Superintendência Regional</t>
  </si>
  <si>
    <t>8ª/AJ</t>
  </si>
  <si>
    <t>8ª/Cogex</t>
  </si>
  <si>
    <t>8ª/EIM</t>
  </si>
  <si>
    <t>Escritório de Apoio Técnico de Imperatriz</t>
  </si>
  <si>
    <t>8ª/EPD</t>
  </si>
  <si>
    <t>Escritório de Apoio Técnico de Presidente Dutra</t>
  </si>
  <si>
    <t>8ª/GB</t>
  </si>
  <si>
    <t>8ª/GB/URC</t>
  </si>
  <si>
    <t>8ª/GRA</t>
  </si>
  <si>
    <t>8ª/GRA/UGP</t>
  </si>
  <si>
    <t>8ª/GRA/USA</t>
  </si>
  <si>
    <t>8ª/GRA/UTI</t>
  </si>
  <si>
    <t>8ª/GRD</t>
  </si>
  <si>
    <t>8ª/GRD/UEP</t>
  </si>
  <si>
    <t>8ª/GRD/UIP</t>
  </si>
  <si>
    <t>8ª/GRD/UPS</t>
  </si>
  <si>
    <t>8ª/GRG</t>
  </si>
  <si>
    <t>8ª/GRG/UCB</t>
  </si>
  <si>
    <t>8ª/GRG/UFN</t>
  </si>
  <si>
    <t>8ª/GRG/UMC</t>
  </si>
  <si>
    <t>8ª/GRG/URO</t>
  </si>
  <si>
    <t>8ª/GRR</t>
  </si>
  <si>
    <t>8ª/GRR/UDT</t>
  </si>
  <si>
    <t>8ª/GRR/UES</t>
  </si>
  <si>
    <t>8ª/GRS</t>
  </si>
  <si>
    <t>8ª/GRS/ULF</t>
  </si>
  <si>
    <t>8ª/SL</t>
  </si>
  <si>
    <t>8ª/SR</t>
  </si>
  <si>
    <t>8ª Superintendência Regional</t>
  </si>
  <si>
    <t>9ª/AJ</t>
  </si>
  <si>
    <t>9ª/Cogex</t>
  </si>
  <si>
    <t>9ª/GB</t>
  </si>
  <si>
    <t>9ª/GGR</t>
  </si>
  <si>
    <t>9ª/GGR/UOF</t>
  </si>
  <si>
    <t>9ª/GGR/UOF/SCO</t>
  </si>
  <si>
    <t>9ª/GGR/URA</t>
  </si>
  <si>
    <t>9ª/GRD</t>
  </si>
  <si>
    <t>9ª/GRD/UEP</t>
  </si>
  <si>
    <t>9ª/GRD/UIP</t>
  </si>
  <si>
    <t>9ª/GRR</t>
  </si>
  <si>
    <t>9ª/GRR/UDT</t>
  </si>
  <si>
    <t>9ª/GRR/UES</t>
  </si>
  <si>
    <t>9ª/SL</t>
  </si>
  <si>
    <t>9ª/SR</t>
  </si>
  <si>
    <t>9ª Superintendência Regional</t>
  </si>
  <si>
    <t>AA</t>
  </si>
  <si>
    <t>Área de Administração e Tecnologia</t>
  </si>
  <si>
    <t>AA/GGP</t>
  </si>
  <si>
    <t>Gerência de Gestão de Pessoas</t>
  </si>
  <si>
    <t>AA/GGP/UBS</t>
  </si>
  <si>
    <t>Unidade de Benefícios e Saúde Ocupacional</t>
  </si>
  <si>
    <t>AA/GGP/UCP</t>
  </si>
  <si>
    <t>Unidade de Cadastro e Pagamento</t>
  </si>
  <si>
    <t>AA/GGP/UDP</t>
  </si>
  <si>
    <t>Unidade de Desenvolvimento de Pessoas</t>
  </si>
  <si>
    <t>AA/GGP/URT</t>
  </si>
  <si>
    <t>Unidade de Relações de Trabalho</t>
  </si>
  <si>
    <t>AA/GPA</t>
  </si>
  <si>
    <t>Gerência de Patrimônio, Logística e Serviços Auxiliares</t>
  </si>
  <si>
    <t>AA/GPA/SBI</t>
  </si>
  <si>
    <t>Setor de Biblioteca</t>
  </si>
  <si>
    <t>AA/GPA/SDP</t>
  </si>
  <si>
    <t>Setor de Documentação e Protocolo</t>
  </si>
  <si>
    <t>AA/GPA/UAL</t>
  </si>
  <si>
    <t>Unidade de Administração Predial e Logística</t>
  </si>
  <si>
    <t>AA/GPA/UCS</t>
  </si>
  <si>
    <t>Unidade de Compras Administrativas</t>
  </si>
  <si>
    <t>AA/GPA/UPM</t>
  </si>
  <si>
    <t>Unidade de Patrimônio e Material</t>
  </si>
  <si>
    <t>AA/GTI</t>
  </si>
  <si>
    <t>Gerência de Tecnologia da Informação</t>
  </si>
  <si>
    <t>AA/GTI/UIT</t>
  </si>
  <si>
    <t>Unidade de Infraestrutura e Tecnologia</t>
  </si>
  <si>
    <t>AA/GTI/UPC</t>
  </si>
  <si>
    <t>Unidade de Conformidade e Controle de Tecnologia da Informação</t>
  </si>
  <si>
    <t>AA/GTI/USC</t>
  </si>
  <si>
    <t>Unidade de Segurança Cibernética</t>
  </si>
  <si>
    <t>AA/GTI/USI</t>
  </si>
  <si>
    <t>Unidade de Sistemas de Informações</t>
  </si>
  <si>
    <t>AD</t>
  </si>
  <si>
    <t>Área de Desenvolvimento e Infraestrutura</t>
  </si>
  <si>
    <t>AD/GEP</t>
  </si>
  <si>
    <t>Gerência de Estudos e Projetos</t>
  </si>
  <si>
    <t>AD/GEP/UPE</t>
  </si>
  <si>
    <t>Unidade de Estudos e Projetos de Infraestrutura Urbana e Edificações</t>
  </si>
  <si>
    <t>AD/GEP/UPH</t>
  </si>
  <si>
    <t>Unidade de Estudos e Projetos de Infraestrutura Hídrica e Irrigação</t>
  </si>
  <si>
    <t>AD/GIM</t>
  </si>
  <si>
    <t>Gerência de Implantação de Obras</t>
  </si>
  <si>
    <t>AD/GIM/UOE</t>
  </si>
  <si>
    <t>Unidade de Implantação de Obras de Infraestrutura Urbana e Edificações</t>
  </si>
  <si>
    <t>AD/GIM/UOH</t>
  </si>
  <si>
    <t>Unidade de Implantação de Obras de Infraestrutura Hídrica e Irrigação</t>
  </si>
  <si>
    <t>AD/GPI</t>
  </si>
  <si>
    <t>Gerência de Parcerias e Investimentos</t>
  </si>
  <si>
    <t>AD/GQV</t>
  </si>
  <si>
    <t>Gerência de Qualificação Viária</t>
  </si>
  <si>
    <t>AD/GQV/UGV</t>
  </si>
  <si>
    <t>Unidade de Gestão e Controle de Projetos de Qualificação Viária</t>
  </si>
  <si>
    <t>AD/GQV/UIO</t>
  </si>
  <si>
    <t>Unidade de Implantação de Obras de Qualificação Viária</t>
  </si>
  <si>
    <t>AD/SE</t>
  </si>
  <si>
    <t>Secretaria Executiva</t>
  </si>
  <si>
    <t>Área de Estratégia e Finanças</t>
  </si>
  <si>
    <t>AE/GCB</t>
  </si>
  <si>
    <t>Gerência de Contabilidade</t>
  </si>
  <si>
    <t>AE/GCB/UCC</t>
  </si>
  <si>
    <t>Unidade de Conformidade Contábil</t>
  </si>
  <si>
    <t>AE/GCB/UEC</t>
  </si>
  <si>
    <t>Unidade de Execução Contábil</t>
  </si>
  <si>
    <t>AE/GCB/UER</t>
  </si>
  <si>
    <t>Unidade de Escrituração e Revisão Contábil</t>
  </si>
  <si>
    <t>AE/GFN</t>
  </si>
  <si>
    <t>Gerência de Finanças</t>
  </si>
  <si>
    <t>AE/GFN/UCR</t>
  </si>
  <si>
    <t>Unidade de Gestão da Cobrança</t>
  </si>
  <si>
    <t>AE/GFN/UEF</t>
  </si>
  <si>
    <t>Unidade de Programação e Execução Financeira</t>
  </si>
  <si>
    <t>AE/GGO</t>
  </si>
  <si>
    <t>Gerência de Gestão Orçamentária</t>
  </si>
  <si>
    <t>AE/GGO/UEO</t>
  </si>
  <si>
    <t>Unidade de Execução Orçamentária</t>
  </si>
  <si>
    <t>AE/GGO/UPO</t>
  </si>
  <si>
    <t>Unidade de Programação Orçamentária</t>
  </si>
  <si>
    <t>Gerência de Planejamento Estratégico</t>
  </si>
  <si>
    <t>AE/GPE/UAT</t>
  </si>
  <si>
    <t>Unidade de Acompanhamento de Transferências</t>
  </si>
  <si>
    <t>Unidade de Gestão Normativa e de Processos</t>
  </si>
  <si>
    <t>AE/GPE/UPL</t>
  </si>
  <si>
    <t>Unidade de Planejamento Institucional</t>
  </si>
  <si>
    <t>AG</t>
  </si>
  <si>
    <t>Área de Governança e Sustentabilidade</t>
  </si>
  <si>
    <t>AG/GAF</t>
  </si>
  <si>
    <t>Gerência de Administração Fundiária e Geotecnologia</t>
  </si>
  <si>
    <t>AG/GAF/UDF</t>
  </si>
  <si>
    <t>Unidade de Documentação Fundiária</t>
  </si>
  <si>
    <t>AG/GAF/UGG</t>
  </si>
  <si>
    <t>Unidade de Gestão Geotecnológica</t>
  </si>
  <si>
    <t>AG/GCT</t>
  </si>
  <si>
    <t>Gerência de Custos</t>
  </si>
  <si>
    <t>AG/GCT/UCT</t>
  </si>
  <si>
    <t>Unidade de Custos e Orçamentação</t>
  </si>
  <si>
    <t>AG/GCT/UTR</t>
  </si>
  <si>
    <t>Unidade de Procedimentos Técnicos Referenciais</t>
  </si>
  <si>
    <t>AG/GMA</t>
  </si>
  <si>
    <t>Gerência de Meio Ambiente</t>
  </si>
  <si>
    <t>AG/GMA/UCA</t>
  </si>
  <si>
    <t>Unidade de Conservação Ambiental</t>
  </si>
  <si>
    <t>AG/GMA/ULA</t>
  </si>
  <si>
    <t>Unidade de Licenciamento Ambiental</t>
  </si>
  <si>
    <t>AG/SE</t>
  </si>
  <si>
    <t>AGE</t>
  </si>
  <si>
    <t>Assembleia Geral</t>
  </si>
  <si>
    <t>AI</t>
  </si>
  <si>
    <t>Área de Irrigação e Operações</t>
  </si>
  <si>
    <t>AI/GAP</t>
  </si>
  <si>
    <t>Gerência de Apoio à Produção Irrigada</t>
  </si>
  <si>
    <t>AI/GAP/UGI</t>
  </si>
  <si>
    <t>Unidade de Gestão de Áreas Irrigadas</t>
  </si>
  <si>
    <t>AI/GAP/UPI</t>
  </si>
  <si>
    <t>Unidade de Apoio aos Projetos Públicos de Irrigação</t>
  </si>
  <si>
    <t>AI/GEE</t>
  </si>
  <si>
    <t>Gerência de Eficiência Energética</t>
  </si>
  <si>
    <t>AI/GEE/UEE</t>
  </si>
  <si>
    <t>Unidade de Gestão de Energia e Apoio ao PISF</t>
  </si>
  <si>
    <t>AI/GEE/USB</t>
  </si>
  <si>
    <t>Unidade de Gestão e Segurança de Barragens</t>
  </si>
  <si>
    <t>AI/GGE</t>
  </si>
  <si>
    <t>Gerência de Gestão de Empreendimentos</t>
  </si>
  <si>
    <t>AI/GGE/UGM</t>
  </si>
  <si>
    <t>Unidade de Gestão e Monitoramento de Empreendimentos</t>
  </si>
  <si>
    <t>AI/GGE/UOR</t>
  </si>
  <si>
    <t>Unidade de Operação e Reabilitação de Empreendimentos</t>
  </si>
  <si>
    <t>AI/SE</t>
  </si>
  <si>
    <t>AR</t>
  </si>
  <si>
    <t>Área de Revitalização e Desenvolvimento Territorial</t>
  </si>
  <si>
    <t>Gerência de Desenvolvimento Territorial</t>
  </si>
  <si>
    <t>AR/GDT/UAP</t>
  </si>
  <si>
    <t>Unidade de Desenvolvimento dos Arranjos Produtivos</t>
  </si>
  <si>
    <t>AR/GDT/UPA</t>
  </si>
  <si>
    <t>Unidade de Recursos Pesqueiros, Aquicultura e Beneficiamento</t>
  </si>
  <si>
    <t>AR/GMT</t>
  </si>
  <si>
    <t>Gerência de Mecanização e Modernização Territorial</t>
  </si>
  <si>
    <t>AR/GMT/UCM</t>
  </si>
  <si>
    <t>Unidade de Gestão e Controle da Modernização Territorial</t>
  </si>
  <si>
    <t>AR/GMT/UME</t>
  </si>
  <si>
    <t>Unidade de Aquisição de Máquinas e Equipamentos</t>
  </si>
  <si>
    <t>AR/GSA</t>
  </si>
  <si>
    <t>Gerência de Saneamento e Acesso à Água</t>
  </si>
  <si>
    <t>AR/GSA/UAS</t>
  </si>
  <si>
    <t>Unidade de Água e Saneamento Básico</t>
  </si>
  <si>
    <t>AR/GSA/UEA</t>
  </si>
  <si>
    <t>Unidade de Esgotamento Rural e Acesso a Água</t>
  </si>
  <si>
    <t>AR/SE</t>
  </si>
  <si>
    <t>CEC</t>
  </si>
  <si>
    <t>Comissão de Ética da Codevasf</t>
  </si>
  <si>
    <t>Coaud</t>
  </si>
  <si>
    <t>Comitê de Auditoria Estatutário</t>
  </si>
  <si>
    <t>Cogid</t>
  </si>
  <si>
    <t>Comitê de Governança Interna e Digital</t>
  </si>
  <si>
    <t>Cogid/SPDP</t>
  </si>
  <si>
    <t>Subcomitê de Proteção de Dados Pessoais</t>
  </si>
  <si>
    <t>Cogid/SSI</t>
  </si>
  <si>
    <t>Subcomitê de Segurança da Informação</t>
  </si>
  <si>
    <t>Cogid/STIC</t>
  </si>
  <si>
    <t>Subcomitê de Tecnologia da Informação</t>
  </si>
  <si>
    <t>Confis</t>
  </si>
  <si>
    <t>Conselho Fiscal</t>
  </si>
  <si>
    <t>Consad</t>
  </si>
  <si>
    <t>Conselho de Administração</t>
  </si>
  <si>
    <t>Consad/AUD</t>
  </si>
  <si>
    <t>Auditoria Interna</t>
  </si>
  <si>
    <t>Consad/AUD/UGE</t>
  </si>
  <si>
    <t>Unidade de Acompanhamento e Avaliação da Gestão</t>
  </si>
  <si>
    <t>Consad/AUD/UIN</t>
  </si>
  <si>
    <t>Unidade de Apoio e Informação</t>
  </si>
  <si>
    <t>Consad/AUD/UPR</t>
  </si>
  <si>
    <t>Unidade de Acompanhamento e Avaliação de Programas</t>
  </si>
  <si>
    <t>Consad/COR</t>
  </si>
  <si>
    <t>Corregedoria</t>
  </si>
  <si>
    <t>Consad/COR/UIV</t>
  </si>
  <si>
    <t>Unidade Especial de Admissibilidade e Investigação</t>
  </si>
  <si>
    <t>Consad/COR/UPJ</t>
  </si>
  <si>
    <t>Unidade Especial de Processos Acusatórios e Julgamento</t>
  </si>
  <si>
    <t>Consad/OUV</t>
  </si>
  <si>
    <t>Ouvidoria</t>
  </si>
  <si>
    <t>Copes</t>
  </si>
  <si>
    <t>Comitê de Pessoas, Elegibilidade, Sucessão e Remuneração</t>
  </si>
  <si>
    <t>DEX</t>
  </si>
  <si>
    <t>Diretoria Executiva</t>
  </si>
  <si>
    <t>PR</t>
  </si>
  <si>
    <t>Presidência</t>
  </si>
  <si>
    <t>PR/AC</t>
  </si>
  <si>
    <t>Assessoria de Comunicação</t>
  </si>
  <si>
    <t>PR/AC/UCE</t>
  </si>
  <si>
    <t>Unidade Especial de Cerimonial e Eventos</t>
  </si>
  <si>
    <t>PR/AC/UIM</t>
  </si>
  <si>
    <t>Unidade Especial de Imagem e Promoção Institucional</t>
  </si>
  <si>
    <t>PR/AJ</t>
  </si>
  <si>
    <t>PR/AJ/UAA</t>
  </si>
  <si>
    <t>Unidade de Assuntos Administrativos</t>
  </si>
  <si>
    <t>PR/AJ/UCO</t>
  </si>
  <si>
    <t>Unidade do Contencioso</t>
  </si>
  <si>
    <t>PR/EBE</t>
  </si>
  <si>
    <t>Escritório de Representação de Belém</t>
  </si>
  <si>
    <t>PR/GB</t>
  </si>
  <si>
    <t>Gabinete da Presidência</t>
  </si>
  <si>
    <t>PR/SC</t>
  </si>
  <si>
    <t>Secretaria de Órgãos Colegiados</t>
  </si>
  <si>
    <t>PR/SI</t>
  </si>
  <si>
    <t>Secretaria de Integridade</t>
  </si>
  <si>
    <t>PR/SLC</t>
  </si>
  <si>
    <t>Secretaria de Licitações e Contratos</t>
  </si>
  <si>
    <t>PR/SLC/UGC</t>
  </si>
  <si>
    <t>Unidade Especial de Gestão de Contratos</t>
  </si>
  <si>
    <t>PR/SLC/UGL</t>
  </si>
  <si>
    <t>Unidade Especial de Gestão de Licitações</t>
  </si>
  <si>
    <t>PR/SRC</t>
  </si>
  <si>
    <t>Secretaria de Gestão de Riscos e Controle Interno</t>
  </si>
  <si>
    <t>PR/SRC/UGR</t>
  </si>
  <si>
    <t>Unidade Especial de Gerenciamento de Riscos Corporativos</t>
  </si>
  <si>
    <t>Chave</t>
  </si>
  <si>
    <t>Contato_Unidade</t>
  </si>
  <si>
    <t>Unidade de Gestão Normativa e de Processos (AE/GPE/UNP)</t>
  </si>
  <si>
    <t>Contato_Email</t>
  </si>
  <si>
    <t>ae.gpe.unp@codevasf.gov.br</t>
  </si>
  <si>
    <t>Contato_Telefone</t>
  </si>
  <si>
    <t>Link_Metodologia</t>
  </si>
  <si>
    <t>Link_Guia</t>
  </si>
  <si>
    <t>Titulo_Inicio</t>
  </si>
  <si>
    <t>Mapeamento de processos da Codevasf</t>
  </si>
  <si>
    <t>Subtitulo_Inicio</t>
  </si>
  <si>
    <t>Cadeia de valor, portfólio de processos e repositório de materiais da Companhia, num só lugar.</t>
  </si>
  <si>
    <t>Titulo_Repositorio</t>
  </si>
  <si>
    <t>Repositório de materiais e ferramentas</t>
  </si>
  <si>
    <t>Categoria_Macroprocesso</t>
  </si>
  <si>
    <t>Sim_Nao</t>
  </si>
  <si>
    <t>Nivel_Vinculo</t>
  </si>
  <si>
    <t>Situacao_Documento</t>
  </si>
  <si>
    <t>Categoria_Risco</t>
  </si>
  <si>
    <t>Resposta_Risco</t>
  </si>
  <si>
    <t>Status_Risco</t>
  </si>
  <si>
    <t>Fase_Jornada</t>
  </si>
  <si>
    <t>Categoria_Repositorio</t>
  </si>
  <si>
    <t>Fase_Instrumento</t>
  </si>
  <si>
    <t>Categoria_Glossario</t>
  </si>
  <si>
    <t>Categoria_FAQ</t>
  </si>
  <si>
    <t>Hierarquia_NUGEP</t>
  </si>
  <si>
    <t>Planejamento</t>
  </si>
  <si>
    <t>Área de Gestão Estratégica</t>
  </si>
  <si>
    <t>Aceitar</t>
  </si>
  <si>
    <t>Bimestral</t>
  </si>
  <si>
    <t>3. Desenvolver iniciativas</t>
  </si>
  <si>
    <t>Não se aplica</t>
  </si>
  <si>
    <t>Transferir</t>
  </si>
  <si>
    <t>Suspenso</t>
  </si>
  <si>
    <t>4. Implementar mudanças</t>
  </si>
  <si>
    <t>Revogado</t>
  </si>
  <si>
    <t>Evitar</t>
  </si>
  <si>
    <t>Semestral</t>
  </si>
  <si>
    <t>0</t>
  </si>
  <si>
    <t>Gerência de Auditoria e Governança</t>
  </si>
  <si>
    <t>Financeiro/Orçamentário</t>
  </si>
  <si>
    <t>Imagem/Reputação</t>
  </si>
  <si>
    <t>Gerência de Projetos de Revitalização</t>
  </si>
  <si>
    <t>Gerência de Recursos Hídricos</t>
  </si>
  <si>
    <t>Gerência de Licitações e Contratos</t>
  </si>
  <si>
    <t>Outro</t>
  </si>
  <si>
    <t>Gerência de Obras e Manutenção</t>
  </si>
  <si>
    <t>Problema</t>
  </si>
  <si>
    <t>O_Que</t>
  </si>
  <si>
    <t>Por_Que</t>
  </si>
  <si>
    <t>Onde</t>
  </si>
  <si>
    <t>Quando</t>
  </si>
  <si>
    <t>Quem</t>
  </si>
  <si>
    <t>Como</t>
  </si>
  <si>
    <t>Quanto_Custa</t>
  </si>
  <si>
    <t>PA-001</t>
  </si>
  <si>
    <t>Estimativas de preço divergentes por falta de padronização na pesquisa (mesma causa-raiz do risco R-001).</t>
  </si>
  <si>
    <t>Padronizar o roteiro de pesquisa de preços com no mínimo três fontes e critério único de tratamento estatístico.</t>
  </si>
  <si>
    <t>Reduzir sobrepreço e licitações desertas causados por estimativas defasadas.</t>
  </si>
  <si>
    <t>Gerência de Licitações e Contratos (AA/GLC).</t>
  </si>
  <si>
    <t>30/09/2026</t>
  </si>
  <si>
    <t>Ricardo Nogueira (gestor do processo) e equipe de planejamento da AA/GLC</t>
  </si>
  <si>
    <t>Atualizar o PRO com o roteiro padronizado (DOC-007) e capacitar a equipe.</t>
  </si>
  <si>
    <t>Sem custo adicional — carga horária interna.</t>
  </si>
  <si>
    <t>PA-002</t>
  </si>
  <si>
    <t>Baixo engajamento das áreas demandantes no preenchimento do DFD, gerando retrabalho.</t>
  </si>
  <si>
    <t>Criar modelo simplificado de DFD e oficina de capacitação para novas áreas demandantes.</t>
  </si>
  <si>
    <t>Reduzir devoluções por preenchimento incompleto e acelerar o início do processo.</t>
  </si>
  <si>
    <t>Todas as unidades demandantes, coordenado pela AA/GLC.</t>
  </si>
  <si>
    <t>15/11/2026</t>
  </si>
  <si>
    <t>Bruna Souza (UNP) e Carlos Eduardo Lima</t>
  </si>
  <si>
    <t>Oficinas trimestrais e modelo simplificado publicado no e-Codevasf.</t>
  </si>
  <si>
    <t>R$ 0 — recursos internos.</t>
  </si>
  <si>
    <t>PA-003</t>
  </si>
  <si>
    <t>Uso eventual de fontes de preço não admitidas pela IN SEGES nº 65/2021 (mesma causa do risco R-008).</t>
  </si>
  <si>
    <t>Implantar checklist de validação da pesquisa antes da aprovação do valor estimado.</t>
  </si>
  <si>
    <t>Garantir conformidade legal e evitar questionamentos de órgãos de controle.</t>
  </si>
  <si>
    <t>Equipe de planejamento da contratação (AA/GLC).</t>
  </si>
  <si>
    <t>31/08/2026</t>
  </si>
  <si>
    <t>Checklist obrigatório (modelo do DOC-015) antes da homologação do ETP.</t>
  </si>
  <si>
    <t>Sem custo — ajuste de procedimento.</t>
  </si>
  <si>
    <t>Instancia</t>
  </si>
  <si>
    <t>Item_Normativo</t>
  </si>
  <si>
    <t>Atribuicoes</t>
  </si>
  <si>
    <t>Garantir o apoio institucional para a gestão de processos.</t>
  </si>
  <si>
    <t>3.2</t>
  </si>
  <si>
    <t>Definir diretrizes para a gestão de processos; Aprovar a metodologia de gestão de processos; Aprovar a priorização para a gestão de processos; Aprovar os indicadores e metas de desempenho dos processos; Avaliar a aferição dos indicadores dos processos.</t>
  </si>
  <si>
    <t>3.3</t>
  </si>
  <si>
    <t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</si>
  <si>
    <t>Núcleo de Gestão Normativa e de Processos (Nugep)</t>
  </si>
  <si>
    <t>3.4</t>
  </si>
  <si>
    <t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</si>
  <si>
    <t>Ponto focal do Nugep</t>
  </si>
  <si>
    <t>3.5</t>
  </si>
  <si>
    <t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</si>
  <si>
    <t>3.6</t>
  </si>
  <si>
    <t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</si>
  <si>
    <t>3.7</t>
  </si>
  <si>
    <t>Realizar o gerenciamento dos processos priorizados de sua competência.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</si>
</sst>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sz val="10"/>
      <name val="Arial"/>
    </font>
    <font>
      <sz val="10"/>
      <name val="Arial"/>
    </font>
    <font>
      <b/>
      <color rgb="00FFFFFF"/>
      <sz val="10"/>
      <name val="Arial"/>
    </font>
    <font>
      <b/>
      <color rgb="FFFFFFFF"/>
      <sz val="10"/>
      <name val="Arial"/>
    </font>
    <font>
      <color theme="1"/>
      <family val="2"/>
      <scheme val="minor"/>
      <sz val="12"/>
      <name val="Calibri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0040B4"/>
      </patternFill>
    </fill>
    <fill>
      <patternFill patternType="solid">
        <fgColor rgb="FF0040B4"/>
      </patternFill>
    </fill>
    <fill>
      <patternFill patternType="solid">
        <fgColor rgb="FFF5F8FC"/>
      </patternFill>
    </fill>
    <fill>
      <patternFill patternType="solid">
        <fgColor rgb="00F5F8FC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top"/>
    </xf>
    <xf numFmtId="0" fontId="2" fillId="5" borderId="2" xfId="0" applyFont="1" applyFill="1" applyBorder="1" applyAlignment="1">
      <alignment vertical="top" wrapText="1"/>
    </xf>
    <xf numFmtId="0" fontId="2" fillId="2" borderId="2" xfId="0" applyFont="1" applyFill="1" applyBorder="1" applyAlignment="1">
      <alignment horizontal="center" vertical="top"/>
    </xf>
    <xf numFmtId="0" fontId="2" fillId="0" borderId="2" xfId="0" applyFont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2" fillId="0" borderId="2" xfId="0" applyFont="1" applyBorder="1" applyAlignment="1">
      <alignment vertical="top"/>
    </xf>
    <xf numFmtId="0" fontId="2" fillId="0" borderId="2" xfId="0" applyFont="1" applyBorder="1" applyAlignment="1">
      <alignment horizontal="center" vertical="top"/>
    </xf>
    <xf numFmtId="164" fontId="2" fillId="0" borderId="2" xfId="0" applyNumberFormat="1" applyFont="1" applyBorder="1" applyAlignment="1">
      <alignment horizontal="center" vertical="top"/>
    </xf>
    <xf numFmtId="0" fontId="5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45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1" x14ac:dyDescent="0.25">
      <c r="A1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6" spans="1:1" x14ac:dyDescent="0.25">
      <c r="A6" t="s">
        <v>3</v>
      </c>
    </row>
    <row r="7" spans="1:1" x14ac:dyDescent="0.25">
      <c r="A7" t="s">
        <v>4</v>
      </c>
    </row>
    <row r="8" spans="1:1" x14ac:dyDescent="0.25">
      <c r="A8" t="s">
        <v>5</v>
      </c>
    </row>
    <row r="9" spans="1:1" x14ac:dyDescent="0.25">
      <c r="A9" t="s">
        <v>6</v>
      </c>
    </row>
    <row r="10" spans="1:1" x14ac:dyDescent="0.25">
      <c r="A10" t="s">
        <v>7</v>
      </c>
    </row>
    <row r="11" spans="1:1" x14ac:dyDescent="0.25">
      <c r="A11" t="s">
        <v>8</v>
      </c>
    </row>
    <row r="12" spans="1:1" x14ac:dyDescent="0.25">
      <c r="A12" t="s">
        <v>9</v>
      </c>
    </row>
    <row r="14" spans="1:1" x14ac:dyDescent="0.25">
      <c r="A14" t="s">
        <v>10</v>
      </c>
    </row>
    <row r="15" spans="1:1" x14ac:dyDescent="0.25">
      <c r="A15" t="s">
        <v>11</v>
      </c>
    </row>
    <row r="16" spans="1:2" x14ac:dyDescent="0.25">
      <c r="A16" t="s">
        <v>12</v>
      </c>
      <c r="B16" t="s">
        <v>13</v>
      </c>
    </row>
    <row r="17" spans="1:2" x14ac:dyDescent="0.25">
      <c r="A17" t="s">
        <v>14</v>
      </c>
      <c r="B17" t="s">
        <v>15</v>
      </c>
    </row>
    <row r="18" spans="1:2" x14ac:dyDescent="0.25">
      <c r="A18" t="s">
        <v>16</v>
      </c>
      <c r="B18" t="s">
        <v>17</v>
      </c>
    </row>
    <row r="19" spans="1:2" x14ac:dyDescent="0.25">
      <c r="A19" t="s">
        <v>18</v>
      </c>
      <c r="B19" t="s">
        <v>19</v>
      </c>
    </row>
    <row r="20" spans="1:2" x14ac:dyDescent="0.25">
      <c r="A20" t="s">
        <v>20</v>
      </c>
      <c r="B20" t="s">
        <v>21</v>
      </c>
    </row>
    <row r="21" spans="1:2" x14ac:dyDescent="0.25">
      <c r="A21" t="s">
        <v>22</v>
      </c>
      <c r="B21" t="s">
        <v>23</v>
      </c>
    </row>
    <row r="22" spans="1:2" x14ac:dyDescent="0.25">
      <c r="A22" t="s">
        <v>24</v>
      </c>
      <c r="B22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8" spans="1:1" x14ac:dyDescent="0.25">
      <c r="A28" t="s">
        <v>29</v>
      </c>
    </row>
    <row r="29" spans="1:2" x14ac:dyDescent="0.25">
      <c r="A29" t="s">
        <v>30</v>
      </c>
      <c r="B29" t="s">
        <v>31</v>
      </c>
    </row>
    <row r="30" spans="1:2" x14ac:dyDescent="0.25">
      <c r="A30" t="s">
        <v>32</v>
      </c>
      <c r="B30" t="s">
        <v>33</v>
      </c>
    </row>
    <row r="31" spans="1:2" x14ac:dyDescent="0.25">
      <c r="A31" t="s">
        <v>34</v>
      </c>
      <c r="B31" t="s">
        <v>35</v>
      </c>
    </row>
    <row r="32" spans="1:2" x14ac:dyDescent="0.25">
      <c r="A32" t="s">
        <v>36</v>
      </c>
      <c r="B32" t="s">
        <v>37</v>
      </c>
    </row>
    <row r="33" spans="1:2" x14ac:dyDescent="0.25">
      <c r="A33" t="s">
        <v>38</v>
      </c>
      <c r="B33" t="s">
        <v>39</v>
      </c>
    </row>
    <row r="34" spans="1:2" x14ac:dyDescent="0.25">
      <c r="A34" t="s">
        <v>40</v>
      </c>
      <c r="B34" t="s">
        <v>41</v>
      </c>
    </row>
    <row r="35" spans="1:2" x14ac:dyDescent="0.25">
      <c r="A35" t="s">
        <v>42</v>
      </c>
      <c r="B35" t="s">
        <v>43</v>
      </c>
    </row>
    <row r="36" spans="1:2" x14ac:dyDescent="0.25">
      <c r="A36" t="s">
        <v>44</v>
      </c>
      <c r="B36" t="s">
        <v>45</v>
      </c>
    </row>
    <row r="37" spans="1:2" x14ac:dyDescent="0.25">
      <c r="A37" t="s">
        <v>46</v>
      </c>
      <c r="B37" t="s">
        <v>47</v>
      </c>
    </row>
    <row r="38" spans="1:2" x14ac:dyDescent="0.25">
      <c r="A38" t="s">
        <v>48</v>
      </c>
      <c r="B38" t="s">
        <v>49</v>
      </c>
    </row>
    <row r="39" spans="1:2" x14ac:dyDescent="0.25">
      <c r="A39" t="s">
        <v>50</v>
      </c>
      <c r="B39" t="s">
        <v>51</v>
      </c>
    </row>
    <row r="40" spans="1:2" x14ac:dyDescent="0.25">
      <c r="A40" t="s">
        <v>52</v>
      </c>
      <c r="B40" t="s">
        <v>53</v>
      </c>
    </row>
    <row r="41" spans="1:2" x14ac:dyDescent="0.25">
      <c r="A41" t="s">
        <v>54</v>
      </c>
      <c r="B41" t="s">
        <v>55</v>
      </c>
    </row>
    <row r="43" spans="1:1" x14ac:dyDescent="0.25">
      <c r="A43" t="s">
        <v>56</v>
      </c>
    </row>
    <row r="44" spans="1:2" x14ac:dyDescent="0.25">
      <c r="A44" s="1" t="s">
        <v>57</v>
      </c>
      <c r="B44" s="2" t="s">
        <v>58</v>
      </c>
    </row>
    <row r="45" spans="1:2" x14ac:dyDescent="0.25">
      <c r="A45" s="1" t="s">
        <v>59</v>
      </c>
      <c r="B45" s="2" t="s">
        <v>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P9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16" x14ac:dyDescent="0.25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  <c r="L1" t="s">
        <v>72</v>
      </c>
      <c r="M1" t="s">
        <v>73</v>
      </c>
      <c r="N1" t="s">
        <v>74</v>
      </c>
      <c r="O1" t="s">
        <v>75</v>
      </c>
      <c r="P1" t="s">
        <v>76</v>
      </c>
    </row>
    <row r="2" spans="1:16" x14ac:dyDescent="0.25">
      <c r="A2" t="s">
        <v>77</v>
      </c>
      <c r="B2" t="s">
        <v>78</v>
      </c>
      <c r="C2" t="s">
        <v>79</v>
      </c>
      <c r="D2" t="s">
        <v>80</v>
      </c>
      <c r="E2" t="s">
        <v>81</v>
      </c>
      <c r="F2" t="s">
        <v>82</v>
      </c>
      <c r="G2" t="s">
        <v>83</v>
      </c>
      <c r="H2" t="s">
        <v>84</v>
      </c>
      <c r="I2" t="s">
        <v>85</v>
      </c>
      <c r="J2" t="s">
        <v>86</v>
      </c>
      <c r="K2" t="s">
        <v>87</v>
      </c>
      <c r="L2" t="s">
        <v>88</v>
      </c>
      <c r="M2" t="s">
        <v>89</v>
      </c>
      <c r="P2" t="s">
        <v>90</v>
      </c>
    </row>
    <row r="3" spans="1:16" x14ac:dyDescent="0.25">
      <c r="A3" t="s">
        <v>91</v>
      </c>
      <c r="B3" t="s">
        <v>92</v>
      </c>
      <c r="C3" t="s">
        <v>79</v>
      </c>
      <c r="D3" t="s">
        <v>93</v>
      </c>
      <c r="E3" t="s">
        <v>94</v>
      </c>
      <c r="F3" t="s">
        <v>95</v>
      </c>
      <c r="G3" t="s">
        <v>96</v>
      </c>
      <c r="H3" t="s">
        <v>97</v>
      </c>
      <c r="I3" t="s">
        <v>98</v>
      </c>
      <c r="J3" t="s">
        <v>99</v>
      </c>
      <c r="K3" t="s">
        <v>100</v>
      </c>
      <c r="L3" t="s">
        <v>101</v>
      </c>
      <c r="M3" t="s">
        <v>102</v>
      </c>
      <c r="P3" t="s">
        <v>103</v>
      </c>
    </row>
    <row r="4" spans="1:16" x14ac:dyDescent="0.25">
      <c r="A4" t="s">
        <v>104</v>
      </c>
      <c r="B4" t="s">
        <v>105</v>
      </c>
      <c r="C4" t="s">
        <v>106</v>
      </c>
      <c r="D4" t="s">
        <v>107</v>
      </c>
      <c r="E4" t="s">
        <v>108</v>
      </c>
      <c r="F4" t="s">
        <v>109</v>
      </c>
      <c r="G4" t="s">
        <v>110</v>
      </c>
      <c r="H4" t="s">
        <v>111</v>
      </c>
      <c r="I4" t="s">
        <v>112</v>
      </c>
      <c r="J4" t="s">
        <v>113</v>
      </c>
      <c r="K4" t="s">
        <v>114</v>
      </c>
      <c r="L4" t="s">
        <v>115</v>
      </c>
      <c r="M4" t="s">
        <v>116</v>
      </c>
      <c r="P4" t="s">
        <v>117</v>
      </c>
    </row>
    <row r="5" spans="1:16" x14ac:dyDescent="0.25">
      <c r="A5" t="s">
        <v>118</v>
      </c>
      <c r="B5" t="s">
        <v>119</v>
      </c>
      <c r="C5" t="s">
        <v>106</v>
      </c>
      <c r="D5" t="s">
        <v>120</v>
      </c>
      <c r="E5" t="s">
        <v>121</v>
      </c>
      <c r="F5" t="s">
        <v>122</v>
      </c>
      <c r="G5" t="s">
        <v>123</v>
      </c>
      <c r="H5" t="s">
        <v>124</v>
      </c>
      <c r="I5" t="s">
        <v>125</v>
      </c>
      <c r="J5" t="s">
        <v>126</v>
      </c>
      <c r="K5" t="s">
        <v>127</v>
      </c>
      <c r="L5" t="s">
        <v>128</v>
      </c>
      <c r="M5" t="s">
        <v>129</v>
      </c>
      <c r="P5" t="s">
        <v>130</v>
      </c>
    </row>
    <row r="6" spans="1:16" x14ac:dyDescent="0.25">
      <c r="A6" t="s">
        <v>131</v>
      </c>
      <c r="B6" t="s">
        <v>132</v>
      </c>
      <c r="C6" t="s">
        <v>106</v>
      </c>
      <c r="D6" t="s">
        <v>133</v>
      </c>
      <c r="E6" t="s">
        <v>134</v>
      </c>
      <c r="F6" t="s">
        <v>135</v>
      </c>
      <c r="G6" t="s">
        <v>136</v>
      </c>
      <c r="H6" t="s">
        <v>137</v>
      </c>
      <c r="I6" t="s">
        <v>138</v>
      </c>
      <c r="J6" t="s">
        <v>139</v>
      </c>
      <c r="K6" t="s">
        <v>140</v>
      </c>
      <c r="L6" t="s">
        <v>141</v>
      </c>
      <c r="M6" t="s">
        <v>142</v>
      </c>
      <c r="P6" t="s">
        <v>143</v>
      </c>
    </row>
    <row r="7" spans="1:16" x14ac:dyDescent="0.25">
      <c r="A7" t="s">
        <v>144</v>
      </c>
      <c r="B7" t="s">
        <v>145</v>
      </c>
      <c r="C7" t="s">
        <v>146</v>
      </c>
      <c r="D7" t="s">
        <v>147</v>
      </c>
      <c r="E7" t="s">
        <v>148</v>
      </c>
      <c r="F7" t="s">
        <v>149</v>
      </c>
      <c r="G7" t="s">
        <v>150</v>
      </c>
      <c r="H7" t="s">
        <v>151</v>
      </c>
      <c r="I7" t="s">
        <v>152</v>
      </c>
      <c r="J7" t="s">
        <v>153</v>
      </c>
      <c r="K7" t="s">
        <v>154</v>
      </c>
      <c r="L7" t="s">
        <v>155</v>
      </c>
      <c r="M7" t="s">
        <v>156</v>
      </c>
      <c r="O7" t="s">
        <v>157</v>
      </c>
      <c r="P7" t="s">
        <v>158</v>
      </c>
    </row>
    <row r="8" spans="1:16" x14ac:dyDescent="0.25">
      <c r="A8" t="s">
        <v>159</v>
      </c>
      <c r="B8" t="s">
        <v>160</v>
      </c>
      <c r="C8" t="s">
        <v>146</v>
      </c>
      <c r="D8" t="s">
        <v>161</v>
      </c>
      <c r="E8" t="s">
        <v>162</v>
      </c>
      <c r="F8" t="s">
        <v>163</v>
      </c>
      <c r="G8" t="s">
        <v>164</v>
      </c>
      <c r="H8" t="s">
        <v>165</v>
      </c>
      <c r="I8" t="s">
        <v>166</v>
      </c>
      <c r="J8" t="s">
        <v>167</v>
      </c>
      <c r="K8" t="s">
        <v>168</v>
      </c>
      <c r="L8" t="s">
        <v>169</v>
      </c>
      <c r="M8" t="s">
        <v>170</v>
      </c>
      <c r="P8" t="s">
        <v>171</v>
      </c>
    </row>
    <row r="9" spans="1:16" x14ac:dyDescent="0.25">
      <c r="A9" t="s">
        <v>172</v>
      </c>
      <c r="B9" t="s">
        <v>173</v>
      </c>
      <c r="C9" t="s">
        <v>146</v>
      </c>
      <c r="D9" t="s">
        <v>174</v>
      </c>
      <c r="E9" t="s">
        <v>175</v>
      </c>
      <c r="F9" t="s">
        <v>176</v>
      </c>
      <c r="G9" t="s">
        <v>177</v>
      </c>
      <c r="H9" t="s">
        <v>178</v>
      </c>
      <c r="I9" t="s">
        <v>179</v>
      </c>
      <c r="J9" t="s">
        <v>180</v>
      </c>
      <c r="K9" t="s">
        <v>181</v>
      </c>
      <c r="L9" t="s">
        <v>182</v>
      </c>
      <c r="M9" t="s">
        <v>183</v>
      </c>
      <c r="P9" t="s">
        <v>184</v>
      </c>
    </row>
  </sheetData>
  <autoFilter ref="A1:P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P9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42" max="42" width="40" customWidth="1"/>
  </cols>
  <sheetData>
    <row r="1" spans="1:42" x14ac:dyDescent="0.25">
      <c r="A1" t="s">
        <v>61</v>
      </c>
      <c r="B1" t="s">
        <v>185</v>
      </c>
      <c r="C1" t="s">
        <v>62</v>
      </c>
      <c r="D1" t="s">
        <v>65</v>
      </c>
      <c r="E1" t="s">
        <v>66</v>
      </c>
      <c r="F1" t="s">
        <v>186</v>
      </c>
      <c r="G1" t="s">
        <v>68</v>
      </c>
      <c r="H1" t="s">
        <v>187</v>
      </c>
      <c r="I1" t="s">
        <v>188</v>
      </c>
      <c r="J1" t="s">
        <v>189</v>
      </c>
      <c r="K1" t="s">
        <v>190</v>
      </c>
      <c r="L1" t="s">
        <v>191</v>
      </c>
      <c r="M1" t="s">
        <v>192</v>
      </c>
      <c r="N1" t="s">
        <v>193</v>
      </c>
      <c r="O1" t="s">
        <v>194</v>
      </c>
      <c r="P1" t="s">
        <v>195</v>
      </c>
      <c r="Q1" t="s">
        <v>196</v>
      </c>
      <c r="R1" t="s">
        <v>197</v>
      </c>
      <c r="S1" t="s">
        <v>198</v>
      </c>
      <c r="T1" t="s">
        <v>199</v>
      </c>
      <c r="U1" t="s">
        <v>72</v>
      </c>
      <c r="V1" t="s">
        <v>200</v>
      </c>
      <c r="W1" t="s">
        <v>201</v>
      </c>
      <c r="X1" t="s">
        <v>74</v>
      </c>
      <c r="Y1" t="s">
        <v>202</v>
      </c>
      <c r="Z1" t="s">
        <v>203</v>
      </c>
      <c r="AA1" t="s">
        <v>204</v>
      </c>
      <c r="AB1" t="s">
        <v>205</v>
      </c>
      <c r="AC1" t="s">
        <v>206</v>
      </c>
      <c r="AD1" t="s">
        <v>207</v>
      </c>
      <c r="AE1" t="s">
        <v>208</v>
      </c>
      <c r="AF1" t="s">
        <v>209</v>
      </c>
      <c r="AG1" t="s">
        <v>210</v>
      </c>
      <c r="AH1" t="s">
        <v>211</v>
      </c>
      <c r="AI1" t="s">
        <v>212</v>
      </c>
      <c r="AJ1" t="s">
        <v>213</v>
      </c>
      <c r="AK1" t="s">
        <v>214</v>
      </c>
      <c r="AL1" t="s">
        <v>76</v>
      </c>
      <c r="AM1" t="s">
        <v>215</v>
      </c>
      <c r="AN1" t="s">
        <v>216</v>
      </c>
      <c r="AO1" s="3" t="s">
        <v>217</v>
      </c>
      <c r="AP1" s="4" t="s">
        <v>218</v>
      </c>
    </row>
    <row r="2" spans="1:42" x14ac:dyDescent="0.25">
      <c r="A2" t="s">
        <v>219</v>
      </c>
      <c r="B2" t="s">
        <v>144</v>
      </c>
      <c r="C2" t="s">
        <v>220</v>
      </c>
      <c r="D2" t="s">
        <v>221</v>
      </c>
      <c r="E2" t="s">
        <v>222</v>
      </c>
      <c r="F2" t="s">
        <v>150</v>
      </c>
      <c r="G2" t="s">
        <v>151</v>
      </c>
      <c r="H2" t="s">
        <v>223</v>
      </c>
      <c r="I2" t="s">
        <v>224</v>
      </c>
      <c r="J2" t="s">
        <v>224</v>
      </c>
      <c r="K2" t="s">
        <v>225</v>
      </c>
      <c r="L2">
        <v>1</v>
      </c>
      <c r="M2" t="s">
        <v>226</v>
      </c>
      <c r="N2" t="s">
        <v>227</v>
      </c>
      <c r="O2" t="s">
        <v>228</v>
      </c>
      <c r="P2" t="s">
        <v>229</v>
      </c>
      <c r="Q2" t="s">
        <v>230</v>
      </c>
      <c r="R2" t="s">
        <v>231</v>
      </c>
      <c r="S2" t="s">
        <v>232</v>
      </c>
      <c r="T2" t="s">
        <v>233</v>
      </c>
      <c r="U2" t="s">
        <v>234</v>
      </c>
      <c r="V2" t="s">
        <v>235</v>
      </c>
      <c r="W2" t="s">
        <v>236</v>
      </c>
      <c r="X2" t="s">
        <v>237</v>
      </c>
      <c r="Y2" t="s">
        <v>238</v>
      </c>
      <c r="Z2" t="s">
        <v>238</v>
      </c>
      <c r="AA2" t="s">
        <v>238</v>
      </c>
      <c r="AB2" t="s">
        <v>238</v>
      </c>
      <c r="AC2" t="s">
        <v>238</v>
      </c>
      <c r="AD2" t="s">
        <v>238</v>
      </c>
      <c r="AE2" t="s">
        <v>238</v>
      </c>
      <c r="AF2" t="s">
        <v>238</v>
      </c>
      <c r="AG2" t="s">
        <v>238</v>
      </c>
      <c r="AH2" t="s">
        <v>238</v>
      </c>
      <c r="AI2" t="s">
        <v>239</v>
      </c>
      <c r="AL2" t="s">
        <v>184</v>
      </c>
      <c r="AM2" t="s">
        <v>240</v>
      </c>
      <c r="AN2" t="s">
        <v>241</v>
      </c>
      <c r="AO2" s="5" t="s">
        <v>238</v>
      </c>
      <c r="AP2" s="6" t="s">
        <v>242</v>
      </c>
    </row>
    <row r="3" spans="1:42" x14ac:dyDescent="0.25">
      <c r="A3" t="s">
        <v>243</v>
      </c>
      <c r="B3" t="s">
        <v>144</v>
      </c>
      <c r="C3" t="s">
        <v>244</v>
      </c>
      <c r="D3" t="s">
        <v>245</v>
      </c>
      <c r="E3" t="s">
        <v>246</v>
      </c>
      <c r="F3" t="s">
        <v>150</v>
      </c>
      <c r="G3" t="s">
        <v>151</v>
      </c>
      <c r="H3" t="s">
        <v>223</v>
      </c>
      <c r="I3" t="s">
        <v>224</v>
      </c>
      <c r="J3" t="s">
        <v>247</v>
      </c>
      <c r="K3" t="s">
        <v>248</v>
      </c>
      <c r="L3">
        <v>0.4</v>
      </c>
      <c r="M3" t="s">
        <v>249</v>
      </c>
      <c r="N3" t="s">
        <v>250</v>
      </c>
      <c r="O3" t="s">
        <v>251</v>
      </c>
      <c r="Q3" t="s">
        <v>252</v>
      </c>
      <c r="R3" t="s">
        <v>253</v>
      </c>
      <c r="S3" t="s">
        <v>254</v>
      </c>
      <c r="T3" t="s">
        <v>255</v>
      </c>
      <c r="U3" t="s">
        <v>256</v>
      </c>
      <c r="V3" t="s">
        <v>257</v>
      </c>
      <c r="W3" t="s">
        <v>258</v>
      </c>
      <c r="Y3" t="s">
        <v>238</v>
      </c>
      <c r="Z3" t="s">
        <v>238</v>
      </c>
      <c r="AA3" t="s">
        <v>238</v>
      </c>
      <c r="AB3" t="s">
        <v>238</v>
      </c>
      <c r="AC3" t="s">
        <v>259</v>
      </c>
      <c r="AD3" t="s">
        <v>259</v>
      </c>
      <c r="AE3" t="s">
        <v>259</v>
      </c>
      <c r="AF3" t="s">
        <v>259</v>
      </c>
      <c r="AG3" t="s">
        <v>259</v>
      </c>
      <c r="AH3" t="s">
        <v>259</v>
      </c>
      <c r="AI3" t="s">
        <v>260</v>
      </c>
      <c r="AJ3" t="s">
        <v>261</v>
      </c>
      <c r="AL3" t="s">
        <v>90</v>
      </c>
      <c r="AM3" t="s">
        <v>262</v>
      </c>
      <c r="AN3" t="s">
        <v>263</v>
      </c>
      <c r="AO3" s="7" t="s">
        <v>259</v>
      </c>
      <c r="AP3" s="8" t="s">
        <v>264</v>
      </c>
    </row>
    <row r="4" spans="1:42" x14ac:dyDescent="0.25">
      <c r="A4" t="s">
        <v>265</v>
      </c>
      <c r="B4" t="s">
        <v>144</v>
      </c>
      <c r="C4" t="s">
        <v>266</v>
      </c>
      <c r="D4" t="s">
        <v>267</v>
      </c>
      <c r="E4" t="s">
        <v>268</v>
      </c>
      <c r="F4" t="s">
        <v>150</v>
      </c>
      <c r="G4" t="s">
        <v>151</v>
      </c>
      <c r="H4" t="s">
        <v>269</v>
      </c>
      <c r="I4" t="s">
        <v>224</v>
      </c>
      <c r="J4" t="s">
        <v>224</v>
      </c>
      <c r="K4" t="s">
        <v>248</v>
      </c>
      <c r="L4">
        <v>0.2</v>
      </c>
      <c r="M4" t="s">
        <v>249</v>
      </c>
      <c r="N4" t="s">
        <v>270</v>
      </c>
      <c r="O4" t="s">
        <v>271</v>
      </c>
      <c r="Q4" t="s">
        <v>272</v>
      </c>
      <c r="R4" t="s">
        <v>273</v>
      </c>
      <c r="S4" t="s">
        <v>274</v>
      </c>
      <c r="T4" t="s">
        <v>255</v>
      </c>
      <c r="U4" t="s">
        <v>275</v>
      </c>
      <c r="V4" t="s">
        <v>276</v>
      </c>
      <c r="W4" t="s">
        <v>277</v>
      </c>
      <c r="Y4" t="s">
        <v>238</v>
      </c>
      <c r="Z4" t="s">
        <v>238</v>
      </c>
      <c r="AA4" t="s">
        <v>259</v>
      </c>
      <c r="AB4" t="s">
        <v>259</v>
      </c>
      <c r="AC4" t="s">
        <v>259</v>
      </c>
      <c r="AD4" t="s">
        <v>259</v>
      </c>
      <c r="AE4" t="s">
        <v>259</v>
      </c>
      <c r="AF4" t="s">
        <v>259</v>
      </c>
      <c r="AG4" t="s">
        <v>259</v>
      </c>
      <c r="AH4" t="s">
        <v>259</v>
      </c>
      <c r="AI4" t="s">
        <v>278</v>
      </c>
      <c r="AL4" t="s">
        <v>103</v>
      </c>
      <c r="AM4" t="s">
        <v>279</v>
      </c>
      <c r="AN4" t="s">
        <v>280</v>
      </c>
      <c r="AO4" s="5" t="s">
        <v>259</v>
      </c>
      <c r="AP4" s="6" t="s">
        <v>281</v>
      </c>
    </row>
    <row r="5" spans="1:42" x14ac:dyDescent="0.25">
      <c r="A5" t="s">
        <v>282</v>
      </c>
      <c r="B5" t="s">
        <v>118</v>
      </c>
      <c r="C5" t="s">
        <v>283</v>
      </c>
      <c r="D5" t="s">
        <v>284</v>
      </c>
      <c r="E5" t="s">
        <v>285</v>
      </c>
      <c r="F5" t="s">
        <v>123</v>
      </c>
      <c r="G5" t="s">
        <v>124</v>
      </c>
      <c r="H5" t="s">
        <v>286</v>
      </c>
      <c r="I5" t="s">
        <v>247</v>
      </c>
      <c r="J5" t="s">
        <v>224</v>
      </c>
      <c r="K5" t="s">
        <v>248</v>
      </c>
      <c r="L5">
        <v>0.3</v>
      </c>
      <c r="M5" t="s">
        <v>249</v>
      </c>
      <c r="N5" t="s">
        <v>287</v>
      </c>
      <c r="O5" t="s">
        <v>288</v>
      </c>
      <c r="Q5" t="s">
        <v>289</v>
      </c>
      <c r="R5" t="s">
        <v>290</v>
      </c>
      <c r="S5" t="s">
        <v>291</v>
      </c>
      <c r="T5" t="s">
        <v>292</v>
      </c>
      <c r="U5" t="s">
        <v>128</v>
      </c>
      <c r="V5" t="s">
        <v>293</v>
      </c>
      <c r="W5" t="s">
        <v>294</v>
      </c>
      <c r="Y5" t="s">
        <v>238</v>
      </c>
      <c r="Z5" t="s">
        <v>238</v>
      </c>
      <c r="AA5" t="s">
        <v>238</v>
      </c>
      <c r="AB5" t="s">
        <v>259</v>
      </c>
      <c r="AC5" t="s">
        <v>259</v>
      </c>
      <c r="AD5" t="s">
        <v>259</v>
      </c>
      <c r="AE5" t="s">
        <v>259</v>
      </c>
      <c r="AF5" t="s">
        <v>259</v>
      </c>
      <c r="AG5" t="s">
        <v>259</v>
      </c>
      <c r="AH5" t="s">
        <v>259</v>
      </c>
      <c r="AI5" t="s">
        <v>295</v>
      </c>
      <c r="AL5" t="s">
        <v>117</v>
      </c>
      <c r="AM5" t="s">
        <v>296</v>
      </c>
      <c r="AN5" t="s">
        <v>297</v>
      </c>
      <c r="AO5" s="7" t="s">
        <v>259</v>
      </c>
      <c r="AP5" s="8" t="s">
        <v>298</v>
      </c>
    </row>
    <row r="6" spans="1:42" x14ac:dyDescent="0.25">
      <c r="A6" t="s">
        <v>299</v>
      </c>
      <c r="B6" t="s">
        <v>131</v>
      </c>
      <c r="C6" t="s">
        <v>300</v>
      </c>
      <c r="D6" t="s">
        <v>301</v>
      </c>
      <c r="E6" t="s">
        <v>302</v>
      </c>
      <c r="F6" t="s">
        <v>136</v>
      </c>
      <c r="G6" t="s">
        <v>137</v>
      </c>
      <c r="H6" t="s">
        <v>286</v>
      </c>
      <c r="I6" t="s">
        <v>247</v>
      </c>
      <c r="J6" t="s">
        <v>247</v>
      </c>
      <c r="K6" t="s">
        <v>303</v>
      </c>
      <c r="L6">
        <v>0</v>
      </c>
      <c r="M6" t="s">
        <v>304</v>
      </c>
      <c r="O6" t="s">
        <v>305</v>
      </c>
      <c r="Q6" t="s">
        <v>306</v>
      </c>
      <c r="R6" t="s">
        <v>307</v>
      </c>
      <c r="S6" t="s">
        <v>308</v>
      </c>
      <c r="T6" t="s">
        <v>309</v>
      </c>
      <c r="U6" t="s">
        <v>141</v>
      </c>
      <c r="V6" t="s">
        <v>142</v>
      </c>
      <c r="Y6" t="s">
        <v>259</v>
      </c>
      <c r="Z6" t="s">
        <v>259</v>
      </c>
      <c r="AA6" t="s">
        <v>259</v>
      </c>
      <c r="AB6" t="s">
        <v>259</v>
      </c>
      <c r="AC6" t="s">
        <v>259</v>
      </c>
      <c r="AD6" t="s">
        <v>259</v>
      </c>
      <c r="AE6" t="s">
        <v>259</v>
      </c>
      <c r="AF6" t="s">
        <v>259</v>
      </c>
      <c r="AG6" t="s">
        <v>259</v>
      </c>
      <c r="AH6" t="s">
        <v>259</v>
      </c>
      <c r="AI6" t="s">
        <v>310</v>
      </c>
      <c r="AL6" t="s">
        <v>130</v>
      </c>
      <c r="AO6" s="5" t="s">
        <v>259</v>
      </c>
      <c r="AP6" s="6" t="s">
        <v>311</v>
      </c>
    </row>
    <row r="7" spans="1:42" x14ac:dyDescent="0.25">
      <c r="A7" t="s">
        <v>312</v>
      </c>
      <c r="B7" t="s">
        <v>77</v>
      </c>
      <c r="C7" t="s">
        <v>313</v>
      </c>
      <c r="D7" t="s">
        <v>314</v>
      </c>
      <c r="E7" t="s">
        <v>315</v>
      </c>
      <c r="F7" t="s">
        <v>83</v>
      </c>
      <c r="G7" t="s">
        <v>84</v>
      </c>
      <c r="H7" t="s">
        <v>316</v>
      </c>
      <c r="I7" t="s">
        <v>224</v>
      </c>
      <c r="J7" t="s">
        <v>247</v>
      </c>
      <c r="K7" t="s">
        <v>225</v>
      </c>
      <c r="L7">
        <v>1</v>
      </c>
      <c r="M7" t="s">
        <v>226</v>
      </c>
      <c r="N7" t="s">
        <v>317</v>
      </c>
      <c r="O7" t="s">
        <v>318</v>
      </c>
      <c r="P7" t="s">
        <v>319</v>
      </c>
      <c r="Q7" t="s">
        <v>320</v>
      </c>
      <c r="R7" t="s">
        <v>321</v>
      </c>
      <c r="S7" t="s">
        <v>322</v>
      </c>
      <c r="T7" t="s">
        <v>323</v>
      </c>
      <c r="U7" t="s">
        <v>88</v>
      </c>
      <c r="V7" t="s">
        <v>324</v>
      </c>
      <c r="W7" t="s">
        <v>325</v>
      </c>
      <c r="Y7" t="s">
        <v>238</v>
      </c>
      <c r="Z7" t="s">
        <v>238</v>
      </c>
      <c r="AA7" t="s">
        <v>238</v>
      </c>
      <c r="AB7" t="s">
        <v>238</v>
      </c>
      <c r="AC7" t="s">
        <v>238</v>
      </c>
      <c r="AD7" t="s">
        <v>238</v>
      </c>
      <c r="AE7" t="s">
        <v>238</v>
      </c>
      <c r="AF7" t="s">
        <v>238</v>
      </c>
      <c r="AG7" t="s">
        <v>238</v>
      </c>
      <c r="AH7" t="s">
        <v>238</v>
      </c>
      <c r="AI7" t="s">
        <v>326</v>
      </c>
      <c r="AL7" t="s">
        <v>143</v>
      </c>
      <c r="AM7" t="s">
        <v>327</v>
      </c>
      <c r="AO7" s="7" t="s">
        <v>238</v>
      </c>
      <c r="AP7" s="8" t="s">
        <v>328</v>
      </c>
    </row>
    <row r="8" spans="1:42" x14ac:dyDescent="0.25">
      <c r="A8" t="s">
        <v>329</v>
      </c>
      <c r="B8" t="s">
        <v>159</v>
      </c>
      <c r="C8" t="s">
        <v>330</v>
      </c>
      <c r="D8" t="s">
        <v>331</v>
      </c>
      <c r="E8" t="s">
        <v>332</v>
      </c>
      <c r="F8" t="s">
        <v>164</v>
      </c>
      <c r="G8" t="s">
        <v>165</v>
      </c>
      <c r="H8" t="s">
        <v>269</v>
      </c>
      <c r="I8" t="s">
        <v>333</v>
      </c>
      <c r="J8" t="s">
        <v>333</v>
      </c>
      <c r="K8" t="s">
        <v>303</v>
      </c>
      <c r="L8">
        <v>0</v>
      </c>
      <c r="M8" t="s">
        <v>304</v>
      </c>
      <c r="O8" t="s">
        <v>334</v>
      </c>
      <c r="Q8" t="s">
        <v>335</v>
      </c>
      <c r="R8" t="s">
        <v>336</v>
      </c>
      <c r="S8" t="s">
        <v>337</v>
      </c>
      <c r="T8" t="s">
        <v>338</v>
      </c>
      <c r="U8" t="s">
        <v>169</v>
      </c>
      <c r="V8" t="s">
        <v>170</v>
      </c>
      <c r="Y8" t="s">
        <v>259</v>
      </c>
      <c r="Z8" t="s">
        <v>259</v>
      </c>
      <c r="AA8" t="s">
        <v>259</v>
      </c>
      <c r="AB8" t="s">
        <v>259</v>
      </c>
      <c r="AC8" t="s">
        <v>259</v>
      </c>
      <c r="AD8" t="s">
        <v>259</v>
      </c>
      <c r="AE8" t="s">
        <v>259</v>
      </c>
      <c r="AF8" t="s">
        <v>259</v>
      </c>
      <c r="AG8" t="s">
        <v>259</v>
      </c>
      <c r="AH8" t="s">
        <v>259</v>
      </c>
      <c r="AI8" t="s">
        <v>339</v>
      </c>
      <c r="AL8" t="s">
        <v>158</v>
      </c>
      <c r="AO8" s="5" t="s">
        <v>259</v>
      </c>
      <c r="AP8" s="6" t="s">
        <v>340</v>
      </c>
    </row>
    <row r="9" spans="1:1" x14ac:dyDescent="0.25"/>
  </sheetData>
  <dataValidations count="2">
    <dataValidation type="list" allowBlank="1" showInputMessage="1" promptTitle="Lista de opções" prompt="Clique na seta ao lado da célula e escolha uma das opções." showErrorMessage="1" errorStyle="stop" errorTitle="Valor fora da lista" error="Escolha uma das opções da lista. A lista completa está na aba Listas." sqref="AO10:AO300">
      <formula1>=Listas!$F$2:$F$5</formula1>
    </dataValidation>
    <dataValidation type="list" allowBlank="1" showInputMessage="1" promptTitle="Lista de opções" prompt="Clique na seta ao lado da célula e escolha uma das opções." showErrorMessage="1" errorStyle="stop" errorTitle="Valor fora da lista" error="Escolha uma das opções da lista. A lista completa está na aba Listas." sqref="AO2:AO300">
      <formula1>=Listas!$F$2:$F$5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R8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7" max="17" width="34" customWidth="1"/>
    <col min="18" max="18" width="15" customWidth="1"/>
  </cols>
  <sheetData>
    <row r="1" spans="1:18" x14ac:dyDescent="0.25">
      <c r="A1" t="s">
        <v>61</v>
      </c>
      <c r="B1" t="s">
        <v>341</v>
      </c>
      <c r="C1" t="s">
        <v>64</v>
      </c>
      <c r="D1" t="s">
        <v>62</v>
      </c>
      <c r="E1" t="s">
        <v>65</v>
      </c>
      <c r="F1" t="s">
        <v>66</v>
      </c>
      <c r="G1" t="s">
        <v>67</v>
      </c>
      <c r="H1" t="s">
        <v>342</v>
      </c>
      <c r="I1" t="s">
        <v>197</v>
      </c>
      <c r="J1" t="s">
        <v>198</v>
      </c>
      <c r="K1" t="s">
        <v>72</v>
      </c>
      <c r="L1" t="s">
        <v>74</v>
      </c>
      <c r="M1" t="s">
        <v>76</v>
      </c>
      <c r="N1" t="s">
        <v>343</v>
      </c>
      <c r="O1" t="s">
        <v>344</v>
      </c>
      <c r="P1" t="s">
        <v>216</v>
      </c>
      <c r="Q1" s="3" t="s">
        <v>345</v>
      </c>
      <c r="R1" s="3" t="s">
        <v>346</v>
      </c>
    </row>
    <row r="2" spans="1:18" x14ac:dyDescent="0.25">
      <c r="A2" t="s">
        <v>347</v>
      </c>
      <c r="B2" t="s">
        <v>219</v>
      </c>
      <c r="C2" t="s">
        <v>80</v>
      </c>
      <c r="D2" t="s">
        <v>348</v>
      </c>
      <c r="E2" t="s">
        <v>349</v>
      </c>
      <c r="F2" t="s">
        <v>350</v>
      </c>
      <c r="G2" t="s">
        <v>150</v>
      </c>
      <c r="H2" t="s">
        <v>151</v>
      </c>
      <c r="I2" t="s">
        <v>351</v>
      </c>
      <c r="J2" t="s">
        <v>352</v>
      </c>
      <c r="K2" t="s">
        <v>275</v>
      </c>
      <c r="M2" t="s">
        <v>123</v>
      </c>
      <c r="P2" t="s">
        <v>280</v>
      </c>
      <c r="Q2" s="6" t="s">
        <v>353</v>
      </c>
      <c r="R2" s="5">
        <v>10</v>
      </c>
    </row>
    <row r="3" spans="1:18" x14ac:dyDescent="0.25">
      <c r="A3" t="s">
        <v>354</v>
      </c>
      <c r="B3" t="s">
        <v>219</v>
      </c>
      <c r="C3" t="s">
        <v>93</v>
      </c>
      <c r="D3" t="s">
        <v>355</v>
      </c>
      <c r="E3" t="s">
        <v>356</v>
      </c>
      <c r="F3" t="s">
        <v>357</v>
      </c>
      <c r="G3" t="s">
        <v>150</v>
      </c>
      <c r="H3" t="s">
        <v>151</v>
      </c>
      <c r="I3" t="s">
        <v>358</v>
      </c>
      <c r="J3" t="s">
        <v>359</v>
      </c>
      <c r="K3" t="s">
        <v>280</v>
      </c>
      <c r="M3" t="s">
        <v>136</v>
      </c>
      <c r="Q3" s="9" t="s">
        <v>360</v>
      </c>
      <c r="R3" s="7">
        <v>8</v>
      </c>
    </row>
    <row r="4" spans="1:18" x14ac:dyDescent="0.25">
      <c r="A4" t="s">
        <v>361</v>
      </c>
      <c r="B4" t="s">
        <v>219</v>
      </c>
      <c r="C4" t="s">
        <v>107</v>
      </c>
      <c r="D4" t="s">
        <v>362</v>
      </c>
      <c r="E4" t="s">
        <v>363</v>
      </c>
      <c r="F4" t="s">
        <v>364</v>
      </c>
      <c r="G4" t="s">
        <v>150</v>
      </c>
      <c r="H4" t="s">
        <v>151</v>
      </c>
      <c r="I4" t="s">
        <v>365</v>
      </c>
      <c r="J4" t="s">
        <v>366</v>
      </c>
      <c r="K4" t="s">
        <v>367</v>
      </c>
      <c r="M4" t="s">
        <v>164</v>
      </c>
      <c r="P4" t="s">
        <v>368</v>
      </c>
      <c r="Q4" s="6" t="s">
        <v>369</v>
      </c>
      <c r="R4" s="5">
        <v>12</v>
      </c>
    </row>
    <row r="5" spans="1:18" x14ac:dyDescent="0.25">
      <c r="A5" t="s">
        <v>370</v>
      </c>
      <c r="B5" t="s">
        <v>361</v>
      </c>
      <c r="C5" t="s">
        <v>80</v>
      </c>
      <c r="D5" t="s">
        <v>371</v>
      </c>
      <c r="E5" t="s">
        <v>372</v>
      </c>
      <c r="F5" t="s">
        <v>373</v>
      </c>
      <c r="G5" t="s">
        <v>150</v>
      </c>
      <c r="H5" t="s">
        <v>151</v>
      </c>
      <c r="I5" t="s">
        <v>374</v>
      </c>
      <c r="J5" t="s">
        <v>375</v>
      </c>
      <c r="K5" t="s">
        <v>376</v>
      </c>
      <c r="M5" t="s">
        <v>164</v>
      </c>
      <c r="N5" t="s">
        <v>238</v>
      </c>
      <c r="O5" t="s">
        <v>377</v>
      </c>
      <c r="Q5" s="9" t="s">
        <v>378</v>
      </c>
      <c r="R5" s="7">
        <v>2</v>
      </c>
    </row>
    <row r="6" spans="1:18" x14ac:dyDescent="0.25">
      <c r="A6" t="s">
        <v>379</v>
      </c>
      <c r="B6" t="s">
        <v>243</v>
      </c>
      <c r="C6" t="s">
        <v>80</v>
      </c>
      <c r="D6" t="s">
        <v>380</v>
      </c>
      <c r="E6" t="s">
        <v>381</v>
      </c>
      <c r="F6" t="s">
        <v>382</v>
      </c>
      <c r="G6" t="s">
        <v>150</v>
      </c>
      <c r="H6" t="s">
        <v>151</v>
      </c>
      <c r="I6" t="s">
        <v>383</v>
      </c>
      <c r="J6" t="s">
        <v>384</v>
      </c>
      <c r="K6" t="s">
        <v>263</v>
      </c>
      <c r="M6" t="s">
        <v>177</v>
      </c>
      <c r="Q6" s="6" t="s">
        <v>385</v>
      </c>
      <c r="R6" s="5">
        <v>5</v>
      </c>
    </row>
    <row r="7" spans="1:18" x14ac:dyDescent="0.25">
      <c r="A7" t="s">
        <v>386</v>
      </c>
      <c r="B7" t="s">
        <v>282</v>
      </c>
      <c r="C7" t="s">
        <v>80</v>
      </c>
      <c r="D7" t="s">
        <v>387</v>
      </c>
      <c r="E7" t="s">
        <v>388</v>
      </c>
      <c r="F7" t="s">
        <v>389</v>
      </c>
      <c r="G7" t="s">
        <v>123</v>
      </c>
      <c r="H7" t="s">
        <v>124</v>
      </c>
      <c r="I7" t="s">
        <v>390</v>
      </c>
      <c r="J7" t="s">
        <v>391</v>
      </c>
      <c r="K7" t="s">
        <v>297</v>
      </c>
      <c r="M7" t="s">
        <v>83</v>
      </c>
      <c r="Q7" s="9" t="s">
        <v>392</v>
      </c>
      <c r="R7" s="7">
        <v>5</v>
      </c>
    </row>
    <row r="8" spans="1:1" x14ac:dyDescent="0.25"/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14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0" max="10" width="24" customWidth="1"/>
    <col min="11" max="11" width="46" customWidth="1"/>
  </cols>
  <sheetData>
    <row r="1" spans="1:11" x14ac:dyDescent="0.25">
      <c r="A1" t="s">
        <v>61</v>
      </c>
      <c r="B1" t="s">
        <v>341</v>
      </c>
      <c r="C1" t="s">
        <v>64</v>
      </c>
      <c r="D1" t="s">
        <v>62</v>
      </c>
      <c r="E1" t="s">
        <v>197</v>
      </c>
      <c r="F1" t="s">
        <v>198</v>
      </c>
      <c r="G1" t="s">
        <v>72</v>
      </c>
      <c r="H1" t="s">
        <v>74</v>
      </c>
      <c r="I1" t="s">
        <v>393</v>
      </c>
      <c r="J1" s="3" t="s">
        <v>394</v>
      </c>
      <c r="K1" s="4" t="s">
        <v>65</v>
      </c>
    </row>
    <row r="2" spans="1:11" x14ac:dyDescent="0.25">
      <c r="A2" t="s">
        <v>395</v>
      </c>
      <c r="B2" t="s">
        <v>347</v>
      </c>
      <c r="C2" t="s">
        <v>80</v>
      </c>
      <c r="D2" t="s">
        <v>396</v>
      </c>
      <c r="E2" t="s">
        <v>397</v>
      </c>
      <c r="F2" t="s">
        <v>398</v>
      </c>
      <c r="G2" t="s">
        <v>280</v>
      </c>
      <c r="H2" t="s">
        <v>399</v>
      </c>
      <c r="I2" t="s">
        <v>400</v>
      </c>
      <c r="J2" s="10"/>
      <c r="K2" s="6" t="s">
        <v>401</v>
      </c>
    </row>
    <row r="3" spans="1:11" x14ac:dyDescent="0.25">
      <c r="A3" t="s">
        <v>402</v>
      </c>
      <c r="B3" t="s">
        <v>347</v>
      </c>
      <c r="C3" t="s">
        <v>93</v>
      </c>
      <c r="D3" t="s">
        <v>403</v>
      </c>
      <c r="E3" t="s">
        <v>404</v>
      </c>
      <c r="F3" t="s">
        <v>405</v>
      </c>
      <c r="G3" t="s">
        <v>406</v>
      </c>
      <c r="J3" s="11"/>
      <c r="K3" s="8" t="s">
        <v>407</v>
      </c>
    </row>
    <row r="4" spans="1:11" x14ac:dyDescent="0.25">
      <c r="A4" t="s">
        <v>408</v>
      </c>
      <c r="B4" t="s">
        <v>347</v>
      </c>
      <c r="C4" t="s">
        <v>107</v>
      </c>
      <c r="D4" t="s">
        <v>409</v>
      </c>
      <c r="E4" t="s">
        <v>410</v>
      </c>
      <c r="F4" t="s">
        <v>411</v>
      </c>
      <c r="G4" t="s">
        <v>280</v>
      </c>
      <c r="J4" s="10"/>
      <c r="K4" s="6" t="s">
        <v>412</v>
      </c>
    </row>
    <row r="5" spans="1:11" x14ac:dyDescent="0.25">
      <c r="A5" t="s">
        <v>413</v>
      </c>
      <c r="B5" t="s">
        <v>347</v>
      </c>
      <c r="C5" t="s">
        <v>120</v>
      </c>
      <c r="D5" t="s">
        <v>414</v>
      </c>
      <c r="E5" t="s">
        <v>415</v>
      </c>
      <c r="F5" t="s">
        <v>416</v>
      </c>
      <c r="G5" t="s">
        <v>275</v>
      </c>
      <c r="I5" t="s">
        <v>417</v>
      </c>
      <c r="J5" s="11"/>
      <c r="K5" s="8" t="s">
        <v>418</v>
      </c>
    </row>
    <row r="6" spans="1:11" x14ac:dyDescent="0.25">
      <c r="A6" t="s">
        <v>419</v>
      </c>
      <c r="B6" t="s">
        <v>354</v>
      </c>
      <c r="C6" t="s">
        <v>80</v>
      </c>
      <c r="D6" t="s">
        <v>420</v>
      </c>
      <c r="E6" t="s">
        <v>421</v>
      </c>
      <c r="F6" t="s">
        <v>422</v>
      </c>
      <c r="G6" t="s">
        <v>280</v>
      </c>
      <c r="J6" s="10"/>
      <c r="K6" s="6" t="s">
        <v>423</v>
      </c>
    </row>
    <row r="7" spans="1:11" x14ac:dyDescent="0.25">
      <c r="A7" t="s">
        <v>424</v>
      </c>
      <c r="B7" t="s">
        <v>354</v>
      </c>
      <c r="C7" t="s">
        <v>93</v>
      </c>
      <c r="D7" t="s">
        <v>425</v>
      </c>
      <c r="E7" t="s">
        <v>422</v>
      </c>
      <c r="F7" t="s">
        <v>426</v>
      </c>
      <c r="G7" t="s">
        <v>280</v>
      </c>
      <c r="I7" t="s">
        <v>417</v>
      </c>
      <c r="J7" s="11"/>
      <c r="K7" s="8" t="s">
        <v>427</v>
      </c>
    </row>
    <row r="8" spans="1:11" x14ac:dyDescent="0.25">
      <c r="A8" t="s">
        <v>428</v>
      </c>
      <c r="B8" t="s">
        <v>361</v>
      </c>
      <c r="C8" t="s">
        <v>80</v>
      </c>
      <c r="D8" t="s">
        <v>429</v>
      </c>
      <c r="E8" t="s">
        <v>430</v>
      </c>
      <c r="F8" t="s">
        <v>431</v>
      </c>
      <c r="G8" t="s">
        <v>368</v>
      </c>
      <c r="I8" t="s">
        <v>400</v>
      </c>
      <c r="J8" s="10"/>
      <c r="K8" s="6" t="s">
        <v>432</v>
      </c>
    </row>
    <row r="9" spans="1:11" x14ac:dyDescent="0.25">
      <c r="A9" t="s">
        <v>433</v>
      </c>
      <c r="B9" t="s">
        <v>361</v>
      </c>
      <c r="C9" t="s">
        <v>93</v>
      </c>
      <c r="D9" t="s">
        <v>434</v>
      </c>
      <c r="E9" t="s">
        <v>435</v>
      </c>
      <c r="F9" t="s">
        <v>436</v>
      </c>
      <c r="G9" t="s">
        <v>280</v>
      </c>
      <c r="J9" s="11"/>
      <c r="K9" s="8" t="s">
        <v>437</v>
      </c>
    </row>
    <row r="10" spans="1:11" x14ac:dyDescent="0.25">
      <c r="A10" t="s">
        <v>438</v>
      </c>
      <c r="B10" t="s">
        <v>370</v>
      </c>
      <c r="C10" t="s">
        <v>80</v>
      </c>
      <c r="D10" t="s">
        <v>439</v>
      </c>
      <c r="E10" t="s">
        <v>440</v>
      </c>
      <c r="F10" t="s">
        <v>441</v>
      </c>
      <c r="G10" t="s">
        <v>442</v>
      </c>
      <c r="J10" s="10"/>
      <c r="K10" s="6" t="s">
        <v>443</v>
      </c>
    </row>
    <row r="11" spans="1:11" x14ac:dyDescent="0.25">
      <c r="A11" t="s">
        <v>444</v>
      </c>
      <c r="B11" t="s">
        <v>379</v>
      </c>
      <c r="C11" t="s">
        <v>80</v>
      </c>
      <c r="D11" t="s">
        <v>445</v>
      </c>
      <c r="E11" t="s">
        <v>446</v>
      </c>
      <c r="F11" t="s">
        <v>447</v>
      </c>
      <c r="G11" t="s">
        <v>448</v>
      </c>
      <c r="I11" t="s">
        <v>449</v>
      </c>
      <c r="J11" s="11"/>
      <c r="K11" s="8" t="s">
        <v>450</v>
      </c>
    </row>
    <row r="12" spans="1:11" x14ac:dyDescent="0.25">
      <c r="A12" t="s">
        <v>451</v>
      </c>
      <c r="B12" t="s">
        <v>379</v>
      </c>
      <c r="C12" t="s">
        <v>93</v>
      </c>
      <c r="D12" t="s">
        <v>452</v>
      </c>
      <c r="E12" t="s">
        <v>453</v>
      </c>
      <c r="F12" t="s">
        <v>454</v>
      </c>
      <c r="G12" t="s">
        <v>263</v>
      </c>
      <c r="J12" s="10"/>
      <c r="K12" s="6" t="s">
        <v>455</v>
      </c>
    </row>
    <row r="13" spans="1:11" x14ac:dyDescent="0.25">
      <c r="A13" t="s">
        <v>456</v>
      </c>
      <c r="B13" t="s">
        <v>386</v>
      </c>
      <c r="C13" t="s">
        <v>80</v>
      </c>
      <c r="D13" t="s">
        <v>457</v>
      </c>
      <c r="E13" t="s">
        <v>458</v>
      </c>
      <c r="F13" t="s">
        <v>459</v>
      </c>
      <c r="G13" t="s">
        <v>297</v>
      </c>
      <c r="I13" t="s">
        <v>400</v>
      </c>
      <c r="J13" s="11"/>
      <c r="K13" s="8" t="s">
        <v>460</v>
      </c>
    </row>
    <row r="14" spans="1:11" x14ac:dyDescent="0.25">
      <c r="A14" t="s">
        <v>461</v>
      </c>
      <c r="B14" t="s">
        <v>386</v>
      </c>
      <c r="C14" t="s">
        <v>93</v>
      </c>
      <c r="D14" t="s">
        <v>462</v>
      </c>
      <c r="E14" t="s">
        <v>463</v>
      </c>
      <c r="F14" t="s">
        <v>464</v>
      </c>
      <c r="G14" t="s">
        <v>297</v>
      </c>
      <c r="I14" t="s">
        <v>400</v>
      </c>
      <c r="J14" s="10"/>
      <c r="K14" s="6" t="s">
        <v>465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P11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16" x14ac:dyDescent="0.25">
      <c r="A1" t="s">
        <v>61</v>
      </c>
      <c r="B1" t="s">
        <v>466</v>
      </c>
      <c r="C1" t="s">
        <v>64</v>
      </c>
      <c r="D1" t="s">
        <v>62</v>
      </c>
      <c r="E1" t="s">
        <v>467</v>
      </c>
      <c r="F1" t="s">
        <v>468</v>
      </c>
      <c r="G1" t="s">
        <v>75</v>
      </c>
      <c r="H1" t="s">
        <v>74</v>
      </c>
      <c r="I1" t="s">
        <v>76</v>
      </c>
      <c r="J1" t="s">
        <v>469</v>
      </c>
      <c r="K1" t="s">
        <v>470</v>
      </c>
      <c r="L1" t="s">
        <v>471</v>
      </c>
      <c r="M1" t="s">
        <v>472</v>
      </c>
      <c r="N1" t="s">
        <v>473</v>
      </c>
      <c r="O1" t="s">
        <v>474</v>
      </c>
      <c r="P1" t="s">
        <v>475</v>
      </c>
    </row>
    <row r="2" spans="1:16" x14ac:dyDescent="0.25">
      <c r="A2" t="s">
        <v>476</v>
      </c>
      <c r="B2" t="s">
        <v>395</v>
      </c>
      <c r="C2" t="s">
        <v>80</v>
      </c>
      <c r="D2" t="s">
        <v>477</v>
      </c>
      <c r="E2" t="s">
        <v>478</v>
      </c>
      <c r="F2">
        <v>4</v>
      </c>
      <c r="I2" t="s">
        <v>150</v>
      </c>
      <c r="J2" t="s">
        <v>479</v>
      </c>
      <c r="K2" t="s">
        <v>480</v>
      </c>
      <c r="L2" t="s">
        <v>481</v>
      </c>
      <c r="M2" t="s">
        <v>482</v>
      </c>
      <c r="N2" t="s">
        <v>483</v>
      </c>
      <c r="O2" t="s">
        <v>484</v>
      </c>
      <c r="P2" t="s">
        <v>485</v>
      </c>
    </row>
    <row r="3" spans="1:9" x14ac:dyDescent="0.25">
      <c r="A3" t="s">
        <v>486</v>
      </c>
      <c r="B3" t="s">
        <v>395</v>
      </c>
      <c r="C3" t="s">
        <v>93</v>
      </c>
      <c r="D3" t="s">
        <v>487</v>
      </c>
      <c r="E3" t="s">
        <v>478</v>
      </c>
      <c r="F3">
        <v>4</v>
      </c>
      <c r="G3" t="s">
        <v>488</v>
      </c>
      <c r="I3" t="s">
        <v>164</v>
      </c>
    </row>
    <row r="4" spans="1:9" x14ac:dyDescent="0.25">
      <c r="A4" t="s">
        <v>489</v>
      </c>
      <c r="B4" t="s">
        <v>395</v>
      </c>
      <c r="C4" t="s">
        <v>107</v>
      </c>
      <c r="D4" t="s">
        <v>490</v>
      </c>
      <c r="E4" t="s">
        <v>478</v>
      </c>
      <c r="F4">
        <v>8</v>
      </c>
      <c r="I4" t="s">
        <v>177</v>
      </c>
    </row>
    <row r="5" spans="1:16" x14ac:dyDescent="0.25">
      <c r="A5" t="s">
        <v>491</v>
      </c>
      <c r="B5" t="s">
        <v>428</v>
      </c>
      <c r="C5" t="s">
        <v>80</v>
      </c>
      <c r="D5" t="s">
        <v>492</v>
      </c>
      <c r="E5" t="s">
        <v>478</v>
      </c>
      <c r="F5">
        <v>4</v>
      </c>
      <c r="I5" t="s">
        <v>83</v>
      </c>
      <c r="J5" t="s">
        <v>493</v>
      </c>
      <c r="K5" t="s">
        <v>494</v>
      </c>
      <c r="L5" t="s">
        <v>495</v>
      </c>
      <c r="M5" t="s">
        <v>496</v>
      </c>
      <c r="N5" t="s">
        <v>497</v>
      </c>
      <c r="O5" t="s">
        <v>498</v>
      </c>
      <c r="P5" t="s">
        <v>499</v>
      </c>
    </row>
    <row r="6" spans="1:9" x14ac:dyDescent="0.25">
      <c r="A6" t="s">
        <v>500</v>
      </c>
      <c r="B6" t="s">
        <v>428</v>
      </c>
      <c r="C6" t="s">
        <v>93</v>
      </c>
      <c r="D6" t="s">
        <v>501</v>
      </c>
      <c r="E6" t="s">
        <v>478</v>
      </c>
      <c r="F6">
        <v>4</v>
      </c>
      <c r="I6" t="s">
        <v>96</v>
      </c>
    </row>
    <row r="7" spans="1:9" x14ac:dyDescent="0.25">
      <c r="A7" t="s">
        <v>502</v>
      </c>
      <c r="B7" t="s">
        <v>428</v>
      </c>
      <c r="C7" t="s">
        <v>107</v>
      </c>
      <c r="D7" t="s">
        <v>503</v>
      </c>
      <c r="E7" t="s">
        <v>478</v>
      </c>
      <c r="F7">
        <v>24</v>
      </c>
      <c r="G7" t="s">
        <v>504</v>
      </c>
      <c r="I7" t="s">
        <v>110</v>
      </c>
    </row>
    <row r="8" spans="1:9" x14ac:dyDescent="0.25">
      <c r="A8" t="s">
        <v>505</v>
      </c>
      <c r="B8" t="s">
        <v>428</v>
      </c>
      <c r="C8" t="s">
        <v>120</v>
      </c>
      <c r="D8" t="s">
        <v>506</v>
      </c>
      <c r="E8" t="s">
        <v>507</v>
      </c>
      <c r="F8">
        <v>4</v>
      </c>
      <c r="I8" t="s">
        <v>123</v>
      </c>
    </row>
    <row r="9" spans="1:9" x14ac:dyDescent="0.25">
      <c r="A9" t="s">
        <v>508</v>
      </c>
      <c r="B9" t="s">
        <v>444</v>
      </c>
      <c r="C9" t="s">
        <v>80</v>
      </c>
      <c r="D9" t="s">
        <v>509</v>
      </c>
      <c r="E9" t="s">
        <v>478</v>
      </c>
      <c r="F9">
        <v>4</v>
      </c>
      <c r="I9" t="s">
        <v>136</v>
      </c>
    </row>
    <row r="10" spans="1:9" x14ac:dyDescent="0.25">
      <c r="A10" t="s">
        <v>510</v>
      </c>
      <c r="B10" t="s">
        <v>444</v>
      </c>
      <c r="C10" t="s">
        <v>93</v>
      </c>
      <c r="D10" t="s">
        <v>511</v>
      </c>
      <c r="E10" t="s">
        <v>512</v>
      </c>
      <c r="F10">
        <v>0</v>
      </c>
      <c r="I10" t="s">
        <v>150</v>
      </c>
    </row>
    <row r="11" spans="1:9" x14ac:dyDescent="0.25">
      <c r="A11" t="s">
        <v>513</v>
      </c>
      <c r="B11" t="s">
        <v>456</v>
      </c>
      <c r="C11" t="s">
        <v>80</v>
      </c>
      <c r="D11" t="s">
        <v>514</v>
      </c>
      <c r="E11" t="s">
        <v>478</v>
      </c>
      <c r="F11">
        <v>8</v>
      </c>
      <c r="I11" t="s">
        <v>164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1" max="11" width="30" customWidth="1"/>
  </cols>
  <sheetData>
    <row r="1" spans="1:11" x14ac:dyDescent="0.25">
      <c r="A1" t="s">
        <v>515</v>
      </c>
      <c r="B1" t="s">
        <v>516</v>
      </c>
      <c r="C1" t="s">
        <v>517</v>
      </c>
      <c r="D1" t="s">
        <v>518</v>
      </c>
      <c r="E1" t="s">
        <v>519</v>
      </c>
      <c r="F1" t="s">
        <v>520</v>
      </c>
      <c r="G1" t="s">
        <v>521</v>
      </c>
      <c r="H1" t="s">
        <v>522</v>
      </c>
      <c r="I1" t="s">
        <v>523</v>
      </c>
      <c r="J1" t="s">
        <v>75</v>
      </c>
      <c r="K1" s="4" t="s">
        <v>524</v>
      </c>
    </row>
    <row r="2" spans="1:11" x14ac:dyDescent="0.25">
      <c r="A2" t="s">
        <v>525</v>
      </c>
      <c r="B2" t="str">
        <f>IF(C2="","",IF(LEFT(C2,3)="MP-","Macroprocesso",IF(LEFT(C2,3)="SP-","Subprocesso",IF(LEFT(C2,2)="P-","Processo",IF(LEFT(C2,2)="A-","Atividade",IF(LEFT(C2,2)="T-","Tarefa",""))))))</f>
        <v>Processo</v>
      </c>
      <c r="C2" t="s">
        <v>219</v>
      </c>
      <c r="D2" t="s">
        <v>526</v>
      </c>
      <c r="E2" t="s">
        <v>527</v>
      </c>
      <c r="F2" t="s">
        <v>528</v>
      </c>
      <c r="G2" t="s">
        <v>229</v>
      </c>
      <c r="H2" t="s">
        <v>529</v>
      </c>
      <c r="I2" t="s">
        <v>530</v>
      </c>
      <c r="J2" t="s">
        <v>531</v>
      </c>
      <c r="K2" s="6" t="s">
        <v>532</v>
      </c>
    </row>
    <row r="3" spans="1:11" x14ac:dyDescent="0.25">
      <c r="A3" t="s">
        <v>533</v>
      </c>
      <c r="B3" t="str">
        <f>IF(C3="","",IF(LEFT(C3,3)="MP-","Macroprocesso",IF(LEFT(C3,3)="SP-","Subprocesso",IF(LEFT(C3,2)="P-","Processo",IF(LEFT(C3,2)="A-","Atividade",IF(LEFT(C3,2)="T-","Tarefa",""))))))</f>
        <v>Processo</v>
      </c>
      <c r="C3" t="s">
        <v>219</v>
      </c>
      <c r="D3" t="s">
        <v>534</v>
      </c>
      <c r="E3" t="s">
        <v>535</v>
      </c>
      <c r="F3" t="s">
        <v>536</v>
      </c>
      <c r="G3" t="s">
        <v>537</v>
      </c>
      <c r="H3" t="s">
        <v>529</v>
      </c>
      <c r="I3" t="s">
        <v>237</v>
      </c>
      <c r="J3" t="s">
        <v>538</v>
      </c>
      <c r="K3" s="8"/>
    </row>
    <row r="4" spans="1:11" x14ac:dyDescent="0.25">
      <c r="A4" t="s">
        <v>539</v>
      </c>
      <c r="B4" t="str">
        <f>IF(C4="","",IF(LEFT(C4,3)="MP-","Macroprocesso",IF(LEFT(C4,3)="SP-","Subprocesso",IF(LEFT(C4,2)="P-","Processo",IF(LEFT(C4,2)="A-","Atividade",IF(LEFT(C4,2)="T-","Tarefa",""))))))</f>
        <v>Processo</v>
      </c>
      <c r="C4" t="s">
        <v>219</v>
      </c>
      <c r="D4" t="s">
        <v>534</v>
      </c>
      <c r="E4" t="s">
        <v>540</v>
      </c>
      <c r="F4" t="s">
        <v>536</v>
      </c>
      <c r="G4" t="s">
        <v>287</v>
      </c>
      <c r="H4" t="s">
        <v>529</v>
      </c>
      <c r="I4" t="s">
        <v>541</v>
      </c>
      <c r="K4" s="6"/>
    </row>
    <row r="5" spans="1:11" x14ac:dyDescent="0.25">
      <c r="A5" t="s">
        <v>542</v>
      </c>
      <c r="B5" t="str">
        <f>IF(C5="","",IF(LEFT(C5,3)="MP-","Macroprocesso",IF(LEFT(C5,3)="SP-","Subprocesso",IF(LEFT(C5,2)="P-","Processo",IF(LEFT(C5,2)="A-","Atividade",IF(LEFT(C5,2)="T-","Tarefa",""))))))</f>
        <v>Processo</v>
      </c>
      <c r="C5" t="s">
        <v>219</v>
      </c>
      <c r="D5" t="s">
        <v>543</v>
      </c>
      <c r="E5" t="s">
        <v>544</v>
      </c>
      <c r="F5" t="s">
        <v>536</v>
      </c>
      <c r="G5" t="s">
        <v>545</v>
      </c>
      <c r="H5" t="s">
        <v>529</v>
      </c>
      <c r="I5" t="s">
        <v>546</v>
      </c>
      <c r="J5" t="s">
        <v>547</v>
      </c>
      <c r="K5" s="8"/>
    </row>
    <row r="6" spans="1:11" x14ac:dyDescent="0.25">
      <c r="A6" t="s">
        <v>548</v>
      </c>
      <c r="B6" t="str">
        <f>IF(C6="","",IF(LEFT(C6,3)="MP-","Macroprocesso",IF(LEFT(C6,3)="SP-","Subprocesso",IF(LEFT(C6,2)="P-","Processo",IF(LEFT(C6,2)="A-","Atividade",IF(LEFT(C6,2)="T-","Tarefa",""))))))</f>
        <v>Processo</v>
      </c>
      <c r="C6" t="s">
        <v>549</v>
      </c>
      <c r="D6" t="s">
        <v>550</v>
      </c>
      <c r="E6" t="s">
        <v>551</v>
      </c>
      <c r="F6" t="s">
        <v>536</v>
      </c>
      <c r="G6" t="s">
        <v>552</v>
      </c>
      <c r="H6" t="s">
        <v>529</v>
      </c>
      <c r="I6" t="s">
        <v>553</v>
      </c>
      <c r="K6" s="6"/>
    </row>
    <row r="7" spans="1:11" x14ac:dyDescent="0.25">
      <c r="A7" t="s">
        <v>554</v>
      </c>
      <c r="B7" t="str">
        <f>IF(C7="","",IF(LEFT(C7,3)="MP-","Macroprocesso",IF(LEFT(C7,3)="SP-","Subprocesso",IF(LEFT(C7,2)="P-","Processo",IF(LEFT(C7,2)="A-","Atividade",IF(LEFT(C7,2)="T-","Tarefa",""))))))</f>
        <v>Subprocesso</v>
      </c>
      <c r="C7" t="s">
        <v>347</v>
      </c>
      <c r="D7" t="s">
        <v>555</v>
      </c>
      <c r="E7" t="s">
        <v>556</v>
      </c>
      <c r="F7" t="s">
        <v>557</v>
      </c>
      <c r="G7" t="s">
        <v>558</v>
      </c>
      <c r="H7" t="s">
        <v>529</v>
      </c>
      <c r="I7" t="s">
        <v>559</v>
      </c>
      <c r="K7" s="8"/>
    </row>
    <row r="8" spans="1:11" x14ac:dyDescent="0.25">
      <c r="A8" t="s">
        <v>560</v>
      </c>
      <c r="B8" t="str">
        <f>IF(C8="","",IF(LEFT(C8,3)="MP-","Macroprocesso",IF(LEFT(C8,3)="SP-","Subprocesso",IF(LEFT(C8,2)="P-","Processo",IF(LEFT(C8,2)="A-","Atividade",IF(LEFT(C8,2)="T-","Tarefa",""))))))</f>
        <v>Subprocesso</v>
      </c>
      <c r="C8" t="s">
        <v>561</v>
      </c>
      <c r="D8" t="s">
        <v>526</v>
      </c>
      <c r="E8" t="s">
        <v>562</v>
      </c>
      <c r="F8" t="s">
        <v>563</v>
      </c>
      <c r="G8" t="s">
        <v>564</v>
      </c>
      <c r="H8" t="s">
        <v>529</v>
      </c>
      <c r="I8" t="s">
        <v>565</v>
      </c>
      <c r="K8" s="6" t="s">
        <v>566</v>
      </c>
    </row>
    <row r="9" spans="1:11" x14ac:dyDescent="0.25">
      <c r="A9" t="s">
        <v>567</v>
      </c>
      <c r="B9" t="str">
        <f>IF(C9="","",IF(LEFT(C9,3)="MP-","Macroprocesso",IF(LEFT(C9,3)="SP-","Subprocesso",IF(LEFT(C9,2)="P-","Processo",IF(LEFT(C9,2)="A-","Atividade",IF(LEFT(C9,2)="T-","Tarefa",""))))))</f>
        <v>Macroprocesso</v>
      </c>
      <c r="C9" t="s">
        <v>144</v>
      </c>
      <c r="D9" t="s">
        <v>568</v>
      </c>
      <c r="E9" t="s">
        <v>569</v>
      </c>
      <c r="F9" t="s">
        <v>570</v>
      </c>
      <c r="G9" t="s">
        <v>571</v>
      </c>
      <c r="H9" t="s">
        <v>529</v>
      </c>
      <c r="I9" t="s">
        <v>572</v>
      </c>
      <c r="K9" s="8" t="s">
        <v>573</v>
      </c>
    </row>
    <row r="10" spans="1:11" x14ac:dyDescent="0.25">
      <c r="A10" t="s">
        <v>574</v>
      </c>
      <c r="B10" t="str">
        <f>IF(C10="","",IF(LEFT(C10,3)="MP-","Macroprocesso",IF(LEFT(C10,3)="SP-","Subprocesso",IF(LEFT(C10,2)="P-","Processo",IF(LEFT(C10,2)="A-","Atividade",IF(LEFT(C10,2)="T-","Tarefa",""))))))</f>
        <v>Processo</v>
      </c>
      <c r="C10" t="s">
        <v>575</v>
      </c>
      <c r="D10" t="s">
        <v>478</v>
      </c>
      <c r="E10" t="s">
        <v>576</v>
      </c>
      <c r="F10" t="s">
        <v>577</v>
      </c>
      <c r="G10" t="s">
        <v>578</v>
      </c>
      <c r="H10" t="s">
        <v>579</v>
      </c>
      <c r="I10" t="s">
        <v>580</v>
      </c>
      <c r="K10" s="6" t="s">
        <v>581</v>
      </c>
    </row>
    <row r="11" spans="1:11" x14ac:dyDescent="0.25">
      <c r="A11" t="s">
        <v>582</v>
      </c>
      <c r="B11" t="str">
        <f>IF(C11="","",IF(LEFT(C11,3)="MP-","Macroprocesso",IF(LEFT(C11,3)="SP-","Subprocesso",IF(LEFT(C11,2)="P-","Processo",IF(LEFT(C11,2)="A-","Atividade",IF(LEFT(C11,2)="T-","Tarefa",""))))))</f>
        <v>Processo</v>
      </c>
      <c r="C11" t="s">
        <v>243</v>
      </c>
      <c r="D11" t="s">
        <v>543</v>
      </c>
      <c r="E11" t="s">
        <v>583</v>
      </c>
      <c r="F11" t="s">
        <v>536</v>
      </c>
      <c r="G11" t="s">
        <v>584</v>
      </c>
      <c r="H11" t="s">
        <v>529</v>
      </c>
      <c r="I11" t="s">
        <v>585</v>
      </c>
      <c r="K11" s="8"/>
    </row>
    <row r="12" spans="1:11" x14ac:dyDescent="0.25">
      <c r="A12" t="s">
        <v>586</v>
      </c>
      <c r="B12" t="str">
        <f>IF(C12="","",IF(LEFT(C12,3)="MP-","Macroprocesso",IF(LEFT(C12,3)="SP-","Subprocesso",IF(LEFT(C12,2)="P-","Processo",IF(LEFT(C12,2)="A-","Atividade",IF(LEFT(C12,2)="T-","Tarefa",""))))))</f>
        <v>Processo</v>
      </c>
      <c r="C12" t="s">
        <v>282</v>
      </c>
      <c r="D12" t="s">
        <v>534</v>
      </c>
      <c r="E12" t="s">
        <v>587</v>
      </c>
      <c r="F12" t="s">
        <v>588</v>
      </c>
      <c r="G12" t="s">
        <v>589</v>
      </c>
      <c r="H12" t="s">
        <v>590</v>
      </c>
      <c r="J12" t="s">
        <v>591</v>
      </c>
      <c r="K12" s="6"/>
    </row>
    <row r="13" spans="1:11" x14ac:dyDescent="0.25">
      <c r="A13" t="s">
        <v>592</v>
      </c>
      <c r="B13" t="str">
        <f>IF(C13="","",IF(LEFT(C13,3)="MP-","Macroprocesso",IF(LEFT(C13,3)="SP-","Subprocesso",IF(LEFT(C13,2)="P-","Processo",IF(LEFT(C13,2)="A-","Atividade",IF(LEFT(C13,2)="T-","Tarefa",""))))))</f>
        <v>Atividade</v>
      </c>
      <c r="C13" t="s">
        <v>395</v>
      </c>
      <c r="D13" t="s">
        <v>555</v>
      </c>
      <c r="E13" t="s">
        <v>593</v>
      </c>
      <c r="F13" t="s">
        <v>536</v>
      </c>
      <c r="G13" t="s">
        <v>594</v>
      </c>
      <c r="H13" t="s">
        <v>529</v>
      </c>
      <c r="I13" t="s">
        <v>595</v>
      </c>
      <c r="K13" s="8"/>
    </row>
    <row r="14" spans="1:11" x14ac:dyDescent="0.25">
      <c r="A14" t="s">
        <v>596</v>
      </c>
      <c r="B14" t="str">
        <f>IF(C14="","",IF(LEFT(C14,3)="MP-","Macroprocesso",IF(LEFT(C14,3)="SP-","Subprocesso",IF(LEFT(C14,2)="P-","Processo",IF(LEFT(C14,2)="A-","Atividade",IF(LEFT(C14,2)="T-","Tarefa",""))))))</f>
        <v>Processo</v>
      </c>
      <c r="C14" t="s">
        <v>312</v>
      </c>
      <c r="D14" t="s">
        <v>550</v>
      </c>
      <c r="E14" t="s">
        <v>597</v>
      </c>
      <c r="F14" t="s">
        <v>536</v>
      </c>
      <c r="G14" t="s">
        <v>598</v>
      </c>
      <c r="H14" t="s">
        <v>529</v>
      </c>
      <c r="I14" t="s">
        <v>599</v>
      </c>
      <c r="K14" s="6"/>
    </row>
    <row r="15" spans="1:11" x14ac:dyDescent="0.25">
      <c r="A15" t="s">
        <v>600</v>
      </c>
      <c r="B15" t="str">
        <f>IF(C15="","",IF(LEFT(C15,3)="MP-","Macroprocesso",IF(LEFT(C15,3)="SP-","Subprocesso",IF(LEFT(C15,2)="P-","Processo",IF(LEFT(C15,2)="A-","Atividade",IF(LEFT(C15,2)="T-","Tarefa",""))))))</f>
        <v>Processo</v>
      </c>
      <c r="C15" t="s">
        <v>219</v>
      </c>
      <c r="D15" t="s">
        <v>601</v>
      </c>
      <c r="E15" t="s">
        <v>602</v>
      </c>
      <c r="F15" t="s">
        <v>536</v>
      </c>
      <c r="G15" t="s">
        <v>603</v>
      </c>
      <c r="H15" t="s">
        <v>529</v>
      </c>
      <c r="I15" t="s">
        <v>604</v>
      </c>
      <c r="K15" s="8"/>
    </row>
    <row r="16" spans="1:11" x14ac:dyDescent="0.25">
      <c r="A16" t="s">
        <v>605</v>
      </c>
      <c r="B16" t="str">
        <f>IF(C16="","",IF(LEFT(C16,3)="MP-","Macroprocesso",IF(LEFT(C16,3)="SP-","Subprocesso",IF(LEFT(C16,2)="P-","Processo",IF(LEFT(C16,2)="A-","Atividade",IF(LEFT(C16,2)="T-","Tarefa",""))))))</f>
        <v>Processo</v>
      </c>
      <c r="C16" t="s">
        <v>219</v>
      </c>
      <c r="D16" t="s">
        <v>606</v>
      </c>
      <c r="E16" t="s">
        <v>607</v>
      </c>
      <c r="F16" t="s">
        <v>536</v>
      </c>
      <c r="G16" t="s">
        <v>229</v>
      </c>
      <c r="H16" t="s">
        <v>529</v>
      </c>
      <c r="I16" t="s">
        <v>608</v>
      </c>
      <c r="J16" t="s">
        <v>609</v>
      </c>
      <c r="K16" s="6"/>
    </row>
    <row r="17" spans="1:11" x14ac:dyDescent="0.25">
      <c r="A17" s="12" t="s">
        <v>610</v>
      </c>
      <c r="B17" s="13" t="str">
        <f>IF(C17="","",IF(LEFT(C17,3)="MP-","Macroprocesso",IF(LEFT(C17,3)="SP-","Subprocesso",IF(LEFT(C17,2)="P-","Processo",IF(LEFT(C17,2)="A-","Atividade",IF(LEFT(C17,2)="T-","Tarefa",""))))))</f>
        <v>Macroprocesso</v>
      </c>
      <c r="C17" s="12" t="s">
        <v>159</v>
      </c>
      <c r="D17" s="12" t="s">
        <v>568</v>
      </c>
      <c r="E17" s="8" t="s">
        <v>611</v>
      </c>
      <c r="F17" s="13" t="s">
        <v>612</v>
      </c>
      <c r="G17" s="14">
        <v>43626.125</v>
      </c>
      <c r="H17" s="13" t="s">
        <v>529</v>
      </c>
      <c r="I17" s="8" t="s">
        <v>613</v>
      </c>
      <c r="J17" s="8" t="s">
        <v>614</v>
      </c>
      <c r="K17" s="8" t="s">
        <v>615</v>
      </c>
    </row>
  </sheetData>
  <autoFilter ref="A1:J16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10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15" x14ac:dyDescent="0.25">
      <c r="A1" t="s">
        <v>515</v>
      </c>
      <c r="B1" t="s">
        <v>516</v>
      </c>
      <c r="C1" t="s">
        <v>517</v>
      </c>
      <c r="D1" t="s">
        <v>616</v>
      </c>
      <c r="E1" t="s">
        <v>63</v>
      </c>
      <c r="F1" t="s">
        <v>617</v>
      </c>
      <c r="G1" t="s">
        <v>618</v>
      </c>
      <c r="H1" t="s">
        <v>619</v>
      </c>
      <c r="I1" t="s">
        <v>620</v>
      </c>
      <c r="J1" t="s">
        <v>621</v>
      </c>
      <c r="K1" t="s">
        <v>622</v>
      </c>
      <c r="L1" t="s">
        <v>394</v>
      </c>
      <c r="M1" t="s">
        <v>623</v>
      </c>
      <c r="N1" t="s">
        <v>624</v>
      </c>
      <c r="O1" t="s">
        <v>625</v>
      </c>
    </row>
    <row r="2" spans="1:13" x14ac:dyDescent="0.25">
      <c r="A2" t="s">
        <v>626</v>
      </c>
      <c r="B2" t="s">
        <v>627</v>
      </c>
      <c r="C2" t="s">
        <v>219</v>
      </c>
      <c r="D2" t="s">
        <v>628</v>
      </c>
      <c r="E2" t="s">
        <v>629</v>
      </c>
      <c r="F2" t="s">
        <v>120</v>
      </c>
      <c r="G2" t="s">
        <v>120</v>
      </c>
      <c r="H2">
        <v>16</v>
      </c>
      <c r="I2" t="s">
        <v>630</v>
      </c>
      <c r="J2" t="s">
        <v>631</v>
      </c>
      <c r="K2" t="s">
        <v>632</v>
      </c>
      <c r="L2" t="s">
        <v>633</v>
      </c>
      <c r="M2" t="s">
        <v>634</v>
      </c>
    </row>
    <row r="3" spans="1:13" x14ac:dyDescent="0.25">
      <c r="A3" t="s">
        <v>635</v>
      </c>
      <c r="B3" t="s">
        <v>627</v>
      </c>
      <c r="C3" t="s">
        <v>219</v>
      </c>
      <c r="D3" t="s">
        <v>636</v>
      </c>
      <c r="E3" t="s">
        <v>637</v>
      </c>
      <c r="F3" t="s">
        <v>107</v>
      </c>
      <c r="G3" t="s">
        <v>120</v>
      </c>
      <c r="H3">
        <v>12</v>
      </c>
      <c r="I3" t="s">
        <v>630</v>
      </c>
      <c r="J3" t="s">
        <v>631</v>
      </c>
      <c r="K3" t="s">
        <v>638</v>
      </c>
      <c r="L3" t="s">
        <v>633</v>
      </c>
      <c r="M3" t="s">
        <v>634</v>
      </c>
    </row>
    <row r="4" spans="1:13" x14ac:dyDescent="0.25">
      <c r="A4" t="s">
        <v>639</v>
      </c>
      <c r="B4" t="s">
        <v>627</v>
      </c>
      <c r="C4" t="s">
        <v>265</v>
      </c>
      <c r="D4" t="s">
        <v>640</v>
      </c>
      <c r="E4" t="s">
        <v>629</v>
      </c>
      <c r="F4" t="s">
        <v>107</v>
      </c>
      <c r="G4" t="s">
        <v>133</v>
      </c>
      <c r="H4">
        <v>15</v>
      </c>
      <c r="I4" t="s">
        <v>630</v>
      </c>
      <c r="J4" t="s">
        <v>631</v>
      </c>
      <c r="K4" t="s">
        <v>641</v>
      </c>
      <c r="L4" t="s">
        <v>633</v>
      </c>
      <c r="M4" t="s">
        <v>642</v>
      </c>
    </row>
    <row r="5" spans="1:13" x14ac:dyDescent="0.25">
      <c r="A5" t="s">
        <v>643</v>
      </c>
      <c r="B5" t="s">
        <v>644</v>
      </c>
      <c r="C5" t="s">
        <v>347</v>
      </c>
      <c r="D5" t="s">
        <v>645</v>
      </c>
      <c r="E5" t="s">
        <v>646</v>
      </c>
      <c r="F5" t="s">
        <v>120</v>
      </c>
      <c r="G5" t="s">
        <v>107</v>
      </c>
      <c r="H5">
        <v>12</v>
      </c>
      <c r="I5" t="s">
        <v>630</v>
      </c>
      <c r="J5" t="s">
        <v>631</v>
      </c>
      <c r="K5" t="s">
        <v>647</v>
      </c>
      <c r="L5" t="s">
        <v>648</v>
      </c>
      <c r="M5" t="s">
        <v>634</v>
      </c>
    </row>
    <row r="6" spans="1:13" x14ac:dyDescent="0.25">
      <c r="A6" t="s">
        <v>649</v>
      </c>
      <c r="B6" t="s">
        <v>627</v>
      </c>
      <c r="C6" t="s">
        <v>282</v>
      </c>
      <c r="D6" t="s">
        <v>650</v>
      </c>
      <c r="E6" t="s">
        <v>629</v>
      </c>
      <c r="F6" t="s">
        <v>93</v>
      </c>
      <c r="G6" t="s">
        <v>133</v>
      </c>
      <c r="H6">
        <v>10</v>
      </c>
      <c r="I6" t="s">
        <v>651</v>
      </c>
      <c r="J6" t="s">
        <v>631</v>
      </c>
      <c r="K6" t="s">
        <v>652</v>
      </c>
      <c r="L6" t="s">
        <v>653</v>
      </c>
      <c r="M6" t="s">
        <v>642</v>
      </c>
    </row>
    <row r="7" spans="1:13" x14ac:dyDescent="0.25">
      <c r="A7" t="s">
        <v>654</v>
      </c>
      <c r="B7" t="s">
        <v>627</v>
      </c>
      <c r="C7" t="s">
        <v>243</v>
      </c>
      <c r="D7" t="s">
        <v>655</v>
      </c>
      <c r="E7" t="s">
        <v>656</v>
      </c>
      <c r="F7" t="s">
        <v>93</v>
      </c>
      <c r="G7" t="s">
        <v>120</v>
      </c>
      <c r="H7">
        <v>8</v>
      </c>
      <c r="I7" t="s">
        <v>651</v>
      </c>
      <c r="J7" t="s">
        <v>631</v>
      </c>
      <c r="K7" t="s">
        <v>657</v>
      </c>
      <c r="L7" t="s">
        <v>658</v>
      </c>
      <c r="M7" t="s">
        <v>642</v>
      </c>
    </row>
    <row r="8" spans="1:13" x14ac:dyDescent="0.25">
      <c r="A8" t="s">
        <v>659</v>
      </c>
      <c r="B8" t="s">
        <v>185</v>
      </c>
      <c r="C8" t="s">
        <v>144</v>
      </c>
      <c r="D8" t="s">
        <v>660</v>
      </c>
      <c r="E8" t="s">
        <v>637</v>
      </c>
      <c r="F8" t="s">
        <v>120</v>
      </c>
      <c r="G8" t="s">
        <v>93</v>
      </c>
      <c r="H8">
        <v>8</v>
      </c>
      <c r="I8" t="s">
        <v>651</v>
      </c>
      <c r="J8" t="s">
        <v>631</v>
      </c>
      <c r="K8" t="s">
        <v>661</v>
      </c>
      <c r="L8" t="s">
        <v>662</v>
      </c>
      <c r="M8" t="s">
        <v>634</v>
      </c>
    </row>
    <row r="9" spans="1:13" x14ac:dyDescent="0.25">
      <c r="A9" t="s">
        <v>663</v>
      </c>
      <c r="B9" t="s">
        <v>466</v>
      </c>
      <c r="C9" t="s">
        <v>428</v>
      </c>
      <c r="D9" t="s">
        <v>664</v>
      </c>
      <c r="E9" t="s">
        <v>637</v>
      </c>
      <c r="F9" t="s">
        <v>93</v>
      </c>
      <c r="G9" t="s">
        <v>107</v>
      </c>
      <c r="H9">
        <v>6</v>
      </c>
      <c r="I9" t="s">
        <v>651</v>
      </c>
      <c r="J9" t="s">
        <v>631</v>
      </c>
      <c r="K9" t="s">
        <v>665</v>
      </c>
      <c r="L9" t="s">
        <v>666</v>
      </c>
      <c r="M9" t="s">
        <v>667</v>
      </c>
    </row>
    <row r="10" spans="1:13" x14ac:dyDescent="0.25">
      <c r="A10" t="s">
        <v>668</v>
      </c>
      <c r="B10" t="s">
        <v>627</v>
      </c>
      <c r="C10" t="s">
        <v>219</v>
      </c>
      <c r="D10" t="s">
        <v>669</v>
      </c>
      <c r="E10" t="s">
        <v>646</v>
      </c>
      <c r="F10" t="s">
        <v>107</v>
      </c>
      <c r="G10" t="s">
        <v>107</v>
      </c>
      <c r="H10">
        <v>9</v>
      </c>
      <c r="I10" t="s">
        <v>651</v>
      </c>
      <c r="J10" t="s">
        <v>631</v>
      </c>
      <c r="K10" t="s">
        <v>670</v>
      </c>
      <c r="L10" t="s">
        <v>662</v>
      </c>
      <c r="M10" t="s">
        <v>667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12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12" x14ac:dyDescent="0.25">
      <c r="A1" t="s">
        <v>515</v>
      </c>
      <c r="B1" t="s">
        <v>516</v>
      </c>
      <c r="C1" t="s">
        <v>517</v>
      </c>
      <c r="D1" t="s">
        <v>62</v>
      </c>
      <c r="E1" t="s">
        <v>671</v>
      </c>
      <c r="F1" t="s">
        <v>63</v>
      </c>
      <c r="G1" t="s">
        <v>672</v>
      </c>
      <c r="H1" t="s">
        <v>673</v>
      </c>
      <c r="I1" t="s">
        <v>674</v>
      </c>
      <c r="J1" t="s">
        <v>675</v>
      </c>
      <c r="K1" t="s">
        <v>676</v>
      </c>
      <c r="L1" t="s">
        <v>75</v>
      </c>
    </row>
    <row r="2" spans="1:11" x14ac:dyDescent="0.25">
      <c r="A2" t="s">
        <v>677</v>
      </c>
      <c r="B2" t="s">
        <v>185</v>
      </c>
      <c r="C2" t="s">
        <v>144</v>
      </c>
      <c r="D2" t="s">
        <v>678</v>
      </c>
      <c r="E2" t="s">
        <v>679</v>
      </c>
      <c r="F2" t="s">
        <v>627</v>
      </c>
      <c r="G2" t="s">
        <v>680</v>
      </c>
      <c r="H2" t="s">
        <v>681</v>
      </c>
      <c r="I2" t="s">
        <v>682</v>
      </c>
      <c r="J2" t="s">
        <v>683</v>
      </c>
      <c r="K2" t="s">
        <v>263</v>
      </c>
    </row>
    <row r="3" spans="1:11" x14ac:dyDescent="0.25">
      <c r="A3" t="s">
        <v>684</v>
      </c>
      <c r="B3" t="s">
        <v>627</v>
      </c>
      <c r="C3" t="s">
        <v>219</v>
      </c>
      <c r="D3" t="s">
        <v>685</v>
      </c>
      <c r="E3" t="s">
        <v>686</v>
      </c>
      <c r="F3" t="s">
        <v>627</v>
      </c>
      <c r="G3" t="s">
        <v>680</v>
      </c>
      <c r="H3" t="s">
        <v>681</v>
      </c>
      <c r="I3" t="s">
        <v>687</v>
      </c>
      <c r="J3" t="s">
        <v>688</v>
      </c>
      <c r="K3" t="s">
        <v>280</v>
      </c>
    </row>
    <row r="4" spans="1:11" x14ac:dyDescent="0.25">
      <c r="A4" t="s">
        <v>689</v>
      </c>
      <c r="B4" t="s">
        <v>627</v>
      </c>
      <c r="C4" t="s">
        <v>243</v>
      </c>
      <c r="D4" t="s">
        <v>690</v>
      </c>
      <c r="E4" t="s">
        <v>691</v>
      </c>
      <c r="F4" t="s">
        <v>627</v>
      </c>
      <c r="G4" t="s">
        <v>692</v>
      </c>
      <c r="H4" t="s">
        <v>681</v>
      </c>
      <c r="I4" t="s">
        <v>80</v>
      </c>
      <c r="J4" t="s">
        <v>683</v>
      </c>
      <c r="K4" t="s">
        <v>263</v>
      </c>
    </row>
    <row r="5" spans="1:11" x14ac:dyDescent="0.25">
      <c r="A5" t="s">
        <v>693</v>
      </c>
      <c r="B5" t="s">
        <v>627</v>
      </c>
      <c r="C5" t="s">
        <v>265</v>
      </c>
      <c r="D5" t="s">
        <v>694</v>
      </c>
      <c r="E5" t="s">
        <v>695</v>
      </c>
      <c r="F5" t="s">
        <v>627</v>
      </c>
      <c r="G5" t="s">
        <v>696</v>
      </c>
      <c r="H5" t="s">
        <v>697</v>
      </c>
      <c r="I5" t="s">
        <v>698</v>
      </c>
      <c r="J5" t="s">
        <v>688</v>
      </c>
      <c r="K5" t="s">
        <v>280</v>
      </c>
    </row>
    <row r="6" spans="1:11" x14ac:dyDescent="0.25">
      <c r="A6" t="s">
        <v>699</v>
      </c>
      <c r="B6" t="s">
        <v>627</v>
      </c>
      <c r="C6" t="s">
        <v>282</v>
      </c>
      <c r="D6" t="s">
        <v>700</v>
      </c>
      <c r="E6" t="s">
        <v>701</v>
      </c>
      <c r="F6" t="s">
        <v>627</v>
      </c>
      <c r="G6" t="s">
        <v>696</v>
      </c>
      <c r="H6" t="s">
        <v>697</v>
      </c>
      <c r="I6" t="s">
        <v>702</v>
      </c>
      <c r="J6" t="s">
        <v>688</v>
      </c>
      <c r="K6" t="s">
        <v>297</v>
      </c>
    </row>
    <row r="7" spans="1:11" x14ac:dyDescent="0.25">
      <c r="A7" t="s">
        <v>703</v>
      </c>
      <c r="B7" t="s">
        <v>185</v>
      </c>
      <c r="C7" t="s">
        <v>144</v>
      </c>
      <c r="D7" t="s">
        <v>704</v>
      </c>
      <c r="E7" t="s">
        <v>705</v>
      </c>
      <c r="F7" t="s">
        <v>627</v>
      </c>
      <c r="G7" t="s">
        <v>696</v>
      </c>
      <c r="H7" t="s">
        <v>697</v>
      </c>
      <c r="I7" t="s">
        <v>698</v>
      </c>
      <c r="J7" t="s">
        <v>683</v>
      </c>
      <c r="K7" t="s">
        <v>706</v>
      </c>
    </row>
    <row r="8" spans="1:11" x14ac:dyDescent="0.25">
      <c r="A8" t="s">
        <v>707</v>
      </c>
      <c r="B8" t="s">
        <v>627</v>
      </c>
      <c r="C8" t="s">
        <v>312</v>
      </c>
      <c r="D8" t="s">
        <v>708</v>
      </c>
      <c r="E8" t="s">
        <v>709</v>
      </c>
      <c r="F8" t="s">
        <v>627</v>
      </c>
      <c r="G8" t="s">
        <v>696</v>
      </c>
      <c r="H8" t="s">
        <v>697</v>
      </c>
      <c r="I8" t="s">
        <v>710</v>
      </c>
      <c r="J8" t="s">
        <v>683</v>
      </c>
      <c r="K8" t="s">
        <v>711</v>
      </c>
    </row>
    <row r="9" spans="1:11" x14ac:dyDescent="0.25">
      <c r="A9" t="s">
        <v>712</v>
      </c>
      <c r="B9" t="s">
        <v>644</v>
      </c>
      <c r="C9" t="s">
        <v>361</v>
      </c>
      <c r="D9" t="s">
        <v>713</v>
      </c>
      <c r="E9" t="s">
        <v>714</v>
      </c>
      <c r="F9" t="s">
        <v>627</v>
      </c>
      <c r="G9" t="s">
        <v>696</v>
      </c>
      <c r="H9" t="s">
        <v>697</v>
      </c>
      <c r="I9" t="s">
        <v>698</v>
      </c>
      <c r="J9" t="s">
        <v>688</v>
      </c>
      <c r="K9" t="s">
        <v>280</v>
      </c>
    </row>
    <row r="10" spans="1:11" x14ac:dyDescent="0.25">
      <c r="A10" t="s">
        <v>715</v>
      </c>
      <c r="B10" t="s">
        <v>185</v>
      </c>
      <c r="C10" t="s">
        <v>131</v>
      </c>
      <c r="D10" t="s">
        <v>716</v>
      </c>
      <c r="E10" t="s">
        <v>717</v>
      </c>
      <c r="F10" t="s">
        <v>627</v>
      </c>
      <c r="G10" t="s">
        <v>692</v>
      </c>
      <c r="H10" t="s">
        <v>697</v>
      </c>
      <c r="I10" t="s">
        <v>682</v>
      </c>
      <c r="J10" t="s">
        <v>718</v>
      </c>
      <c r="K10" t="s">
        <v>719</v>
      </c>
    </row>
    <row r="11" spans="1:12" x14ac:dyDescent="0.25">
      <c r="A11" t="s">
        <v>720</v>
      </c>
      <c r="B11" t="s">
        <v>627</v>
      </c>
      <c r="C11" t="s">
        <v>219</v>
      </c>
      <c r="D11" t="s">
        <v>721</v>
      </c>
      <c r="E11" t="s">
        <v>722</v>
      </c>
      <c r="F11" t="s">
        <v>723</v>
      </c>
      <c r="G11" t="s">
        <v>724</v>
      </c>
      <c r="H11" t="s">
        <v>681</v>
      </c>
      <c r="I11">
        <v>5</v>
      </c>
      <c r="J11" t="s">
        <v>688</v>
      </c>
      <c r="K11" t="s">
        <v>280</v>
      </c>
      <c r="L11" t="s">
        <v>725</v>
      </c>
    </row>
    <row r="12" spans="1:12" x14ac:dyDescent="0.25">
      <c r="A12" t="s">
        <v>726</v>
      </c>
      <c r="B12" t="s">
        <v>627</v>
      </c>
      <c r="C12" t="s">
        <v>219</v>
      </c>
      <c r="D12" t="s">
        <v>727</v>
      </c>
      <c r="E12" t="s">
        <v>728</v>
      </c>
      <c r="F12" t="s">
        <v>729</v>
      </c>
      <c r="G12" t="s">
        <v>696</v>
      </c>
      <c r="H12" t="s">
        <v>697</v>
      </c>
      <c r="I12">
        <v>150</v>
      </c>
      <c r="J12" t="s">
        <v>718</v>
      </c>
      <c r="K12" t="s">
        <v>83</v>
      </c>
      <c r="L12" t="s">
        <v>730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4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5" x14ac:dyDescent="0.25">
      <c r="A1" t="s">
        <v>515</v>
      </c>
      <c r="B1" t="s">
        <v>731</v>
      </c>
      <c r="C1" t="s">
        <v>732</v>
      </c>
      <c r="D1" t="s">
        <v>733</v>
      </c>
      <c r="E1" t="s">
        <v>734</v>
      </c>
    </row>
    <row r="2" spans="1:4" x14ac:dyDescent="0.25">
      <c r="A2" t="s">
        <v>735</v>
      </c>
      <c r="B2" t="s">
        <v>677</v>
      </c>
      <c r="C2" t="s">
        <v>736</v>
      </c>
      <c r="D2" t="s">
        <v>737</v>
      </c>
    </row>
    <row r="3" spans="1:4" x14ac:dyDescent="0.25">
      <c r="A3" t="s">
        <v>738</v>
      </c>
      <c r="B3" t="s">
        <v>684</v>
      </c>
      <c r="C3" t="s">
        <v>736</v>
      </c>
      <c r="D3" t="s">
        <v>739</v>
      </c>
    </row>
    <row r="4" spans="1:4" x14ac:dyDescent="0.25">
      <c r="A4" t="s">
        <v>740</v>
      </c>
      <c r="B4" t="s">
        <v>689</v>
      </c>
      <c r="C4" t="s">
        <v>736</v>
      </c>
      <c r="D4" t="s">
        <v>741</v>
      </c>
    </row>
    <row r="5" spans="1:4" x14ac:dyDescent="0.25">
      <c r="A5" t="s">
        <v>742</v>
      </c>
      <c r="B5" t="s">
        <v>693</v>
      </c>
      <c r="C5" t="s">
        <v>736</v>
      </c>
      <c r="D5" t="s">
        <v>743</v>
      </c>
    </row>
    <row r="6" spans="1:4" x14ac:dyDescent="0.25">
      <c r="A6" t="s">
        <v>744</v>
      </c>
      <c r="B6" t="s">
        <v>699</v>
      </c>
      <c r="C6" t="s">
        <v>736</v>
      </c>
      <c r="D6" t="s">
        <v>745</v>
      </c>
    </row>
    <row r="7" spans="1:4" x14ac:dyDescent="0.25">
      <c r="A7" t="s">
        <v>746</v>
      </c>
      <c r="B7" t="s">
        <v>703</v>
      </c>
      <c r="C7" t="s">
        <v>736</v>
      </c>
      <c r="D7" t="s">
        <v>747</v>
      </c>
    </row>
    <row r="8" spans="1:4" x14ac:dyDescent="0.25">
      <c r="A8" t="s">
        <v>748</v>
      </c>
      <c r="B8" t="s">
        <v>707</v>
      </c>
      <c r="C8" t="s">
        <v>736</v>
      </c>
      <c r="D8" t="s">
        <v>749</v>
      </c>
    </row>
    <row r="9" spans="1:4" x14ac:dyDescent="0.25">
      <c r="A9" t="s">
        <v>750</v>
      </c>
      <c r="B9" t="s">
        <v>712</v>
      </c>
      <c r="C9" t="s">
        <v>736</v>
      </c>
      <c r="D9" t="s">
        <v>751</v>
      </c>
    </row>
    <row r="10" spans="1:5" x14ac:dyDescent="0.25">
      <c r="A10" t="s">
        <v>752</v>
      </c>
      <c r="B10" t="s">
        <v>684</v>
      </c>
      <c r="C10" t="s">
        <v>598</v>
      </c>
      <c r="D10">
        <v>165</v>
      </c>
      <c r="E10" t="s">
        <v>753</v>
      </c>
    </row>
    <row r="11" spans="1:4" x14ac:dyDescent="0.25">
      <c r="A11" t="s">
        <v>754</v>
      </c>
      <c r="B11" t="s">
        <v>684</v>
      </c>
      <c r="C11" t="s">
        <v>755</v>
      </c>
      <c r="D11">
        <v>178</v>
      </c>
    </row>
    <row r="12" spans="1:4" x14ac:dyDescent="0.25">
      <c r="A12" t="s">
        <v>756</v>
      </c>
      <c r="B12" t="s">
        <v>720</v>
      </c>
      <c r="C12" t="s">
        <v>757</v>
      </c>
      <c r="D12">
        <v>4</v>
      </c>
    </row>
    <row r="13" spans="1:5" x14ac:dyDescent="0.25">
      <c r="A13" t="s">
        <v>758</v>
      </c>
      <c r="B13" t="s">
        <v>720</v>
      </c>
      <c r="C13" t="s">
        <v>736</v>
      </c>
      <c r="D13">
        <v>6</v>
      </c>
      <c r="E13" t="s">
        <v>759</v>
      </c>
    </row>
    <row r="14" spans="1:4" x14ac:dyDescent="0.25">
      <c r="A14" t="s">
        <v>760</v>
      </c>
      <c r="B14" t="s">
        <v>726</v>
      </c>
      <c r="C14" t="s">
        <v>736</v>
      </c>
      <c r="D14">
        <v>132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8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6" x14ac:dyDescent="0.25">
      <c r="A1" t="s">
        <v>515</v>
      </c>
      <c r="B1" t="s">
        <v>516</v>
      </c>
      <c r="C1" t="s">
        <v>517</v>
      </c>
      <c r="D1" t="s">
        <v>761</v>
      </c>
      <c r="E1" t="s">
        <v>762</v>
      </c>
      <c r="F1" t="s">
        <v>763</v>
      </c>
    </row>
    <row r="2" spans="1:6" x14ac:dyDescent="0.25">
      <c r="A2" t="s">
        <v>764</v>
      </c>
      <c r="B2" t="s">
        <v>627</v>
      </c>
      <c r="C2" t="s">
        <v>219</v>
      </c>
      <c r="D2" t="s">
        <v>765</v>
      </c>
      <c r="E2" t="s">
        <v>766</v>
      </c>
      <c r="F2" t="s">
        <v>96</v>
      </c>
    </row>
    <row r="3" spans="1:6" x14ac:dyDescent="0.25">
      <c r="A3" t="s">
        <v>767</v>
      </c>
      <c r="B3" t="s">
        <v>627</v>
      </c>
      <c r="C3" t="s">
        <v>219</v>
      </c>
      <c r="D3" t="s">
        <v>499</v>
      </c>
      <c r="E3" t="s">
        <v>768</v>
      </c>
      <c r="F3" t="s">
        <v>110</v>
      </c>
    </row>
    <row r="4" spans="1:6" x14ac:dyDescent="0.25">
      <c r="A4" t="s">
        <v>769</v>
      </c>
      <c r="B4" t="s">
        <v>627</v>
      </c>
      <c r="C4" t="s">
        <v>219</v>
      </c>
      <c r="D4" t="s">
        <v>770</v>
      </c>
      <c r="E4" t="s">
        <v>771</v>
      </c>
      <c r="F4" t="s">
        <v>150</v>
      </c>
    </row>
    <row r="5" spans="1:6" x14ac:dyDescent="0.25">
      <c r="A5" t="s">
        <v>772</v>
      </c>
      <c r="B5" t="s">
        <v>627</v>
      </c>
      <c r="C5" t="s">
        <v>219</v>
      </c>
      <c r="D5" t="s">
        <v>773</v>
      </c>
      <c r="E5" t="s">
        <v>774</v>
      </c>
      <c r="F5" t="s">
        <v>775</v>
      </c>
    </row>
    <row r="6" spans="1:6" x14ac:dyDescent="0.25">
      <c r="A6" t="s">
        <v>776</v>
      </c>
      <c r="B6" t="s">
        <v>644</v>
      </c>
      <c r="C6" t="s">
        <v>361</v>
      </c>
      <c r="D6" t="s">
        <v>499</v>
      </c>
      <c r="E6" t="s">
        <v>768</v>
      </c>
      <c r="F6" t="s">
        <v>110</v>
      </c>
    </row>
    <row r="7" spans="1:6" x14ac:dyDescent="0.25">
      <c r="A7" t="s">
        <v>777</v>
      </c>
      <c r="B7" t="s">
        <v>644</v>
      </c>
      <c r="C7" t="s">
        <v>361</v>
      </c>
      <c r="D7" t="s">
        <v>773</v>
      </c>
      <c r="E7" t="s">
        <v>771</v>
      </c>
      <c r="F7" t="s">
        <v>775</v>
      </c>
    </row>
    <row r="8" spans="1:6" x14ac:dyDescent="0.25">
      <c r="A8" t="s">
        <v>778</v>
      </c>
      <c r="B8" t="s">
        <v>466</v>
      </c>
      <c r="C8" t="s">
        <v>428</v>
      </c>
      <c r="D8" t="s">
        <v>779</v>
      </c>
      <c r="E8" t="s">
        <v>768</v>
      </c>
      <c r="F8" t="s">
        <v>110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G5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7" x14ac:dyDescent="0.25">
      <c r="A1" t="s">
        <v>515</v>
      </c>
      <c r="B1" t="s">
        <v>516</v>
      </c>
      <c r="C1" t="s">
        <v>517</v>
      </c>
      <c r="D1" t="s">
        <v>62</v>
      </c>
      <c r="E1" t="s">
        <v>780</v>
      </c>
      <c r="F1" t="s">
        <v>65</v>
      </c>
      <c r="G1" t="s">
        <v>781</v>
      </c>
    </row>
    <row r="2" spans="1:7" x14ac:dyDescent="0.25">
      <c r="A2" t="s">
        <v>782</v>
      </c>
      <c r="B2" t="s">
        <v>185</v>
      </c>
      <c r="C2" t="s">
        <v>144</v>
      </c>
      <c r="D2" t="s">
        <v>783</v>
      </c>
      <c r="E2" t="s">
        <v>784</v>
      </c>
      <c r="F2" t="s">
        <v>785</v>
      </c>
      <c r="G2" t="s">
        <v>786</v>
      </c>
    </row>
    <row r="3" spans="1:7" x14ac:dyDescent="0.25">
      <c r="A3" t="s">
        <v>787</v>
      </c>
      <c r="B3" t="s">
        <v>627</v>
      </c>
      <c r="C3" t="s">
        <v>219</v>
      </c>
      <c r="D3" t="s">
        <v>788</v>
      </c>
      <c r="E3" t="s">
        <v>789</v>
      </c>
      <c r="F3" t="s">
        <v>790</v>
      </c>
      <c r="G3" t="s">
        <v>791</v>
      </c>
    </row>
    <row r="4" spans="1:7" x14ac:dyDescent="0.25">
      <c r="A4" t="s">
        <v>792</v>
      </c>
      <c r="B4" t="s">
        <v>644</v>
      </c>
      <c r="C4" t="s">
        <v>361</v>
      </c>
      <c r="D4" t="s">
        <v>793</v>
      </c>
      <c r="E4" t="s">
        <v>794</v>
      </c>
      <c r="F4" t="s">
        <v>795</v>
      </c>
      <c r="G4" t="s">
        <v>796</v>
      </c>
    </row>
    <row r="5" spans="1:7" x14ac:dyDescent="0.25">
      <c r="A5" t="s">
        <v>797</v>
      </c>
      <c r="B5" t="s">
        <v>466</v>
      </c>
      <c r="C5" t="s">
        <v>424</v>
      </c>
      <c r="D5" t="s">
        <v>798</v>
      </c>
      <c r="E5" t="s">
        <v>799</v>
      </c>
      <c r="F5" t="s">
        <v>800</v>
      </c>
      <c r="G5" t="s">
        <v>801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10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9" x14ac:dyDescent="0.25">
      <c r="A1" t="s">
        <v>64</v>
      </c>
      <c r="B1" t="s">
        <v>802</v>
      </c>
      <c r="C1" t="s">
        <v>62</v>
      </c>
      <c r="D1" t="s">
        <v>803</v>
      </c>
      <c r="E1" t="s">
        <v>66</v>
      </c>
      <c r="F1" t="s">
        <v>804</v>
      </c>
      <c r="G1" t="s">
        <v>805</v>
      </c>
      <c r="H1" t="s">
        <v>806</v>
      </c>
      <c r="I1" t="s">
        <v>807</v>
      </c>
    </row>
    <row r="2" spans="1:9" x14ac:dyDescent="0.25">
      <c r="A2" s="15" t="s">
        <v>80</v>
      </c>
      <c r="B2" s="15" t="s">
        <v>808</v>
      </c>
      <c r="C2" s="15" t="s">
        <v>809</v>
      </c>
      <c r="D2" s="15" t="s">
        <v>810</v>
      </c>
      <c r="E2" s="15" t="s">
        <v>811</v>
      </c>
      <c r="F2" s="15" t="s">
        <v>812</v>
      </c>
      <c r="G2" s="15" t="s">
        <v>813</v>
      </c>
      <c r="H2" s="15" t="s">
        <v>814</v>
      </c>
      <c r="I2" s="15" t="s">
        <v>815</v>
      </c>
    </row>
    <row r="3" spans="1:9" x14ac:dyDescent="0.25">
      <c r="A3" t="s">
        <v>93</v>
      </c>
      <c r="B3" t="s">
        <v>816</v>
      </c>
      <c r="C3" t="s">
        <v>817</v>
      </c>
      <c r="D3" t="s">
        <v>818</v>
      </c>
      <c r="E3" t="s">
        <v>819</v>
      </c>
      <c r="F3" t="s">
        <v>820</v>
      </c>
      <c r="G3" t="s">
        <v>821</v>
      </c>
      <c r="H3" t="s">
        <v>822</v>
      </c>
      <c r="I3" t="s">
        <v>823</v>
      </c>
    </row>
    <row r="4" spans="1:9" x14ac:dyDescent="0.25">
      <c r="A4" s="15" t="s">
        <v>107</v>
      </c>
      <c r="B4" s="15" t="s">
        <v>824</v>
      </c>
      <c r="C4" s="15" t="s">
        <v>825</v>
      </c>
      <c r="D4" s="15" t="s">
        <v>826</v>
      </c>
      <c r="E4" s="15" t="s">
        <v>827</v>
      </c>
      <c r="F4" s="15" t="s">
        <v>828</v>
      </c>
      <c r="G4" s="15" t="s">
        <v>829</v>
      </c>
      <c r="H4" s="15" t="s">
        <v>830</v>
      </c>
      <c r="I4" s="15" t="s">
        <v>831</v>
      </c>
    </row>
    <row r="5" spans="1:9" x14ac:dyDescent="0.25">
      <c r="A5" t="s">
        <v>120</v>
      </c>
      <c r="B5" t="s">
        <v>824</v>
      </c>
      <c r="C5" t="s">
        <v>832</v>
      </c>
      <c r="D5" t="s">
        <v>818</v>
      </c>
      <c r="E5" t="s">
        <v>833</v>
      </c>
      <c r="F5" t="s">
        <v>834</v>
      </c>
      <c r="G5" t="s">
        <v>835</v>
      </c>
      <c r="H5" t="s">
        <v>836</v>
      </c>
      <c r="I5" t="s">
        <v>837</v>
      </c>
    </row>
    <row r="6" spans="1:9" x14ac:dyDescent="0.25">
      <c r="A6" s="10" t="s">
        <v>133</v>
      </c>
      <c r="B6" s="10" t="s">
        <v>824</v>
      </c>
      <c r="C6" s="10" t="s">
        <v>838</v>
      </c>
      <c r="D6" s="10" t="s">
        <v>810</v>
      </c>
      <c r="E6" s="6" t="s">
        <v>839</v>
      </c>
      <c r="F6" s="6" t="s">
        <v>840</v>
      </c>
      <c r="G6" s="6" t="s">
        <v>841</v>
      </c>
      <c r="H6" s="6" t="s">
        <v>842</v>
      </c>
      <c r="I6" s="6" t="s">
        <v>843</v>
      </c>
    </row>
    <row r="7" spans="1:9" x14ac:dyDescent="0.25">
      <c r="A7" t="s">
        <v>147</v>
      </c>
      <c r="B7" t="s">
        <v>824</v>
      </c>
      <c r="C7" t="s">
        <v>844</v>
      </c>
      <c r="D7" t="s">
        <v>826</v>
      </c>
      <c r="E7" t="s">
        <v>845</v>
      </c>
      <c r="F7" t="s">
        <v>846</v>
      </c>
      <c r="G7" t="s">
        <v>847</v>
      </c>
      <c r="H7" t="s">
        <v>848</v>
      </c>
      <c r="I7" t="s">
        <v>849</v>
      </c>
    </row>
    <row r="8" spans="1:9" x14ac:dyDescent="0.25">
      <c r="A8" s="15" t="s">
        <v>161</v>
      </c>
      <c r="B8" s="15" t="s">
        <v>850</v>
      </c>
      <c r="C8" s="15" t="s">
        <v>851</v>
      </c>
      <c r="D8" s="15" t="s">
        <v>852</v>
      </c>
      <c r="E8" s="15" t="s">
        <v>853</v>
      </c>
      <c r="F8" s="15" t="s">
        <v>854</v>
      </c>
      <c r="G8" s="15" t="s">
        <v>855</v>
      </c>
      <c r="H8" s="15" t="s">
        <v>856</v>
      </c>
      <c r="I8" s="15" t="s">
        <v>857</v>
      </c>
    </row>
    <row r="9" spans="1:9" x14ac:dyDescent="0.25">
      <c r="A9" t="s">
        <v>174</v>
      </c>
      <c r="B9" t="s">
        <v>858</v>
      </c>
      <c r="C9" t="s">
        <v>859</v>
      </c>
      <c r="D9" t="s">
        <v>860</v>
      </c>
      <c r="E9" t="s">
        <v>861</v>
      </c>
      <c r="F9" t="s">
        <v>862</v>
      </c>
      <c r="G9" t="s">
        <v>863</v>
      </c>
      <c r="H9" t="s">
        <v>864</v>
      </c>
      <c r="I9" t="s">
        <v>865</v>
      </c>
    </row>
    <row r="10" spans="1:9" x14ac:dyDescent="0.25">
      <c r="A10" s="15" t="s">
        <v>866</v>
      </c>
      <c r="B10" s="15" t="s">
        <v>858</v>
      </c>
      <c r="C10" s="15" t="s">
        <v>867</v>
      </c>
      <c r="D10" s="15" t="s">
        <v>860</v>
      </c>
      <c r="E10" s="15" t="s">
        <v>868</v>
      </c>
      <c r="F10" s="15" t="s">
        <v>869</v>
      </c>
      <c r="G10" s="15" t="s">
        <v>870</v>
      </c>
      <c r="H10" s="15" t="s">
        <v>871</v>
      </c>
      <c r="I10" s="15" t="s">
        <v>872</v>
      </c>
    </row>
  </sheetData>
  <autoFilter ref="A1:I9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16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9" x14ac:dyDescent="0.25">
      <c r="A1" t="s">
        <v>515</v>
      </c>
      <c r="B1" t="s">
        <v>63</v>
      </c>
      <c r="C1" t="s">
        <v>873</v>
      </c>
      <c r="D1" t="s">
        <v>61</v>
      </c>
      <c r="E1" t="s">
        <v>519</v>
      </c>
      <c r="F1" t="s">
        <v>65</v>
      </c>
      <c r="G1" t="s">
        <v>676</v>
      </c>
      <c r="H1" t="s">
        <v>523</v>
      </c>
      <c r="I1" t="s">
        <v>64</v>
      </c>
    </row>
    <row r="2" spans="1:9" x14ac:dyDescent="0.25">
      <c r="A2" t="s">
        <v>874</v>
      </c>
      <c r="B2" t="s">
        <v>875</v>
      </c>
      <c r="D2" t="s">
        <v>876</v>
      </c>
      <c r="E2" t="s">
        <v>877</v>
      </c>
      <c r="F2" t="s">
        <v>878</v>
      </c>
      <c r="G2" t="s">
        <v>879</v>
      </c>
      <c r="H2" t="s">
        <v>880</v>
      </c>
      <c r="I2" t="s">
        <v>80</v>
      </c>
    </row>
    <row r="3" spans="1:9" x14ac:dyDescent="0.25">
      <c r="A3" t="s">
        <v>881</v>
      </c>
      <c r="B3" t="s">
        <v>875</v>
      </c>
      <c r="D3" t="s">
        <v>876</v>
      </c>
      <c r="E3" t="s">
        <v>882</v>
      </c>
      <c r="F3" t="s">
        <v>883</v>
      </c>
      <c r="G3" t="s">
        <v>879</v>
      </c>
      <c r="H3" t="s">
        <v>884</v>
      </c>
      <c r="I3" t="s">
        <v>93</v>
      </c>
    </row>
    <row r="4" spans="1:9" x14ac:dyDescent="0.25">
      <c r="A4" t="s">
        <v>885</v>
      </c>
      <c r="B4" t="s">
        <v>886</v>
      </c>
      <c r="C4" t="s">
        <v>887</v>
      </c>
      <c r="E4" t="s">
        <v>888</v>
      </c>
      <c r="F4" t="s">
        <v>889</v>
      </c>
      <c r="G4" t="s">
        <v>879</v>
      </c>
      <c r="H4" t="s">
        <v>890</v>
      </c>
      <c r="I4" t="s">
        <v>133</v>
      </c>
    </row>
    <row r="5" spans="1:9" x14ac:dyDescent="0.25">
      <c r="A5" t="s">
        <v>891</v>
      </c>
      <c r="B5" t="s">
        <v>886</v>
      </c>
      <c r="C5" t="s">
        <v>892</v>
      </c>
      <c r="E5" t="s">
        <v>893</v>
      </c>
      <c r="F5" t="s">
        <v>894</v>
      </c>
      <c r="G5" t="s">
        <v>879</v>
      </c>
      <c r="H5" t="s">
        <v>895</v>
      </c>
      <c r="I5" t="s">
        <v>147</v>
      </c>
    </row>
    <row r="6" spans="1:9" x14ac:dyDescent="0.25">
      <c r="A6" t="s">
        <v>896</v>
      </c>
      <c r="B6" t="s">
        <v>897</v>
      </c>
      <c r="C6" t="s">
        <v>887</v>
      </c>
      <c r="D6" t="s">
        <v>898</v>
      </c>
      <c r="E6" t="s">
        <v>899</v>
      </c>
      <c r="F6" t="s">
        <v>900</v>
      </c>
      <c r="G6" t="s">
        <v>901</v>
      </c>
      <c r="H6" t="s">
        <v>902</v>
      </c>
      <c r="I6" t="s">
        <v>903</v>
      </c>
    </row>
    <row r="7" spans="1:9" x14ac:dyDescent="0.25">
      <c r="A7" t="s">
        <v>904</v>
      </c>
      <c r="B7" t="s">
        <v>897</v>
      </c>
      <c r="C7" t="s">
        <v>887</v>
      </c>
      <c r="D7" t="s">
        <v>905</v>
      </c>
      <c r="E7" t="s">
        <v>906</v>
      </c>
      <c r="F7" t="s">
        <v>907</v>
      </c>
      <c r="G7" t="s">
        <v>908</v>
      </c>
      <c r="H7" t="s">
        <v>909</v>
      </c>
      <c r="I7" t="s">
        <v>910</v>
      </c>
    </row>
    <row r="8" spans="1:9" x14ac:dyDescent="0.25">
      <c r="A8" t="s">
        <v>911</v>
      </c>
      <c r="B8" t="s">
        <v>897</v>
      </c>
      <c r="C8" t="s">
        <v>912</v>
      </c>
      <c r="D8" t="s">
        <v>913</v>
      </c>
      <c r="E8" t="s">
        <v>914</v>
      </c>
      <c r="F8" t="s">
        <v>915</v>
      </c>
      <c r="G8" t="s">
        <v>879</v>
      </c>
      <c r="H8" t="s">
        <v>916</v>
      </c>
      <c r="I8" t="s">
        <v>917</v>
      </c>
    </row>
    <row r="9" spans="1:9" x14ac:dyDescent="0.25">
      <c r="A9" t="s">
        <v>918</v>
      </c>
      <c r="B9" t="s">
        <v>897</v>
      </c>
      <c r="C9" t="s">
        <v>892</v>
      </c>
      <c r="D9" t="s">
        <v>919</v>
      </c>
      <c r="E9" t="s">
        <v>920</v>
      </c>
      <c r="F9" t="s">
        <v>921</v>
      </c>
      <c r="G9" t="s">
        <v>922</v>
      </c>
      <c r="H9" t="s">
        <v>923</v>
      </c>
      <c r="I9" t="s">
        <v>924</v>
      </c>
    </row>
    <row r="10" spans="1:9" x14ac:dyDescent="0.25">
      <c r="A10" t="s">
        <v>925</v>
      </c>
      <c r="B10" t="s">
        <v>897</v>
      </c>
      <c r="C10" t="s">
        <v>892</v>
      </c>
      <c r="D10" t="s">
        <v>926</v>
      </c>
      <c r="E10" t="s">
        <v>927</v>
      </c>
      <c r="F10" t="s">
        <v>928</v>
      </c>
      <c r="G10" t="s">
        <v>901</v>
      </c>
      <c r="H10" t="s">
        <v>929</v>
      </c>
      <c r="I10" t="s">
        <v>930</v>
      </c>
    </row>
    <row r="11" spans="1:9" x14ac:dyDescent="0.25">
      <c r="A11" t="s">
        <v>931</v>
      </c>
      <c r="B11" t="s">
        <v>897</v>
      </c>
      <c r="C11" t="s">
        <v>932</v>
      </c>
      <c r="D11" t="s">
        <v>933</v>
      </c>
      <c r="E11" t="s">
        <v>934</v>
      </c>
      <c r="F11" t="s">
        <v>935</v>
      </c>
      <c r="G11" t="s">
        <v>901</v>
      </c>
      <c r="H11" t="s">
        <v>936</v>
      </c>
      <c r="I11" t="s">
        <v>937</v>
      </c>
    </row>
    <row r="12" spans="1:9" x14ac:dyDescent="0.25">
      <c r="A12" t="s">
        <v>938</v>
      </c>
      <c r="B12" t="s">
        <v>897</v>
      </c>
      <c r="C12" t="s">
        <v>939</v>
      </c>
      <c r="D12" t="s">
        <v>940</v>
      </c>
      <c r="E12" t="s">
        <v>941</v>
      </c>
      <c r="F12" t="s">
        <v>942</v>
      </c>
      <c r="G12" t="s">
        <v>901</v>
      </c>
      <c r="H12" t="s">
        <v>943</v>
      </c>
      <c r="I12" t="s">
        <v>944</v>
      </c>
    </row>
    <row r="13" spans="1:9" x14ac:dyDescent="0.25">
      <c r="A13" t="s">
        <v>945</v>
      </c>
      <c r="B13" t="s">
        <v>946</v>
      </c>
      <c r="C13" t="s">
        <v>887</v>
      </c>
      <c r="E13" t="s">
        <v>947</v>
      </c>
      <c r="F13" t="s">
        <v>948</v>
      </c>
      <c r="G13" t="s">
        <v>949</v>
      </c>
      <c r="H13" t="s">
        <v>950</v>
      </c>
      <c r="I13" t="s">
        <v>951</v>
      </c>
    </row>
    <row r="14" spans="1:9" x14ac:dyDescent="0.25">
      <c r="A14" t="s">
        <v>952</v>
      </c>
      <c r="B14" t="s">
        <v>953</v>
      </c>
      <c r="E14" t="s">
        <v>954</v>
      </c>
      <c r="F14" t="s">
        <v>955</v>
      </c>
      <c r="G14" t="s">
        <v>956</v>
      </c>
      <c r="H14" t="s">
        <v>957</v>
      </c>
      <c r="I14" t="s">
        <v>958</v>
      </c>
    </row>
    <row r="15" spans="1:9" x14ac:dyDescent="0.25">
      <c r="A15" t="s">
        <v>959</v>
      </c>
      <c r="B15" t="s">
        <v>953</v>
      </c>
      <c r="E15" t="s">
        <v>960</v>
      </c>
      <c r="F15" t="s">
        <v>961</v>
      </c>
      <c r="G15" t="s">
        <v>962</v>
      </c>
      <c r="H15" t="s">
        <v>963</v>
      </c>
      <c r="I15" t="s">
        <v>964</v>
      </c>
    </row>
    <row r="16" spans="1:9" x14ac:dyDescent="0.25">
      <c r="A16" t="s">
        <v>965</v>
      </c>
      <c r="B16" t="s">
        <v>886</v>
      </c>
      <c r="C16" t="s">
        <v>892</v>
      </c>
      <c r="E16" t="s">
        <v>966</v>
      </c>
      <c r="F16" t="s">
        <v>967</v>
      </c>
      <c r="G16" t="s">
        <v>908</v>
      </c>
      <c r="H16" t="s">
        <v>968</v>
      </c>
      <c r="I16" t="s">
        <v>969</v>
      </c>
    </row>
  </sheetData>
  <autoFilter ref="A1:I16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6" width="26.83203125" customWidth="1"/>
  </cols>
  <sheetData>
    <row r="1" spans="1:6" x14ac:dyDescent="0.25">
      <c r="A1" t="s">
        <v>515</v>
      </c>
      <c r="B1" t="s">
        <v>521</v>
      </c>
      <c r="C1" t="s">
        <v>519</v>
      </c>
      <c r="D1" t="s">
        <v>65</v>
      </c>
      <c r="E1" t="s">
        <v>970</v>
      </c>
      <c r="F1" t="s">
        <v>971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5" width="26.83203125" customWidth="1"/>
  </cols>
  <sheetData>
    <row r="1" spans="1:5" x14ac:dyDescent="0.25">
      <c r="A1" t="s">
        <v>515</v>
      </c>
      <c r="B1" t="s">
        <v>64</v>
      </c>
      <c r="C1" t="s">
        <v>972</v>
      </c>
      <c r="D1" t="s">
        <v>522</v>
      </c>
      <c r="E1" t="s">
        <v>734</v>
      </c>
    </row>
    <row r="2" spans="1:4" x14ac:dyDescent="0.25">
      <c r="A2" t="s">
        <v>973</v>
      </c>
      <c r="B2">
        <v>1</v>
      </c>
      <c r="C2" t="s">
        <v>974</v>
      </c>
      <c r="D2" t="s">
        <v>975</v>
      </c>
    </row>
    <row r="3" spans="1:4" x14ac:dyDescent="0.25">
      <c r="A3" t="s">
        <v>976</v>
      </c>
      <c r="B3">
        <v>2</v>
      </c>
      <c r="C3" t="s">
        <v>977</v>
      </c>
      <c r="D3" t="s">
        <v>975</v>
      </c>
    </row>
    <row r="4" spans="1:4" x14ac:dyDescent="0.25">
      <c r="A4" t="s">
        <v>978</v>
      </c>
      <c r="B4">
        <v>3</v>
      </c>
      <c r="C4" t="s">
        <v>979</v>
      </c>
      <c r="D4" t="s">
        <v>975</v>
      </c>
    </row>
    <row r="5" spans="1:4" x14ac:dyDescent="0.25">
      <c r="A5" t="s">
        <v>980</v>
      </c>
      <c r="B5">
        <v>4</v>
      </c>
      <c r="C5" t="s">
        <v>981</v>
      </c>
      <c r="D5" t="s">
        <v>975</v>
      </c>
    </row>
    <row r="6" spans="1:4" x14ac:dyDescent="0.25">
      <c r="A6" t="s">
        <v>982</v>
      </c>
      <c r="B6">
        <v>5</v>
      </c>
      <c r="C6" t="s">
        <v>983</v>
      </c>
      <c r="D6" t="s">
        <v>975</v>
      </c>
    </row>
    <row r="7" spans="1:4" x14ac:dyDescent="0.25">
      <c r="A7" t="s">
        <v>984</v>
      </c>
      <c r="B7">
        <v>6</v>
      </c>
      <c r="C7" t="s">
        <v>985</v>
      </c>
      <c r="D7" t="s">
        <v>975</v>
      </c>
    </row>
    <row r="8" spans="1:4" x14ac:dyDescent="0.25">
      <c r="A8" t="s">
        <v>986</v>
      </c>
      <c r="B8">
        <v>7</v>
      </c>
      <c r="C8" t="s">
        <v>987</v>
      </c>
      <c r="D8" t="s">
        <v>975</v>
      </c>
    </row>
    <row r="9" spans="1:4" x14ac:dyDescent="0.25">
      <c r="A9" t="s">
        <v>988</v>
      </c>
      <c r="B9">
        <v>8</v>
      </c>
      <c r="C9" t="s">
        <v>989</v>
      </c>
      <c r="D9" t="s">
        <v>975</v>
      </c>
    </row>
    <row r="10" spans="1:4" x14ac:dyDescent="0.25">
      <c r="A10" t="s">
        <v>990</v>
      </c>
      <c r="B10">
        <v>9</v>
      </c>
      <c r="C10" t="s">
        <v>991</v>
      </c>
      <c r="D10" t="s">
        <v>975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13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9" x14ac:dyDescent="0.25">
      <c r="A1" t="s">
        <v>64</v>
      </c>
      <c r="B1" t="s">
        <v>62</v>
      </c>
      <c r="C1" t="s">
        <v>761</v>
      </c>
      <c r="D1" t="s">
        <v>992</v>
      </c>
      <c r="E1" t="s">
        <v>993</v>
      </c>
      <c r="F1" t="s">
        <v>994</v>
      </c>
      <c r="G1" t="s">
        <v>995</v>
      </c>
      <c r="H1" t="s">
        <v>996</v>
      </c>
      <c r="I1" t="s">
        <v>997</v>
      </c>
    </row>
    <row r="2" spans="1:9" x14ac:dyDescent="0.25">
      <c r="A2" t="s">
        <v>80</v>
      </c>
      <c r="B2" t="s">
        <v>998</v>
      </c>
      <c r="C2" t="s">
        <v>999</v>
      </c>
      <c r="D2" t="s">
        <v>1000</v>
      </c>
      <c r="E2" t="str">
        <f>IF(D2="","",IFERROR(VLOOKUP(D2,Listas!$V$2:$W$40,2,FALSE),""))</f>
        <v>Área de Gestão Estratégica</v>
      </c>
      <c r="F2" t="s">
        <v>1001</v>
      </c>
      <c r="G2" t="s">
        <v>1002</v>
      </c>
      <c r="H2" t="s">
        <v>1003</v>
      </c>
      <c r="I2" t="s">
        <v>80</v>
      </c>
    </row>
    <row r="3" spans="1:9" x14ac:dyDescent="0.25">
      <c r="A3" t="s">
        <v>93</v>
      </c>
      <c r="B3" t="s">
        <v>1004</v>
      </c>
      <c r="C3" t="s">
        <v>1005</v>
      </c>
      <c r="D3" t="s">
        <v>83</v>
      </c>
      <c r="E3" t="str">
        <f>IF(D3="","",IFERROR(VLOOKUP(D3,Listas!$V$2:$W$40,2,FALSE),""))</f>
        <v>Gerência de Planejamento Estratégico</v>
      </c>
      <c r="F3" t="s">
        <v>1006</v>
      </c>
      <c r="G3" t="s">
        <v>1007</v>
      </c>
      <c r="H3" t="s">
        <v>1008</v>
      </c>
      <c r="I3" t="s">
        <v>93</v>
      </c>
    </row>
    <row r="4" spans="1:9" x14ac:dyDescent="0.25">
      <c r="A4" t="s">
        <v>107</v>
      </c>
      <c r="B4" t="s">
        <v>662</v>
      </c>
      <c r="C4" t="s">
        <v>1009</v>
      </c>
      <c r="D4" t="s">
        <v>775</v>
      </c>
      <c r="E4" t="str">
        <f>IF(D4="","",IFERROR(VLOOKUP(D4,Listas!$V$2:$W$40,2,FALSE),""))</f>
        <v>Unidade de Gestão Normativa e de Processos</v>
      </c>
      <c r="F4" t="s">
        <v>1010</v>
      </c>
      <c r="G4" t="s">
        <v>1011</v>
      </c>
      <c r="H4" t="s">
        <v>1012</v>
      </c>
      <c r="I4" t="s">
        <v>107</v>
      </c>
    </row>
    <row r="5" spans="1:9" x14ac:dyDescent="0.25">
      <c r="A5" t="s">
        <v>120</v>
      </c>
      <c r="B5" t="s">
        <v>666</v>
      </c>
      <c r="C5" t="s">
        <v>1013</v>
      </c>
      <c r="D5" t="s">
        <v>83</v>
      </c>
      <c r="E5" t="str">
        <f>IF(D5="","",IFERROR(VLOOKUP(D5,Listas!$V$2:$W$40,2,FALSE),""))</f>
        <v>Gerência de Planejamento Estratégico</v>
      </c>
      <c r="F5" t="s">
        <v>1014</v>
      </c>
      <c r="G5" t="s">
        <v>1015</v>
      </c>
      <c r="H5" t="s">
        <v>1016</v>
      </c>
      <c r="I5" t="s">
        <v>107</v>
      </c>
    </row>
    <row r="6" spans="1:9" x14ac:dyDescent="0.25">
      <c r="A6" t="s">
        <v>133</v>
      </c>
      <c r="B6" t="s">
        <v>658</v>
      </c>
      <c r="C6" t="s">
        <v>1017</v>
      </c>
      <c r="D6" t="s">
        <v>177</v>
      </c>
      <c r="E6" t="str">
        <f>IF(D6="","",IFERROR(VLOOKUP(D6,Listas!$V$2:$W$40,2,FALSE),""))</f>
        <v>Gerência de Tecnologia da Informação</v>
      </c>
      <c r="F6" t="s">
        <v>1018</v>
      </c>
      <c r="G6" t="s">
        <v>1019</v>
      </c>
      <c r="H6" t="s">
        <v>1020</v>
      </c>
      <c r="I6" t="s">
        <v>107</v>
      </c>
    </row>
    <row r="7" spans="1:9" x14ac:dyDescent="0.25">
      <c r="A7" t="s">
        <v>147</v>
      </c>
      <c r="B7" t="s">
        <v>1021</v>
      </c>
      <c r="C7" t="s">
        <v>1022</v>
      </c>
      <c r="D7" t="s">
        <v>1023</v>
      </c>
      <c r="E7" t="str">
        <f>IF(D7="","",IFERROR(VLOOKUP(D7,Listas!$V$2:$W$40,2,FALSE),""))</f>
        <v>Gerência de Projetos de Revitalização</v>
      </c>
      <c r="F7" t="s">
        <v>1024</v>
      </c>
      <c r="G7" t="s">
        <v>1025</v>
      </c>
      <c r="H7" t="s">
        <v>1026</v>
      </c>
      <c r="I7" t="s">
        <v>107</v>
      </c>
    </row>
    <row r="8" spans="1:9" x14ac:dyDescent="0.25">
      <c r="A8" t="s">
        <v>161</v>
      </c>
      <c r="B8" t="s">
        <v>1027</v>
      </c>
      <c r="C8" t="s">
        <v>1028</v>
      </c>
      <c r="D8" t="s">
        <v>96</v>
      </c>
      <c r="E8" t="str">
        <f>IF(D8="","",IFERROR(VLOOKUP(D8,Listas!$V$2:$W$40,2,FALSE),""))</f>
        <v>Gerência de Auditoria e Governança</v>
      </c>
      <c r="F8" t="s">
        <v>1029</v>
      </c>
      <c r="G8" t="s">
        <v>1030</v>
      </c>
      <c r="H8" t="s">
        <v>1031</v>
      </c>
      <c r="I8" t="s">
        <v>107</v>
      </c>
    </row>
    <row r="9" spans="1:9" x14ac:dyDescent="0.25">
      <c r="A9" t="s">
        <v>174</v>
      </c>
      <c r="B9" t="s">
        <v>1032</v>
      </c>
      <c r="C9" t="s">
        <v>1033</v>
      </c>
      <c r="D9" t="s">
        <v>775</v>
      </c>
      <c r="E9" t="str">
        <f>IF(D9="","",IFERROR(VLOOKUP(D9,Listas!$V$2:$W$40,2,FALSE),""))</f>
        <v>Unidade de Gestão Normativa e de Processos</v>
      </c>
      <c r="F9" t="s">
        <v>1034</v>
      </c>
      <c r="G9" t="s">
        <v>1035</v>
      </c>
      <c r="H9" t="s">
        <v>1036</v>
      </c>
      <c r="I9" t="s">
        <v>107</v>
      </c>
    </row>
    <row r="10" spans="1:9" x14ac:dyDescent="0.25">
      <c r="A10" t="s">
        <v>866</v>
      </c>
      <c r="B10" t="s">
        <v>1037</v>
      </c>
      <c r="C10" t="s">
        <v>1013</v>
      </c>
      <c r="D10" t="s">
        <v>775</v>
      </c>
      <c r="E10" t="str">
        <f>IF(D10="","",IFERROR(VLOOKUP(D10,Listas!$V$2:$W$40,2,FALSE),""))</f>
        <v>Unidade de Gestão Normativa e de Processos</v>
      </c>
      <c r="F10" t="s">
        <v>1038</v>
      </c>
      <c r="G10" t="s">
        <v>1039</v>
      </c>
      <c r="H10" t="s">
        <v>1040</v>
      </c>
      <c r="I10" t="s">
        <v>107</v>
      </c>
    </row>
    <row r="11" spans="1:9" x14ac:dyDescent="0.25">
      <c r="A11" t="s">
        <v>1041</v>
      </c>
      <c r="B11" t="s">
        <v>1042</v>
      </c>
      <c r="C11" t="s">
        <v>1043</v>
      </c>
      <c r="D11" t="s">
        <v>83</v>
      </c>
      <c r="E11" t="str">
        <f>IF(D11="","",IFERROR(VLOOKUP(D11,Listas!$V$2:$W$40,2,FALSE),""))</f>
        <v>Gerência de Planejamento Estratégico</v>
      </c>
      <c r="F11" t="s">
        <v>1044</v>
      </c>
      <c r="G11" t="s">
        <v>1045</v>
      </c>
      <c r="H11" t="s">
        <v>1046</v>
      </c>
      <c r="I11" t="s">
        <v>107</v>
      </c>
    </row>
    <row r="12" spans="1:9" x14ac:dyDescent="0.25">
      <c r="A12" t="s">
        <v>903</v>
      </c>
      <c r="B12" t="s">
        <v>1047</v>
      </c>
      <c r="C12" t="s">
        <v>1048</v>
      </c>
      <c r="D12" t="s">
        <v>150</v>
      </c>
      <c r="E12" t="str">
        <f>IF(D12="","",IFERROR(VLOOKUP(D12,Listas!$V$2:$W$40,2,FALSE),""))</f>
        <v>Gerência de Licitações e Contratos</v>
      </c>
      <c r="F12" t="s">
        <v>1049</v>
      </c>
      <c r="G12" t="s">
        <v>1050</v>
      </c>
      <c r="H12" t="s">
        <v>1051</v>
      </c>
      <c r="I12" t="s">
        <v>107</v>
      </c>
    </row>
    <row r="13" spans="1:9" x14ac:dyDescent="0.25">
      <c r="A13" t="s">
        <v>910</v>
      </c>
      <c r="B13" t="s">
        <v>1052</v>
      </c>
      <c r="C13" t="s">
        <v>1053</v>
      </c>
      <c r="D13" t="s">
        <v>1054</v>
      </c>
      <c r="E13" t="str">
        <f>IF(D13="","",IFERROR(VLOOKUP(D13,Listas!$V$2:$W$40,2,FALSE),""))</f>
        <v>Assessoria de Comunicação</v>
      </c>
      <c r="F13" t="s">
        <v>1055</v>
      </c>
      <c r="G13" t="s">
        <v>1056</v>
      </c>
      <c r="H13" t="s">
        <v>1057</v>
      </c>
      <c r="I13" t="s">
        <v>107</v>
      </c>
    </row>
  </sheetData>
  <autoFilter ref="A1:I13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19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5" x14ac:dyDescent="0.25">
      <c r="A1" t="s">
        <v>1058</v>
      </c>
      <c r="B1" t="s">
        <v>63</v>
      </c>
      <c r="C1" t="s">
        <v>1059</v>
      </c>
      <c r="D1" t="s">
        <v>676</v>
      </c>
      <c r="E1" t="s">
        <v>1060</v>
      </c>
    </row>
    <row r="2" spans="1:5" x14ac:dyDescent="0.25">
      <c r="A2" t="s">
        <v>956</v>
      </c>
      <c r="B2" t="s">
        <v>1061</v>
      </c>
      <c r="C2" t="s">
        <v>1062</v>
      </c>
      <c r="D2" t="s">
        <v>956</v>
      </c>
      <c r="E2" t="s">
        <v>1063</v>
      </c>
    </row>
    <row r="3" spans="1:5" x14ac:dyDescent="0.25">
      <c r="A3" t="s">
        <v>466</v>
      </c>
      <c r="B3" t="s">
        <v>1061</v>
      </c>
      <c r="C3" t="s">
        <v>1064</v>
      </c>
      <c r="D3" t="s">
        <v>901</v>
      </c>
      <c r="E3" t="s">
        <v>1065</v>
      </c>
    </row>
    <row r="4" spans="1:5" x14ac:dyDescent="0.25">
      <c r="A4" t="s">
        <v>1066</v>
      </c>
      <c r="B4" t="s">
        <v>1061</v>
      </c>
      <c r="C4" t="s">
        <v>1067</v>
      </c>
      <c r="D4" t="s">
        <v>901</v>
      </c>
      <c r="E4" t="s">
        <v>1068</v>
      </c>
    </row>
    <row r="5" spans="1:5" x14ac:dyDescent="0.25">
      <c r="A5" t="s">
        <v>1069</v>
      </c>
      <c r="B5" t="s">
        <v>1061</v>
      </c>
      <c r="C5" t="s">
        <v>1070</v>
      </c>
      <c r="D5" t="s">
        <v>901</v>
      </c>
      <c r="E5" t="s">
        <v>1071</v>
      </c>
    </row>
    <row r="6" spans="1:5" x14ac:dyDescent="0.25">
      <c r="A6" t="s">
        <v>1072</v>
      </c>
      <c r="B6" t="s">
        <v>1061</v>
      </c>
      <c r="C6" t="s">
        <v>1073</v>
      </c>
      <c r="D6" t="s">
        <v>901</v>
      </c>
      <c r="E6" t="s">
        <v>1074</v>
      </c>
    </row>
    <row r="7" spans="1:5" x14ac:dyDescent="0.25">
      <c r="A7" t="s">
        <v>1075</v>
      </c>
      <c r="B7" t="s">
        <v>1076</v>
      </c>
      <c r="C7" t="s">
        <v>1077</v>
      </c>
      <c r="D7" t="s">
        <v>1078</v>
      </c>
      <c r="E7" t="s">
        <v>1079</v>
      </c>
    </row>
    <row r="8" spans="1:5" x14ac:dyDescent="0.25">
      <c r="A8" t="s">
        <v>1000</v>
      </c>
      <c r="B8" t="s">
        <v>1080</v>
      </c>
      <c r="C8" t="s">
        <v>1081</v>
      </c>
      <c r="D8" t="s">
        <v>879</v>
      </c>
      <c r="E8" t="s">
        <v>1082</v>
      </c>
    </row>
    <row r="9" spans="1:5" x14ac:dyDescent="0.25">
      <c r="A9" t="s">
        <v>1083</v>
      </c>
      <c r="B9" t="s">
        <v>1084</v>
      </c>
      <c r="C9" t="s">
        <v>1085</v>
      </c>
      <c r="D9" t="s">
        <v>1086</v>
      </c>
      <c r="E9" t="s">
        <v>1087</v>
      </c>
    </row>
    <row r="10" spans="1:5" x14ac:dyDescent="0.25">
      <c r="A10" t="s">
        <v>1088</v>
      </c>
      <c r="B10" t="s">
        <v>1061</v>
      </c>
      <c r="C10" t="s">
        <v>1089</v>
      </c>
      <c r="D10" t="s">
        <v>1090</v>
      </c>
      <c r="E10" t="s">
        <v>1091</v>
      </c>
    </row>
    <row r="11" spans="1:5" x14ac:dyDescent="0.25">
      <c r="A11" t="s">
        <v>1092</v>
      </c>
      <c r="B11" t="s">
        <v>1061</v>
      </c>
      <c r="C11" t="s">
        <v>1093</v>
      </c>
      <c r="D11" t="s">
        <v>1094</v>
      </c>
      <c r="E11" t="s">
        <v>1095</v>
      </c>
    </row>
    <row r="12" spans="1:5" x14ac:dyDescent="0.25">
      <c r="A12" t="s">
        <v>1096</v>
      </c>
      <c r="B12" t="s">
        <v>1097</v>
      </c>
      <c r="C12" t="s">
        <v>1098</v>
      </c>
      <c r="D12" t="s">
        <v>1099</v>
      </c>
      <c r="E12" t="s">
        <v>1099</v>
      </c>
    </row>
    <row r="13" spans="1:5" x14ac:dyDescent="0.25">
      <c r="A13" t="s">
        <v>1100</v>
      </c>
      <c r="B13" t="s">
        <v>1101</v>
      </c>
      <c r="C13" t="s">
        <v>1102</v>
      </c>
      <c r="D13" t="s">
        <v>908</v>
      </c>
      <c r="E13" t="s">
        <v>1103</v>
      </c>
    </row>
    <row r="14" spans="1:5" x14ac:dyDescent="0.25">
      <c r="A14" t="s">
        <v>1104</v>
      </c>
      <c r="B14" t="s">
        <v>1076</v>
      </c>
      <c r="C14" t="s">
        <v>1105</v>
      </c>
      <c r="D14" t="s">
        <v>1106</v>
      </c>
      <c r="E14" t="s">
        <v>1107</v>
      </c>
    </row>
    <row r="15" spans="1:5" x14ac:dyDescent="0.25">
      <c r="A15" t="s">
        <v>1108</v>
      </c>
      <c r="B15" t="s">
        <v>1076</v>
      </c>
      <c r="C15" t="s">
        <v>1109</v>
      </c>
      <c r="D15" t="s">
        <v>1075</v>
      </c>
      <c r="E15" t="s">
        <v>1110</v>
      </c>
    </row>
    <row r="16" spans="1:5" x14ac:dyDescent="0.25">
      <c r="A16" t="s">
        <v>1111</v>
      </c>
      <c r="B16" t="s">
        <v>1061</v>
      </c>
      <c r="C16" t="s">
        <v>1112</v>
      </c>
      <c r="D16" t="s">
        <v>1090</v>
      </c>
      <c r="E16" t="s">
        <v>1113</v>
      </c>
    </row>
    <row r="17" spans="1:5" x14ac:dyDescent="0.25">
      <c r="A17" t="s">
        <v>1114</v>
      </c>
      <c r="B17" t="s">
        <v>1061</v>
      </c>
      <c r="C17" t="s">
        <v>1115</v>
      </c>
      <c r="D17" t="s">
        <v>1116</v>
      </c>
      <c r="E17" t="s">
        <v>1117</v>
      </c>
    </row>
    <row r="18" spans="1:5" x14ac:dyDescent="0.25">
      <c r="A18" t="s">
        <v>1118</v>
      </c>
      <c r="B18" t="s">
        <v>1061</v>
      </c>
      <c r="C18" t="s">
        <v>1119</v>
      </c>
      <c r="D18" t="s">
        <v>901</v>
      </c>
      <c r="E18" t="s">
        <v>1120</v>
      </c>
    </row>
    <row r="19" spans="1:5" x14ac:dyDescent="0.25">
      <c r="A19" t="s">
        <v>1121</v>
      </c>
      <c r="B19" t="s">
        <v>1076</v>
      </c>
      <c r="C19" t="s">
        <v>1122</v>
      </c>
      <c r="D19" t="s">
        <v>908</v>
      </c>
      <c r="E19" t="s">
        <v>1123</v>
      </c>
    </row>
    <row r="20" spans="1:5" x14ac:dyDescent="0.25">
      <c r="A20" t="s">
        <v>1124</v>
      </c>
      <c r="B20" t="s">
        <v>1076</v>
      </c>
      <c r="C20" t="s">
        <v>1125</v>
      </c>
      <c r="D20" t="s">
        <v>1126</v>
      </c>
      <c r="E20" t="s">
        <v>1121</v>
      </c>
    </row>
    <row r="21" spans="1:5" x14ac:dyDescent="0.25">
      <c r="A21" t="s">
        <v>1127</v>
      </c>
      <c r="B21" t="s">
        <v>1076</v>
      </c>
      <c r="C21" t="s">
        <v>1128</v>
      </c>
      <c r="D21" t="s">
        <v>1129</v>
      </c>
      <c r="E21" t="s">
        <v>1130</v>
      </c>
    </row>
    <row r="22" spans="1:5" x14ac:dyDescent="0.25">
      <c r="A22" t="s">
        <v>1131</v>
      </c>
      <c r="B22" t="s">
        <v>1084</v>
      </c>
      <c r="C22" t="s">
        <v>1132</v>
      </c>
      <c r="D22" t="s">
        <v>1133</v>
      </c>
      <c r="E22" t="s">
        <v>1134</v>
      </c>
    </row>
    <row r="23" spans="1:5" x14ac:dyDescent="0.25">
      <c r="A23" t="s">
        <v>1135</v>
      </c>
      <c r="B23" t="s">
        <v>1084</v>
      </c>
      <c r="C23" t="s">
        <v>1136</v>
      </c>
      <c r="D23" t="s">
        <v>1137</v>
      </c>
      <c r="E23" t="s">
        <v>1131</v>
      </c>
    </row>
    <row r="24" spans="1:5" x14ac:dyDescent="0.25">
      <c r="A24" t="s">
        <v>1138</v>
      </c>
      <c r="B24" t="s">
        <v>1061</v>
      </c>
      <c r="C24" t="s">
        <v>1139</v>
      </c>
      <c r="D24" t="s">
        <v>1140</v>
      </c>
      <c r="E24" t="s">
        <v>1141</v>
      </c>
    </row>
    <row r="25" spans="1:5" x14ac:dyDescent="0.25">
      <c r="A25" t="s">
        <v>1142</v>
      </c>
      <c r="B25" t="s">
        <v>1061</v>
      </c>
      <c r="C25" t="s">
        <v>1143</v>
      </c>
      <c r="D25" t="s">
        <v>901</v>
      </c>
      <c r="E25" t="s">
        <v>1144</v>
      </c>
    </row>
    <row r="26" spans="1:5" x14ac:dyDescent="0.25">
      <c r="A26" t="s">
        <v>1145</v>
      </c>
      <c r="B26" t="s">
        <v>1097</v>
      </c>
      <c r="C26" t="s">
        <v>1146</v>
      </c>
      <c r="D26" t="s">
        <v>1147</v>
      </c>
      <c r="E26" t="s">
        <v>1099</v>
      </c>
    </row>
    <row r="27" spans="1:5" x14ac:dyDescent="0.25">
      <c r="A27" t="s">
        <v>1148</v>
      </c>
      <c r="B27" t="s">
        <v>1061</v>
      </c>
      <c r="C27" t="s">
        <v>1149</v>
      </c>
      <c r="D27" t="s">
        <v>1092</v>
      </c>
      <c r="E27" t="s">
        <v>1092</v>
      </c>
    </row>
    <row r="28" spans="1:5" x14ac:dyDescent="0.25">
      <c r="A28" t="s">
        <v>1150</v>
      </c>
      <c r="B28" t="s">
        <v>1061</v>
      </c>
      <c r="C28" t="s">
        <v>1151</v>
      </c>
      <c r="D28" t="s">
        <v>901</v>
      </c>
      <c r="E28" t="s">
        <v>1152</v>
      </c>
    </row>
    <row r="29" spans="1:5" x14ac:dyDescent="0.25">
      <c r="A29" t="s">
        <v>1153</v>
      </c>
      <c r="B29" t="s">
        <v>1097</v>
      </c>
      <c r="C29" t="s">
        <v>1154</v>
      </c>
      <c r="D29" t="s">
        <v>1099</v>
      </c>
      <c r="E29" t="s">
        <v>1099</v>
      </c>
    </row>
    <row r="30" spans="1:5" x14ac:dyDescent="0.25">
      <c r="A30" t="s">
        <v>1155</v>
      </c>
      <c r="B30" t="s">
        <v>1101</v>
      </c>
      <c r="C30" t="s">
        <v>1156</v>
      </c>
      <c r="D30" t="s">
        <v>1111</v>
      </c>
      <c r="E30" t="s">
        <v>1157</v>
      </c>
    </row>
    <row r="31" spans="1:5" x14ac:dyDescent="0.25">
      <c r="A31" t="s">
        <v>1158</v>
      </c>
      <c r="B31" t="s">
        <v>1101</v>
      </c>
      <c r="C31" t="s">
        <v>1159</v>
      </c>
      <c r="D31" t="s">
        <v>1111</v>
      </c>
      <c r="E31" t="s">
        <v>1160</v>
      </c>
    </row>
    <row r="32" spans="1:5" x14ac:dyDescent="0.25">
      <c r="A32" t="s">
        <v>1161</v>
      </c>
      <c r="B32" t="s">
        <v>1101</v>
      </c>
      <c r="C32" t="s">
        <v>1162</v>
      </c>
      <c r="D32" t="s">
        <v>1163</v>
      </c>
      <c r="E32" t="s">
        <v>1164</v>
      </c>
    </row>
    <row r="33" spans="1:5" x14ac:dyDescent="0.25">
      <c r="A33" t="s">
        <v>1165</v>
      </c>
      <c r="B33" t="s">
        <v>1076</v>
      </c>
      <c r="C33" t="s">
        <v>1166</v>
      </c>
      <c r="D33" t="s">
        <v>908</v>
      </c>
      <c r="E33" t="s">
        <v>1167</v>
      </c>
    </row>
    <row r="34" spans="1:5" x14ac:dyDescent="0.25">
      <c r="A34" t="s">
        <v>1168</v>
      </c>
      <c r="B34" t="s">
        <v>1076</v>
      </c>
      <c r="C34" t="s">
        <v>1169</v>
      </c>
      <c r="D34" t="s">
        <v>908</v>
      </c>
      <c r="E34" t="s">
        <v>1170</v>
      </c>
    </row>
    <row r="35" spans="1:5" x14ac:dyDescent="0.25">
      <c r="A35" t="s">
        <v>1171</v>
      </c>
      <c r="B35" t="s">
        <v>1076</v>
      </c>
      <c r="C35" t="s">
        <v>1172</v>
      </c>
      <c r="D35" t="s">
        <v>908</v>
      </c>
      <c r="E35" t="s">
        <v>1165</v>
      </c>
    </row>
    <row r="36" spans="1:5" x14ac:dyDescent="0.25">
      <c r="A36" t="s">
        <v>1129</v>
      </c>
      <c r="B36" t="s">
        <v>1076</v>
      </c>
      <c r="C36" t="s">
        <v>1173</v>
      </c>
      <c r="D36" t="s">
        <v>908</v>
      </c>
      <c r="E36" t="s">
        <v>1174</v>
      </c>
    </row>
    <row r="37" spans="1:5" x14ac:dyDescent="0.25">
      <c r="A37" t="s">
        <v>1175</v>
      </c>
      <c r="B37" t="s">
        <v>1097</v>
      </c>
      <c r="C37" t="s">
        <v>1176</v>
      </c>
      <c r="D37" t="s">
        <v>1099</v>
      </c>
      <c r="E37" t="s">
        <v>1099</v>
      </c>
    </row>
    <row r="38" spans="1:5" x14ac:dyDescent="0.25">
      <c r="A38" t="s">
        <v>1177</v>
      </c>
      <c r="B38" t="s">
        <v>1097</v>
      </c>
      <c r="C38" t="s">
        <v>1178</v>
      </c>
      <c r="D38" t="s">
        <v>1179</v>
      </c>
      <c r="E38" t="s">
        <v>1092</v>
      </c>
    </row>
    <row r="39" spans="1:5" x14ac:dyDescent="0.25">
      <c r="A39" t="s">
        <v>1180</v>
      </c>
      <c r="B39" t="s">
        <v>1061</v>
      </c>
      <c r="C39" t="s">
        <v>1181</v>
      </c>
      <c r="D39" t="s">
        <v>1092</v>
      </c>
      <c r="E39" t="s">
        <v>1092</v>
      </c>
    </row>
    <row r="40" spans="1:5" x14ac:dyDescent="0.25">
      <c r="A40" t="s">
        <v>1182</v>
      </c>
      <c r="B40" t="s">
        <v>1061</v>
      </c>
      <c r="C40" t="s">
        <v>1183</v>
      </c>
      <c r="D40" t="s">
        <v>1184</v>
      </c>
      <c r="E40" t="s">
        <v>1072</v>
      </c>
    </row>
    <row r="41" spans="1:5" x14ac:dyDescent="0.25">
      <c r="A41" t="s">
        <v>1144</v>
      </c>
      <c r="B41" t="s">
        <v>1061</v>
      </c>
      <c r="C41" t="s">
        <v>1185</v>
      </c>
      <c r="D41" t="s">
        <v>901</v>
      </c>
      <c r="E41" t="s">
        <v>1142</v>
      </c>
    </row>
    <row r="42" spans="1:5" x14ac:dyDescent="0.25">
      <c r="A42" t="s">
        <v>1123</v>
      </c>
      <c r="B42" t="s">
        <v>1076</v>
      </c>
      <c r="C42" t="s">
        <v>1186</v>
      </c>
      <c r="D42" t="s">
        <v>1187</v>
      </c>
      <c r="E42" t="s">
        <v>1121</v>
      </c>
    </row>
    <row r="43" spans="1:5" x14ac:dyDescent="0.25">
      <c r="A43" t="s">
        <v>1188</v>
      </c>
      <c r="B43" t="s">
        <v>1080</v>
      </c>
      <c r="C43" t="s">
        <v>1189</v>
      </c>
      <c r="D43" t="s">
        <v>879</v>
      </c>
      <c r="E43" t="s">
        <v>1190</v>
      </c>
    </row>
    <row r="44" spans="1:5" x14ac:dyDescent="0.25">
      <c r="A44" t="s">
        <v>1087</v>
      </c>
      <c r="B44" t="s">
        <v>1084</v>
      </c>
      <c r="C44" t="s">
        <v>1191</v>
      </c>
      <c r="D44" t="s">
        <v>1192</v>
      </c>
      <c r="E44" t="s">
        <v>1193</v>
      </c>
    </row>
    <row r="45" spans="1:5" x14ac:dyDescent="0.25">
      <c r="A45" t="s">
        <v>1194</v>
      </c>
      <c r="B45" t="s">
        <v>1061</v>
      </c>
      <c r="C45" t="s">
        <v>1195</v>
      </c>
      <c r="D45" t="s">
        <v>901</v>
      </c>
      <c r="E45" t="s">
        <v>1196</v>
      </c>
    </row>
    <row r="46" spans="1:5" x14ac:dyDescent="0.25">
      <c r="A46" t="s">
        <v>1197</v>
      </c>
      <c r="B46" t="s">
        <v>1101</v>
      </c>
      <c r="C46" t="s">
        <v>1198</v>
      </c>
      <c r="D46" t="s">
        <v>901</v>
      </c>
      <c r="E46" t="s">
        <v>1199</v>
      </c>
    </row>
    <row r="47" spans="1:5" x14ac:dyDescent="0.25">
      <c r="A47" t="s">
        <v>1200</v>
      </c>
      <c r="B47" t="s">
        <v>1101</v>
      </c>
      <c r="C47" t="s">
        <v>1201</v>
      </c>
      <c r="D47" t="s">
        <v>922</v>
      </c>
      <c r="E47" t="s">
        <v>1202</v>
      </c>
    </row>
    <row r="48" spans="1:5" x14ac:dyDescent="0.25">
      <c r="A48" t="s">
        <v>1203</v>
      </c>
      <c r="B48" t="s">
        <v>1061</v>
      </c>
      <c r="C48" t="s">
        <v>1204</v>
      </c>
      <c r="D48" t="s">
        <v>1140</v>
      </c>
      <c r="E48" t="s">
        <v>1205</v>
      </c>
    </row>
    <row r="49" spans="1:5" x14ac:dyDescent="0.25">
      <c r="A49" t="s">
        <v>1206</v>
      </c>
      <c r="B49" t="s">
        <v>1101</v>
      </c>
      <c r="C49" t="s">
        <v>1207</v>
      </c>
      <c r="D49" t="s">
        <v>1208</v>
      </c>
      <c r="E49" t="s">
        <v>1209</v>
      </c>
    </row>
    <row r="50" spans="1:5" x14ac:dyDescent="0.25">
      <c r="A50" t="s">
        <v>1210</v>
      </c>
      <c r="B50" t="s">
        <v>1076</v>
      </c>
      <c r="C50" t="s">
        <v>1211</v>
      </c>
      <c r="D50" t="s">
        <v>1212</v>
      </c>
      <c r="E50" t="s">
        <v>1213</v>
      </c>
    </row>
    <row r="51" spans="1:5" x14ac:dyDescent="0.25">
      <c r="A51" t="s">
        <v>1140</v>
      </c>
      <c r="B51" t="s">
        <v>1061</v>
      </c>
      <c r="C51" t="s">
        <v>1214</v>
      </c>
      <c r="D51" t="s">
        <v>1215</v>
      </c>
      <c r="E51" t="s">
        <v>1216</v>
      </c>
    </row>
    <row r="52" spans="1:5" x14ac:dyDescent="0.25">
      <c r="A52" t="s">
        <v>1217</v>
      </c>
      <c r="B52" t="s">
        <v>1076</v>
      </c>
      <c r="C52" t="s">
        <v>1218</v>
      </c>
      <c r="D52" t="s">
        <v>908</v>
      </c>
      <c r="E52" t="s">
        <v>1219</v>
      </c>
    </row>
    <row r="53" spans="1:4" x14ac:dyDescent="0.25">
      <c r="A53" t="s">
        <v>1220</v>
      </c>
      <c r="B53" t="s">
        <v>1076</v>
      </c>
      <c r="C53" t="s">
        <v>1221</v>
      </c>
      <c r="D53" t="s">
        <v>908</v>
      </c>
    </row>
    <row r="54" spans="1:5" x14ac:dyDescent="0.25">
      <c r="A54" t="s">
        <v>1222</v>
      </c>
      <c r="B54" t="s">
        <v>1084</v>
      </c>
      <c r="C54" t="s">
        <v>1223</v>
      </c>
      <c r="D54" t="s">
        <v>1224</v>
      </c>
      <c r="E54" t="s">
        <v>1135</v>
      </c>
    </row>
    <row r="55" spans="1:5" x14ac:dyDescent="0.25">
      <c r="A55" t="s">
        <v>185</v>
      </c>
      <c r="B55" t="s">
        <v>1061</v>
      </c>
      <c r="C55" t="s">
        <v>1225</v>
      </c>
      <c r="D55" t="s">
        <v>1226</v>
      </c>
      <c r="E55" t="s">
        <v>1227</v>
      </c>
    </row>
    <row r="56" spans="1:5" x14ac:dyDescent="0.25">
      <c r="A56" t="s">
        <v>1228</v>
      </c>
      <c r="B56" t="s">
        <v>1061</v>
      </c>
      <c r="C56" t="s">
        <v>1229</v>
      </c>
      <c r="D56" t="s">
        <v>901</v>
      </c>
      <c r="E56" t="s">
        <v>1230</v>
      </c>
    </row>
    <row r="57" spans="1:5" x14ac:dyDescent="0.25">
      <c r="A57" t="s">
        <v>1231</v>
      </c>
      <c r="B57" t="s">
        <v>1061</v>
      </c>
      <c r="C57" t="s">
        <v>1232</v>
      </c>
      <c r="D57" t="s">
        <v>1233</v>
      </c>
      <c r="E57" t="s">
        <v>1234</v>
      </c>
    </row>
    <row r="58" spans="1:5" x14ac:dyDescent="0.25">
      <c r="A58" t="s">
        <v>1235</v>
      </c>
      <c r="B58" t="s">
        <v>1061</v>
      </c>
      <c r="C58" t="s">
        <v>1236</v>
      </c>
      <c r="D58" t="s">
        <v>1237</v>
      </c>
      <c r="E58" t="s">
        <v>1238</v>
      </c>
    </row>
    <row r="59" spans="1:5" x14ac:dyDescent="0.25">
      <c r="A59" t="s">
        <v>674</v>
      </c>
      <c r="B59" t="s">
        <v>1101</v>
      </c>
      <c r="C59" t="s">
        <v>1239</v>
      </c>
      <c r="D59" t="s">
        <v>1240</v>
      </c>
      <c r="E59" t="s">
        <v>1241</v>
      </c>
    </row>
    <row r="60" spans="1:5" x14ac:dyDescent="0.25">
      <c r="A60" t="s">
        <v>1242</v>
      </c>
      <c r="B60" t="s">
        <v>1101</v>
      </c>
      <c r="C60" t="s">
        <v>1243</v>
      </c>
      <c r="D60" t="s">
        <v>922</v>
      </c>
      <c r="E60" t="s">
        <v>1244</v>
      </c>
    </row>
    <row r="61" spans="1:5" x14ac:dyDescent="0.25">
      <c r="A61" t="s">
        <v>1245</v>
      </c>
      <c r="B61" t="s">
        <v>1101</v>
      </c>
      <c r="C61" t="s">
        <v>1246</v>
      </c>
      <c r="D61" t="s">
        <v>908</v>
      </c>
      <c r="E61" t="s">
        <v>1247</v>
      </c>
    </row>
    <row r="62" spans="1:5" x14ac:dyDescent="0.25">
      <c r="A62" t="s">
        <v>1248</v>
      </c>
      <c r="B62" t="s">
        <v>1076</v>
      </c>
      <c r="C62" t="s">
        <v>1249</v>
      </c>
      <c r="D62" t="s">
        <v>908</v>
      </c>
      <c r="E62" t="s">
        <v>1250</v>
      </c>
    </row>
    <row r="63" spans="1:5" x14ac:dyDescent="0.25">
      <c r="A63" t="s">
        <v>906</v>
      </c>
      <c r="B63" t="s">
        <v>1076</v>
      </c>
      <c r="C63" t="s">
        <v>1251</v>
      </c>
      <c r="D63" t="s">
        <v>908</v>
      </c>
      <c r="E63" t="s">
        <v>1252</v>
      </c>
    </row>
    <row r="64" spans="1:5" x14ac:dyDescent="0.25">
      <c r="A64" t="s">
        <v>1253</v>
      </c>
      <c r="B64" t="s">
        <v>1080</v>
      </c>
      <c r="C64" t="s">
        <v>1254</v>
      </c>
      <c r="D64" t="s">
        <v>876</v>
      </c>
      <c r="E64" t="s">
        <v>1255</v>
      </c>
    </row>
    <row r="65" spans="1:5" x14ac:dyDescent="0.25">
      <c r="A65" t="s">
        <v>1080</v>
      </c>
      <c r="B65" t="s">
        <v>1080</v>
      </c>
      <c r="C65" t="s">
        <v>1256</v>
      </c>
      <c r="D65" t="s">
        <v>876</v>
      </c>
      <c r="E65" t="s">
        <v>1257</v>
      </c>
    </row>
    <row r="66" spans="1:5" x14ac:dyDescent="0.25">
      <c r="A66" t="s">
        <v>1258</v>
      </c>
      <c r="B66" t="s">
        <v>1097</v>
      </c>
      <c r="C66" t="s">
        <v>1259</v>
      </c>
      <c r="D66" t="s">
        <v>1111</v>
      </c>
      <c r="E66" t="s">
        <v>1260</v>
      </c>
    </row>
    <row r="67" spans="1:5" x14ac:dyDescent="0.25">
      <c r="A67" t="s">
        <v>1261</v>
      </c>
      <c r="B67" t="s">
        <v>1061</v>
      </c>
      <c r="C67" t="s">
        <v>1262</v>
      </c>
      <c r="D67" t="s">
        <v>901</v>
      </c>
      <c r="E67" t="s">
        <v>1263</v>
      </c>
    </row>
    <row r="68" spans="1:5" x14ac:dyDescent="0.25">
      <c r="A68" t="s">
        <v>1264</v>
      </c>
      <c r="B68" t="s">
        <v>1061</v>
      </c>
      <c r="C68" t="s">
        <v>1265</v>
      </c>
      <c r="D68" t="s">
        <v>1092</v>
      </c>
      <c r="E68" t="s">
        <v>1266</v>
      </c>
    </row>
    <row r="69" spans="1:5" x14ac:dyDescent="0.25">
      <c r="A69" t="s">
        <v>1267</v>
      </c>
      <c r="B69" t="s">
        <v>1061</v>
      </c>
      <c r="C69" t="s">
        <v>1268</v>
      </c>
      <c r="D69" t="s">
        <v>1269</v>
      </c>
      <c r="E69" t="s">
        <v>1270</v>
      </c>
    </row>
    <row r="70" spans="1:5" x14ac:dyDescent="0.25">
      <c r="A70" t="s">
        <v>1271</v>
      </c>
      <c r="B70" t="s">
        <v>1080</v>
      </c>
      <c r="C70" t="s">
        <v>1272</v>
      </c>
      <c r="D70" t="s">
        <v>1273</v>
      </c>
      <c r="E70" t="s">
        <v>1274</v>
      </c>
    </row>
    <row r="71" spans="1:5" x14ac:dyDescent="0.25">
      <c r="A71" t="s">
        <v>1196</v>
      </c>
      <c r="B71" t="s">
        <v>1061</v>
      </c>
      <c r="C71" t="s">
        <v>1275</v>
      </c>
      <c r="D71" t="s">
        <v>901</v>
      </c>
      <c r="E71" t="s">
        <v>1276</v>
      </c>
    </row>
    <row r="72" spans="1:5" x14ac:dyDescent="0.25">
      <c r="A72" t="s">
        <v>1277</v>
      </c>
      <c r="B72" t="s">
        <v>1101</v>
      </c>
      <c r="C72" t="s">
        <v>1278</v>
      </c>
      <c r="D72" t="s">
        <v>922</v>
      </c>
      <c r="E72" t="s">
        <v>1279</v>
      </c>
    </row>
    <row r="73" spans="1:5" x14ac:dyDescent="0.25">
      <c r="A73" t="s">
        <v>1280</v>
      </c>
      <c r="B73" t="s">
        <v>1101</v>
      </c>
      <c r="C73" t="s">
        <v>1281</v>
      </c>
      <c r="D73" t="s">
        <v>908</v>
      </c>
      <c r="E73" t="s">
        <v>1282</v>
      </c>
    </row>
    <row r="74" spans="1:5" x14ac:dyDescent="0.25">
      <c r="A74" t="s">
        <v>908</v>
      </c>
      <c r="B74" t="s">
        <v>1076</v>
      </c>
      <c r="C74" t="s">
        <v>1283</v>
      </c>
      <c r="D74" t="s">
        <v>1284</v>
      </c>
      <c r="E74" t="s">
        <v>1285</v>
      </c>
    </row>
    <row r="75" spans="1:5" x14ac:dyDescent="0.25">
      <c r="A75" t="s">
        <v>1284</v>
      </c>
      <c r="B75" t="s">
        <v>1076</v>
      </c>
      <c r="C75" t="s">
        <v>1286</v>
      </c>
      <c r="D75" t="s">
        <v>1284</v>
      </c>
      <c r="E75" t="s">
        <v>908</v>
      </c>
    </row>
    <row r="76" spans="1:5" x14ac:dyDescent="0.25">
      <c r="A76" t="s">
        <v>1287</v>
      </c>
      <c r="B76" t="s">
        <v>1076</v>
      </c>
      <c r="C76" t="s">
        <v>1288</v>
      </c>
      <c r="D76" t="s">
        <v>908</v>
      </c>
      <c r="E76" t="s">
        <v>1289</v>
      </c>
    </row>
    <row r="77" spans="1:5" x14ac:dyDescent="0.25">
      <c r="A77" t="s">
        <v>1290</v>
      </c>
      <c r="B77" t="s">
        <v>1076</v>
      </c>
      <c r="C77" t="s">
        <v>1291</v>
      </c>
      <c r="D77" t="s">
        <v>908</v>
      </c>
      <c r="E77" t="s">
        <v>1292</v>
      </c>
    </row>
    <row r="78" spans="1:5" x14ac:dyDescent="0.25">
      <c r="A78" t="s">
        <v>1293</v>
      </c>
      <c r="B78" t="s">
        <v>1076</v>
      </c>
      <c r="C78" t="s">
        <v>1294</v>
      </c>
      <c r="D78" t="s">
        <v>908</v>
      </c>
      <c r="E78" t="s">
        <v>1295</v>
      </c>
    </row>
    <row r="79" spans="1:5" x14ac:dyDescent="0.25">
      <c r="A79" t="s">
        <v>1296</v>
      </c>
      <c r="B79" t="s">
        <v>1076</v>
      </c>
      <c r="C79" t="s">
        <v>1297</v>
      </c>
      <c r="D79" t="s">
        <v>908</v>
      </c>
      <c r="E79" t="s">
        <v>1298</v>
      </c>
    </row>
    <row r="80" spans="1:5" x14ac:dyDescent="0.25">
      <c r="A80" t="s">
        <v>1299</v>
      </c>
      <c r="B80" t="s">
        <v>1080</v>
      </c>
      <c r="C80" t="s">
        <v>1300</v>
      </c>
      <c r="D80" t="s">
        <v>1301</v>
      </c>
      <c r="E80" t="s">
        <v>1302</v>
      </c>
    </row>
    <row r="81" spans="1:5" x14ac:dyDescent="0.25">
      <c r="A81" t="s">
        <v>1303</v>
      </c>
      <c r="B81" t="s">
        <v>1061</v>
      </c>
      <c r="C81" t="s">
        <v>1304</v>
      </c>
      <c r="D81" t="s">
        <v>1092</v>
      </c>
      <c r="E81" t="s">
        <v>1305</v>
      </c>
    </row>
    <row r="82" spans="1:5" x14ac:dyDescent="0.25">
      <c r="A82" t="s">
        <v>1306</v>
      </c>
      <c r="B82" t="s">
        <v>1061</v>
      </c>
      <c r="C82" t="s">
        <v>1307</v>
      </c>
      <c r="D82" t="s">
        <v>1308</v>
      </c>
      <c r="E82" t="s">
        <v>1309</v>
      </c>
    </row>
    <row r="83" spans="1:5" x14ac:dyDescent="0.25">
      <c r="A83" t="s">
        <v>1310</v>
      </c>
      <c r="B83" t="s">
        <v>1101</v>
      </c>
      <c r="C83" t="s">
        <v>1311</v>
      </c>
      <c r="D83" t="s">
        <v>1312</v>
      </c>
      <c r="E83" t="s">
        <v>1313</v>
      </c>
    </row>
    <row r="84" spans="1:5" x14ac:dyDescent="0.25">
      <c r="A84" t="s">
        <v>644</v>
      </c>
      <c r="B84" t="s">
        <v>1061</v>
      </c>
      <c r="C84" t="s">
        <v>1314</v>
      </c>
      <c r="D84" t="s">
        <v>901</v>
      </c>
      <c r="E84" t="s">
        <v>1315</v>
      </c>
    </row>
    <row r="85" spans="1:5" x14ac:dyDescent="0.25">
      <c r="A85" t="s">
        <v>1099</v>
      </c>
      <c r="B85" t="s">
        <v>1097</v>
      </c>
      <c r="C85" t="s">
        <v>1316</v>
      </c>
      <c r="D85" t="s">
        <v>1317</v>
      </c>
      <c r="E85" t="s">
        <v>1318</v>
      </c>
    </row>
    <row r="86" spans="1:5" x14ac:dyDescent="0.25">
      <c r="A86" t="s">
        <v>1319</v>
      </c>
      <c r="B86" t="s">
        <v>1097</v>
      </c>
      <c r="C86" t="s">
        <v>1320</v>
      </c>
      <c r="D86" t="s">
        <v>1099</v>
      </c>
      <c r="E86" t="s">
        <v>1099</v>
      </c>
    </row>
    <row r="87" spans="1:5" x14ac:dyDescent="0.25">
      <c r="A87" t="s">
        <v>1321</v>
      </c>
      <c r="B87" t="s">
        <v>1101</v>
      </c>
      <c r="C87" t="s">
        <v>1322</v>
      </c>
      <c r="D87" t="s">
        <v>1323</v>
      </c>
      <c r="E87" t="s">
        <v>1324</v>
      </c>
    </row>
    <row r="88" spans="1:5" x14ac:dyDescent="0.25">
      <c r="A88" t="s">
        <v>1325</v>
      </c>
      <c r="B88" t="s">
        <v>1076</v>
      </c>
      <c r="C88" t="s">
        <v>1326</v>
      </c>
      <c r="D88" t="s">
        <v>908</v>
      </c>
      <c r="E88" t="s">
        <v>906</v>
      </c>
    </row>
    <row r="89" spans="1:5" x14ac:dyDescent="0.25">
      <c r="A89" t="s">
        <v>1106</v>
      </c>
      <c r="B89" t="s">
        <v>1076</v>
      </c>
      <c r="C89" t="s">
        <v>1327</v>
      </c>
      <c r="D89" t="s">
        <v>1328</v>
      </c>
      <c r="E89" t="s">
        <v>1107</v>
      </c>
    </row>
    <row r="90" spans="1:5" x14ac:dyDescent="0.25">
      <c r="A90" t="s">
        <v>1329</v>
      </c>
      <c r="B90" t="s">
        <v>1076</v>
      </c>
      <c r="C90" t="s">
        <v>1330</v>
      </c>
      <c r="D90" t="s">
        <v>1106</v>
      </c>
      <c r="E90" t="s">
        <v>1331</v>
      </c>
    </row>
    <row r="91" spans="1:5" x14ac:dyDescent="0.25">
      <c r="A91" t="s">
        <v>1332</v>
      </c>
      <c r="B91" t="s">
        <v>1076</v>
      </c>
      <c r="C91" t="s">
        <v>1333</v>
      </c>
      <c r="D91" t="s">
        <v>1129</v>
      </c>
      <c r="E91" t="s">
        <v>1334</v>
      </c>
    </row>
    <row r="92" spans="1:5" x14ac:dyDescent="0.25">
      <c r="A92" t="s">
        <v>1335</v>
      </c>
      <c r="B92" t="s">
        <v>1080</v>
      </c>
      <c r="C92" t="s">
        <v>1336</v>
      </c>
      <c r="D92" t="s">
        <v>879</v>
      </c>
      <c r="E92" t="s">
        <v>1337</v>
      </c>
    </row>
    <row r="93" spans="1:5" x14ac:dyDescent="0.25">
      <c r="A93" t="s">
        <v>1337</v>
      </c>
      <c r="B93" t="s">
        <v>1080</v>
      </c>
      <c r="C93" t="s">
        <v>1338</v>
      </c>
      <c r="D93" t="s">
        <v>879</v>
      </c>
      <c r="E93" t="s">
        <v>1335</v>
      </c>
    </row>
    <row r="94" spans="1:5" x14ac:dyDescent="0.25">
      <c r="A94" t="s">
        <v>1339</v>
      </c>
      <c r="B94" t="s">
        <v>1061</v>
      </c>
      <c r="C94" t="s">
        <v>1340</v>
      </c>
      <c r="D94" t="s">
        <v>901</v>
      </c>
      <c r="E94" t="s">
        <v>466</v>
      </c>
    </row>
    <row r="95" spans="1:5" x14ac:dyDescent="0.25">
      <c r="A95" t="s">
        <v>1341</v>
      </c>
      <c r="B95" t="s">
        <v>1061</v>
      </c>
      <c r="C95" t="s">
        <v>1342</v>
      </c>
      <c r="D95" t="s">
        <v>901</v>
      </c>
      <c r="E95" t="s">
        <v>1343</v>
      </c>
    </row>
    <row r="96" spans="1:5" x14ac:dyDescent="0.25">
      <c r="A96" t="s">
        <v>773</v>
      </c>
      <c r="B96" t="s">
        <v>1080</v>
      </c>
      <c r="C96" t="s">
        <v>1344</v>
      </c>
      <c r="D96" t="s">
        <v>876</v>
      </c>
      <c r="E96" t="s">
        <v>1345</v>
      </c>
    </row>
    <row r="97" spans="1:5" x14ac:dyDescent="0.25">
      <c r="A97" t="s">
        <v>1346</v>
      </c>
      <c r="B97" t="s">
        <v>1080</v>
      </c>
      <c r="C97" t="s">
        <v>1347</v>
      </c>
      <c r="D97" t="s">
        <v>1080</v>
      </c>
      <c r="E97" t="s">
        <v>1142</v>
      </c>
    </row>
    <row r="98" spans="1:5" x14ac:dyDescent="0.25">
      <c r="A98" t="s">
        <v>1348</v>
      </c>
      <c r="B98" t="s">
        <v>1061</v>
      </c>
      <c r="C98" t="s">
        <v>1349</v>
      </c>
      <c r="D98" t="s">
        <v>1350</v>
      </c>
      <c r="E98" t="s">
        <v>1072</v>
      </c>
    </row>
    <row r="99" spans="1:5" x14ac:dyDescent="0.25">
      <c r="A99" t="s">
        <v>1351</v>
      </c>
      <c r="B99" t="s">
        <v>1076</v>
      </c>
      <c r="C99" t="s">
        <v>1352</v>
      </c>
      <c r="D99" t="s">
        <v>1353</v>
      </c>
      <c r="E99" t="s">
        <v>1354</v>
      </c>
    </row>
    <row r="100" spans="1:5" x14ac:dyDescent="0.25">
      <c r="A100" t="s">
        <v>1355</v>
      </c>
      <c r="B100" t="s">
        <v>1101</v>
      </c>
      <c r="C100" t="s">
        <v>1356</v>
      </c>
      <c r="D100" t="s">
        <v>901</v>
      </c>
      <c r="E100" t="s">
        <v>1357</v>
      </c>
    </row>
    <row r="101" spans="1:5" x14ac:dyDescent="0.25">
      <c r="A101" t="s">
        <v>1358</v>
      </c>
      <c r="B101" t="s">
        <v>1101</v>
      </c>
      <c r="C101" t="s">
        <v>1359</v>
      </c>
      <c r="D101" t="s">
        <v>901</v>
      </c>
      <c r="E101" t="s">
        <v>1360</v>
      </c>
    </row>
    <row r="102" spans="1:5" x14ac:dyDescent="0.25">
      <c r="A102" t="s">
        <v>400</v>
      </c>
      <c r="B102" t="s">
        <v>1061</v>
      </c>
      <c r="C102" t="s">
        <v>1361</v>
      </c>
      <c r="D102" t="s">
        <v>901</v>
      </c>
      <c r="E102" t="s">
        <v>1362</v>
      </c>
    </row>
    <row r="103" spans="1:5" x14ac:dyDescent="0.25">
      <c r="A103" t="s">
        <v>449</v>
      </c>
      <c r="B103" t="s">
        <v>1061</v>
      </c>
      <c r="C103" t="s">
        <v>1363</v>
      </c>
      <c r="D103" t="s">
        <v>901</v>
      </c>
      <c r="E103" t="s">
        <v>1364</v>
      </c>
    </row>
    <row r="104" spans="1:5" x14ac:dyDescent="0.25">
      <c r="A104" t="s">
        <v>1365</v>
      </c>
      <c r="B104" t="s">
        <v>1061</v>
      </c>
      <c r="C104" t="s">
        <v>1366</v>
      </c>
      <c r="D104" t="s">
        <v>901</v>
      </c>
      <c r="E104" t="s">
        <v>1367</v>
      </c>
    </row>
    <row r="105" spans="1:4" x14ac:dyDescent="0.25">
      <c r="A105" t="s">
        <v>1368</v>
      </c>
      <c r="B105" t="s">
        <v>1061</v>
      </c>
      <c r="C105" t="s">
        <v>1369</v>
      </c>
      <c r="D105" t="s">
        <v>1370</v>
      </c>
    </row>
    <row r="106" spans="1:5" x14ac:dyDescent="0.25">
      <c r="A106" t="s">
        <v>1371</v>
      </c>
      <c r="B106" t="s">
        <v>1101</v>
      </c>
      <c r="C106" t="s">
        <v>1372</v>
      </c>
      <c r="D106" t="s">
        <v>901</v>
      </c>
      <c r="E106" t="s">
        <v>1373</v>
      </c>
    </row>
    <row r="107" spans="1:5" x14ac:dyDescent="0.25">
      <c r="A107" s="11" t="s">
        <v>1374</v>
      </c>
      <c r="B107" s="11" t="s">
        <v>1076</v>
      </c>
      <c r="C107" s="9" t="s">
        <v>1375</v>
      </c>
      <c r="D107" s="11" t="s">
        <v>876</v>
      </c>
      <c r="E107" s="9" t="s">
        <v>1376</v>
      </c>
    </row>
    <row r="108" spans="1:5" x14ac:dyDescent="0.25">
      <c r="A108" s="10" t="s">
        <v>1377</v>
      </c>
      <c r="B108" s="10" t="s">
        <v>1080</v>
      </c>
      <c r="C108" s="6" t="s">
        <v>1378</v>
      </c>
      <c r="D108" s="10" t="s">
        <v>876</v>
      </c>
      <c r="E108" s="6" t="s">
        <v>1379</v>
      </c>
    </row>
    <row r="109" spans="1:5" x14ac:dyDescent="0.25">
      <c r="A109" s="11" t="s">
        <v>1380</v>
      </c>
      <c r="B109" s="11" t="s">
        <v>1061</v>
      </c>
      <c r="C109" s="9" t="s">
        <v>1381</v>
      </c>
      <c r="D109" s="11" t="s">
        <v>876</v>
      </c>
      <c r="E109" s="9" t="s">
        <v>1382</v>
      </c>
    </row>
    <row r="110" spans="1:5" x14ac:dyDescent="0.25">
      <c r="A110" s="10" t="s">
        <v>1383</v>
      </c>
      <c r="B110" s="10" t="s">
        <v>1080</v>
      </c>
      <c r="C110" s="6" t="s">
        <v>1384</v>
      </c>
      <c r="D110" s="10" t="s">
        <v>876</v>
      </c>
      <c r="E110" s="6" t="s">
        <v>1385</v>
      </c>
    </row>
    <row r="111" spans="1:5" x14ac:dyDescent="0.25">
      <c r="A111" s="11" t="s">
        <v>1386</v>
      </c>
      <c r="B111" s="11" t="s">
        <v>1080</v>
      </c>
      <c r="C111" s="9" t="s">
        <v>1387</v>
      </c>
      <c r="D111" s="11" t="s">
        <v>876</v>
      </c>
      <c r="E111" s="9" t="s">
        <v>1388</v>
      </c>
    </row>
    <row r="112" spans="1:5" x14ac:dyDescent="0.25">
      <c r="A112" s="10" t="s">
        <v>1389</v>
      </c>
      <c r="B112" s="10" t="s">
        <v>1061</v>
      </c>
      <c r="C112" s="6" t="s">
        <v>1390</v>
      </c>
      <c r="D112" s="10" t="s">
        <v>876</v>
      </c>
      <c r="E112" s="6" t="s">
        <v>1391</v>
      </c>
    </row>
    <row r="113" spans="1:5" x14ac:dyDescent="0.25">
      <c r="A113" s="11" t="s">
        <v>1376</v>
      </c>
      <c r="B113" s="11" t="s">
        <v>1080</v>
      </c>
      <c r="C113" s="9" t="s">
        <v>1392</v>
      </c>
      <c r="D113" s="11" t="s">
        <v>876</v>
      </c>
      <c r="E113" s="9" t="s">
        <v>1393</v>
      </c>
    </row>
    <row r="114" spans="1:5" x14ac:dyDescent="0.25">
      <c r="A114" s="10" t="s">
        <v>1394</v>
      </c>
      <c r="B114" s="10" t="s">
        <v>1080</v>
      </c>
      <c r="C114" s="6" t="s">
        <v>1395</v>
      </c>
      <c r="D114" s="10" t="s">
        <v>876</v>
      </c>
      <c r="E114" s="6" t="s">
        <v>1383</v>
      </c>
    </row>
    <row r="115" spans="1:5" x14ac:dyDescent="0.25">
      <c r="A115" s="11" t="s">
        <v>526</v>
      </c>
      <c r="B115" s="11" t="s">
        <v>1061</v>
      </c>
      <c r="C115" s="9" t="s">
        <v>1396</v>
      </c>
      <c r="D115" s="11" t="s">
        <v>876</v>
      </c>
      <c r="E115" s="9" t="s">
        <v>1397</v>
      </c>
    </row>
    <row r="116" spans="1:5" x14ac:dyDescent="0.25">
      <c r="A116" s="10" t="s">
        <v>1398</v>
      </c>
      <c r="B116" s="10" t="s">
        <v>1061</v>
      </c>
      <c r="C116" s="6" t="s">
        <v>1399</v>
      </c>
      <c r="D116" s="10" t="s">
        <v>876</v>
      </c>
      <c r="E116" s="6" t="s">
        <v>526</v>
      </c>
    </row>
    <row r="117" spans="1:5" x14ac:dyDescent="0.25">
      <c r="A117" s="11" t="s">
        <v>1400</v>
      </c>
      <c r="B117" s="11" t="s">
        <v>1080</v>
      </c>
      <c r="C117" s="9" t="s">
        <v>1401</v>
      </c>
      <c r="D117" s="11" t="s">
        <v>876</v>
      </c>
      <c r="E117" s="9" t="s">
        <v>1402</v>
      </c>
    </row>
    <row r="118" spans="1:5" x14ac:dyDescent="0.25">
      <c r="A118" s="10" t="s">
        <v>1403</v>
      </c>
      <c r="B118" s="10" t="s">
        <v>1061</v>
      </c>
      <c r="C118" s="6" t="s">
        <v>1404</v>
      </c>
      <c r="D118" s="10" t="s">
        <v>876</v>
      </c>
      <c r="E118" s="6" t="s">
        <v>1405</v>
      </c>
    </row>
    <row r="119" spans="1:5" x14ac:dyDescent="0.25">
      <c r="A119" s="11" t="s">
        <v>1406</v>
      </c>
      <c r="B119" s="11" t="s">
        <v>1061</v>
      </c>
      <c r="C119" s="9" t="s">
        <v>1407</v>
      </c>
      <c r="D119" s="11" t="s">
        <v>876</v>
      </c>
      <c r="E119" s="9" t="s">
        <v>1408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25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4" x14ac:dyDescent="0.25">
      <c r="A1" t="s">
        <v>64</v>
      </c>
      <c r="B1" t="s">
        <v>63</v>
      </c>
      <c r="C1" t="s">
        <v>1409</v>
      </c>
      <c r="D1" t="s">
        <v>621</v>
      </c>
    </row>
    <row r="2" spans="1:4" x14ac:dyDescent="0.25">
      <c r="A2" t="s">
        <v>80</v>
      </c>
      <c r="B2" t="s">
        <v>1410</v>
      </c>
      <c r="C2" t="s">
        <v>1411</v>
      </c>
      <c r="D2" t="s">
        <v>1412</v>
      </c>
    </row>
    <row r="3" spans="1:4" x14ac:dyDescent="0.25">
      <c r="A3" t="s">
        <v>93</v>
      </c>
      <c r="B3" t="s">
        <v>1410</v>
      </c>
      <c r="C3" t="s">
        <v>1413</v>
      </c>
      <c r="D3" t="s">
        <v>1414</v>
      </c>
    </row>
    <row r="4" spans="1:4" x14ac:dyDescent="0.25">
      <c r="A4" t="s">
        <v>107</v>
      </c>
      <c r="B4" t="s">
        <v>1410</v>
      </c>
      <c r="C4" t="s">
        <v>1415</v>
      </c>
      <c r="D4" t="s">
        <v>1416</v>
      </c>
    </row>
    <row r="5" spans="1:4" x14ac:dyDescent="0.25">
      <c r="A5" t="s">
        <v>120</v>
      </c>
      <c r="B5" t="s">
        <v>1410</v>
      </c>
      <c r="C5" t="s">
        <v>1417</v>
      </c>
      <c r="D5" t="s">
        <v>1418</v>
      </c>
    </row>
    <row r="6" spans="1:4" x14ac:dyDescent="0.25">
      <c r="A6" t="s">
        <v>133</v>
      </c>
      <c r="B6" t="s">
        <v>1419</v>
      </c>
      <c r="C6" t="s">
        <v>1420</v>
      </c>
      <c r="D6" t="s">
        <v>1421</v>
      </c>
    </row>
    <row r="7" spans="1:4" x14ac:dyDescent="0.25">
      <c r="A7" t="s">
        <v>147</v>
      </c>
      <c r="B7" t="s">
        <v>1419</v>
      </c>
      <c r="C7" t="s">
        <v>1422</v>
      </c>
      <c r="D7" t="s">
        <v>1423</v>
      </c>
    </row>
    <row r="8" spans="1:4" x14ac:dyDescent="0.25">
      <c r="A8" t="s">
        <v>161</v>
      </c>
      <c r="B8" t="s">
        <v>1419</v>
      </c>
      <c r="C8" t="s">
        <v>1424</v>
      </c>
      <c r="D8" t="s">
        <v>1425</v>
      </c>
    </row>
    <row r="9" spans="1:4" x14ac:dyDescent="0.25">
      <c r="A9" t="s">
        <v>174</v>
      </c>
      <c r="B9" t="s">
        <v>1419</v>
      </c>
      <c r="C9" t="s">
        <v>1426</v>
      </c>
      <c r="D9" t="s">
        <v>1427</v>
      </c>
    </row>
    <row r="10" spans="1:4" x14ac:dyDescent="0.25">
      <c r="A10" t="s">
        <v>866</v>
      </c>
      <c r="B10" t="s">
        <v>1428</v>
      </c>
      <c r="C10" t="s">
        <v>1429</v>
      </c>
      <c r="D10" t="s">
        <v>1430</v>
      </c>
    </row>
    <row r="11" spans="1:4" x14ac:dyDescent="0.25">
      <c r="A11" t="s">
        <v>1041</v>
      </c>
      <c r="B11" t="s">
        <v>1428</v>
      </c>
      <c r="C11" t="s">
        <v>1431</v>
      </c>
      <c r="D11" t="s">
        <v>1432</v>
      </c>
    </row>
    <row r="12" spans="1:4" x14ac:dyDescent="0.25">
      <c r="A12" t="s">
        <v>903</v>
      </c>
      <c r="B12" t="s">
        <v>1428</v>
      </c>
      <c r="C12" t="s">
        <v>1433</v>
      </c>
      <c r="D12" t="s">
        <v>1434</v>
      </c>
    </row>
    <row r="13" spans="1:4" x14ac:dyDescent="0.25">
      <c r="A13" t="s">
        <v>910</v>
      </c>
      <c r="B13" t="s">
        <v>1428</v>
      </c>
      <c r="C13" t="s">
        <v>1435</v>
      </c>
      <c r="D13" t="s">
        <v>1436</v>
      </c>
    </row>
    <row r="14" spans="1:4" x14ac:dyDescent="0.25">
      <c r="A14" t="s">
        <v>917</v>
      </c>
      <c r="B14" t="s">
        <v>1437</v>
      </c>
      <c r="C14" t="s">
        <v>1438</v>
      </c>
      <c r="D14" t="s">
        <v>1439</v>
      </c>
    </row>
    <row r="15" spans="1:4" x14ac:dyDescent="0.25">
      <c r="A15" t="s">
        <v>924</v>
      </c>
      <c r="B15" t="s">
        <v>1437</v>
      </c>
      <c r="C15" t="s">
        <v>1440</v>
      </c>
      <c r="D15" t="s">
        <v>1441</v>
      </c>
    </row>
    <row r="16" spans="1:4" x14ac:dyDescent="0.25">
      <c r="A16" t="s">
        <v>930</v>
      </c>
      <c r="B16" t="s">
        <v>1437</v>
      </c>
      <c r="C16" t="s">
        <v>1442</v>
      </c>
      <c r="D16" t="s">
        <v>1443</v>
      </c>
    </row>
    <row r="17" spans="1:4" x14ac:dyDescent="0.25">
      <c r="A17" t="s">
        <v>937</v>
      </c>
      <c r="B17" t="s">
        <v>1437</v>
      </c>
      <c r="C17" t="s">
        <v>1444</v>
      </c>
      <c r="D17" t="s">
        <v>1445</v>
      </c>
    </row>
    <row r="18" spans="1:4" x14ac:dyDescent="0.25">
      <c r="A18" t="s">
        <v>944</v>
      </c>
      <c r="B18" t="s">
        <v>1299</v>
      </c>
      <c r="C18" t="s">
        <v>1446</v>
      </c>
      <c r="D18" t="s">
        <v>1447</v>
      </c>
    </row>
    <row r="19" spans="1:4" x14ac:dyDescent="0.25">
      <c r="A19" t="s">
        <v>951</v>
      </c>
      <c r="B19" t="s">
        <v>1299</v>
      </c>
      <c r="C19" t="s">
        <v>1448</v>
      </c>
      <c r="D19" t="s">
        <v>1449</v>
      </c>
    </row>
    <row r="20" spans="1:4" x14ac:dyDescent="0.25">
      <c r="A20" t="s">
        <v>1450</v>
      </c>
      <c r="B20" t="s">
        <v>1299</v>
      </c>
      <c r="C20" t="s">
        <v>1451</v>
      </c>
      <c r="D20" t="s">
        <v>1452</v>
      </c>
    </row>
    <row r="21" spans="1:4" x14ac:dyDescent="0.25">
      <c r="A21" t="s">
        <v>1453</v>
      </c>
      <c r="B21" t="s">
        <v>1299</v>
      </c>
      <c r="C21" t="s">
        <v>1454</v>
      </c>
      <c r="D21" t="s">
        <v>1455</v>
      </c>
    </row>
    <row r="22" spans="1:4" x14ac:dyDescent="0.25">
      <c r="A22" t="s">
        <v>1456</v>
      </c>
      <c r="B22" t="s">
        <v>1457</v>
      </c>
      <c r="C22" t="s">
        <v>1458</v>
      </c>
      <c r="D22" t="s">
        <v>1459</v>
      </c>
    </row>
    <row r="23" spans="1:4" x14ac:dyDescent="0.25">
      <c r="A23" t="s">
        <v>958</v>
      </c>
      <c r="B23" t="s">
        <v>1457</v>
      </c>
      <c r="C23" t="s">
        <v>1460</v>
      </c>
      <c r="D23" t="s">
        <v>1461</v>
      </c>
    </row>
    <row r="24" spans="1:4" x14ac:dyDescent="0.25">
      <c r="A24" t="s">
        <v>964</v>
      </c>
      <c r="B24" t="s">
        <v>1457</v>
      </c>
      <c r="C24" t="s">
        <v>1462</v>
      </c>
      <c r="D24" t="s">
        <v>1463</v>
      </c>
    </row>
    <row r="25" spans="1:4" x14ac:dyDescent="0.25">
      <c r="A25" t="s">
        <v>1464</v>
      </c>
      <c r="B25" t="s">
        <v>1457</v>
      </c>
      <c r="C25" t="s">
        <v>1465</v>
      </c>
      <c r="D25" t="s">
        <v>1466</v>
      </c>
    </row>
  </sheetData>
  <autoFilter ref="A1:D25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421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2" x14ac:dyDescent="0.25">
      <c r="A1" t="s">
        <v>1467</v>
      </c>
      <c r="B1" t="s">
        <v>62</v>
      </c>
    </row>
    <row r="2" spans="1:2" x14ac:dyDescent="0.25">
      <c r="A2" t="s">
        <v>1468</v>
      </c>
      <c r="B2" t="s">
        <v>1469</v>
      </c>
    </row>
    <row r="3" spans="1:2" x14ac:dyDescent="0.25">
      <c r="A3" t="s">
        <v>1470</v>
      </c>
      <c r="B3" t="s">
        <v>1471</v>
      </c>
    </row>
    <row r="4" spans="1:2" x14ac:dyDescent="0.25">
      <c r="A4" t="s">
        <v>1472</v>
      </c>
      <c r="B4" t="s">
        <v>1473</v>
      </c>
    </row>
    <row r="5" spans="1:2" x14ac:dyDescent="0.25">
      <c r="A5" t="s">
        <v>1474</v>
      </c>
      <c r="B5" t="s">
        <v>1475</v>
      </c>
    </row>
    <row r="6" spans="1:2" x14ac:dyDescent="0.25">
      <c r="A6" t="s">
        <v>1476</v>
      </c>
      <c r="B6" t="s">
        <v>1477</v>
      </c>
    </row>
    <row r="7" spans="1:2" x14ac:dyDescent="0.25">
      <c r="A7" t="s">
        <v>1478</v>
      </c>
      <c r="B7" t="s">
        <v>1479</v>
      </c>
    </row>
    <row r="8" spans="1:2" x14ac:dyDescent="0.25">
      <c r="A8" t="s">
        <v>1480</v>
      </c>
      <c r="B8" t="s">
        <v>1481</v>
      </c>
    </row>
    <row r="9" spans="1:2" x14ac:dyDescent="0.25">
      <c r="A9" t="s">
        <v>1482</v>
      </c>
      <c r="B9" t="s">
        <v>1483</v>
      </c>
    </row>
    <row r="10" spans="1:2" x14ac:dyDescent="0.25">
      <c r="A10" t="s">
        <v>1484</v>
      </c>
      <c r="B10" t="s">
        <v>1469</v>
      </c>
    </row>
    <row r="11" spans="1:2" x14ac:dyDescent="0.25">
      <c r="A11" t="s">
        <v>1485</v>
      </c>
      <c r="B11" t="s">
        <v>1471</v>
      </c>
    </row>
    <row r="12" spans="1:2" x14ac:dyDescent="0.25">
      <c r="A12" t="s">
        <v>1486</v>
      </c>
      <c r="B12" t="s">
        <v>1475</v>
      </c>
    </row>
    <row r="13" spans="1:2" x14ac:dyDescent="0.25">
      <c r="A13" t="s">
        <v>1487</v>
      </c>
      <c r="B13" t="s">
        <v>1477</v>
      </c>
    </row>
    <row r="14" spans="1:2" x14ac:dyDescent="0.25">
      <c r="A14" t="s">
        <v>1488</v>
      </c>
      <c r="B14" t="s">
        <v>1489</v>
      </c>
    </row>
    <row r="15" spans="1:2" x14ac:dyDescent="0.25">
      <c r="A15" t="s">
        <v>1490</v>
      </c>
      <c r="B15" t="s">
        <v>1491</v>
      </c>
    </row>
    <row r="16" spans="1:2" x14ac:dyDescent="0.25">
      <c r="A16" t="s">
        <v>1492</v>
      </c>
      <c r="B16" t="s">
        <v>1493</v>
      </c>
    </row>
    <row r="17" spans="1:2" x14ac:dyDescent="0.25">
      <c r="A17" t="s">
        <v>1494</v>
      </c>
      <c r="B17" t="s">
        <v>1495</v>
      </c>
    </row>
    <row r="18" spans="1:2" x14ac:dyDescent="0.25">
      <c r="A18" t="s">
        <v>1496</v>
      </c>
      <c r="B18" t="s">
        <v>1497</v>
      </c>
    </row>
    <row r="19" spans="1:2" x14ac:dyDescent="0.25">
      <c r="A19" t="s">
        <v>1498</v>
      </c>
      <c r="B19" t="s">
        <v>1499</v>
      </c>
    </row>
    <row r="20" spans="1:2" x14ac:dyDescent="0.25">
      <c r="A20" t="s">
        <v>1500</v>
      </c>
      <c r="B20" t="s">
        <v>1501</v>
      </c>
    </row>
    <row r="21" spans="1:2" x14ac:dyDescent="0.25">
      <c r="A21" t="s">
        <v>1502</v>
      </c>
      <c r="B21" t="s">
        <v>1503</v>
      </c>
    </row>
    <row r="22" spans="1:2" x14ac:dyDescent="0.25">
      <c r="A22" t="s">
        <v>1504</v>
      </c>
      <c r="B22" t="s">
        <v>1505</v>
      </c>
    </row>
    <row r="23" spans="1:2" x14ac:dyDescent="0.25">
      <c r="A23" t="s">
        <v>1506</v>
      </c>
      <c r="B23" t="s">
        <v>1481</v>
      </c>
    </row>
    <row r="24" spans="1:2" x14ac:dyDescent="0.25">
      <c r="A24" t="s">
        <v>1507</v>
      </c>
      <c r="B24" t="s">
        <v>1508</v>
      </c>
    </row>
    <row r="25" spans="1:2" x14ac:dyDescent="0.25">
      <c r="A25" t="s">
        <v>1509</v>
      </c>
      <c r="B25" t="s">
        <v>1469</v>
      </c>
    </row>
    <row r="26" spans="1:2" x14ac:dyDescent="0.25">
      <c r="A26" t="s">
        <v>1510</v>
      </c>
      <c r="B26" t="s">
        <v>1471</v>
      </c>
    </row>
    <row r="27" spans="1:2" x14ac:dyDescent="0.25">
      <c r="A27" t="s">
        <v>1511</v>
      </c>
      <c r="B27" t="s">
        <v>1512</v>
      </c>
    </row>
    <row r="28" spans="1:2" x14ac:dyDescent="0.25">
      <c r="A28" t="s">
        <v>1513</v>
      </c>
      <c r="B28" t="s">
        <v>1475</v>
      </c>
    </row>
    <row r="29" spans="1:2" x14ac:dyDescent="0.25">
      <c r="A29" t="s">
        <v>1514</v>
      </c>
      <c r="B29" t="s">
        <v>1477</v>
      </c>
    </row>
    <row r="30" spans="1:2" x14ac:dyDescent="0.25">
      <c r="A30" t="s">
        <v>1515</v>
      </c>
      <c r="B30" t="s">
        <v>1479</v>
      </c>
    </row>
    <row r="31" spans="1:2" x14ac:dyDescent="0.25">
      <c r="A31" t="s">
        <v>1516</v>
      </c>
      <c r="B31" t="s">
        <v>1481</v>
      </c>
    </row>
    <row r="32" spans="1:2" x14ac:dyDescent="0.25">
      <c r="A32" t="s">
        <v>1517</v>
      </c>
      <c r="B32" t="s">
        <v>1518</v>
      </c>
    </row>
    <row r="33" spans="1:2" x14ac:dyDescent="0.25">
      <c r="A33" t="s">
        <v>1519</v>
      </c>
      <c r="B33" t="s">
        <v>1469</v>
      </c>
    </row>
    <row r="34" spans="1:2" x14ac:dyDescent="0.25">
      <c r="A34" t="s">
        <v>1520</v>
      </c>
      <c r="B34" t="s">
        <v>1471</v>
      </c>
    </row>
    <row r="35" spans="1:2" x14ac:dyDescent="0.25">
      <c r="A35" t="s">
        <v>1521</v>
      </c>
      <c r="B35" t="s">
        <v>1522</v>
      </c>
    </row>
    <row r="36" spans="1:2" x14ac:dyDescent="0.25">
      <c r="A36" t="s">
        <v>1523</v>
      </c>
      <c r="B36" t="s">
        <v>1475</v>
      </c>
    </row>
    <row r="37" spans="1:2" x14ac:dyDescent="0.25">
      <c r="A37" t="s">
        <v>1524</v>
      </c>
      <c r="B37" t="s">
        <v>1477</v>
      </c>
    </row>
    <row r="38" spans="1:2" x14ac:dyDescent="0.25">
      <c r="A38" t="s">
        <v>1525</v>
      </c>
      <c r="B38" t="s">
        <v>1479</v>
      </c>
    </row>
    <row r="39" spans="1:2" x14ac:dyDescent="0.25">
      <c r="A39" t="s">
        <v>1526</v>
      </c>
      <c r="B39" t="s">
        <v>1481</v>
      </c>
    </row>
    <row r="40" spans="1:2" x14ac:dyDescent="0.25">
      <c r="A40" t="s">
        <v>1527</v>
      </c>
      <c r="B40" t="s">
        <v>1528</v>
      </c>
    </row>
    <row r="41" spans="1:2" x14ac:dyDescent="0.25">
      <c r="A41" t="s">
        <v>1529</v>
      </c>
      <c r="B41" t="s">
        <v>1469</v>
      </c>
    </row>
    <row r="42" spans="1:2" x14ac:dyDescent="0.25">
      <c r="A42" t="s">
        <v>1530</v>
      </c>
      <c r="B42" t="s">
        <v>1471</v>
      </c>
    </row>
    <row r="43" spans="1:2" x14ac:dyDescent="0.25">
      <c r="A43" t="s">
        <v>1531</v>
      </c>
      <c r="B43" t="s">
        <v>1532</v>
      </c>
    </row>
    <row r="44" spans="1:2" x14ac:dyDescent="0.25">
      <c r="A44" t="s">
        <v>1533</v>
      </c>
      <c r="B44" t="s">
        <v>1475</v>
      </c>
    </row>
    <row r="45" spans="1:2" x14ac:dyDescent="0.25">
      <c r="A45" t="s">
        <v>1534</v>
      </c>
      <c r="B45" t="s">
        <v>1477</v>
      </c>
    </row>
    <row r="46" spans="1:2" x14ac:dyDescent="0.25">
      <c r="A46" t="s">
        <v>1535</v>
      </c>
      <c r="B46" t="s">
        <v>1479</v>
      </c>
    </row>
    <row r="47" spans="1:2" x14ac:dyDescent="0.25">
      <c r="A47" t="s">
        <v>1536</v>
      </c>
      <c r="B47" t="s">
        <v>1481</v>
      </c>
    </row>
    <row r="48" spans="1:2" x14ac:dyDescent="0.25">
      <c r="A48" t="s">
        <v>1537</v>
      </c>
      <c r="B48" t="s">
        <v>1538</v>
      </c>
    </row>
    <row r="49" spans="1:2" x14ac:dyDescent="0.25">
      <c r="A49" t="s">
        <v>1539</v>
      </c>
      <c r="B49" t="s">
        <v>1469</v>
      </c>
    </row>
    <row r="50" spans="1:2" x14ac:dyDescent="0.25">
      <c r="A50" t="s">
        <v>1540</v>
      </c>
      <c r="B50" t="s">
        <v>1471</v>
      </c>
    </row>
    <row r="51" spans="1:2" x14ac:dyDescent="0.25">
      <c r="A51" t="s">
        <v>1541</v>
      </c>
      <c r="B51" t="s">
        <v>1475</v>
      </c>
    </row>
    <row r="52" spans="1:2" x14ac:dyDescent="0.25">
      <c r="A52" t="s">
        <v>1542</v>
      </c>
      <c r="B52" t="s">
        <v>1477</v>
      </c>
    </row>
    <row r="53" spans="1:2" x14ac:dyDescent="0.25">
      <c r="A53" t="s">
        <v>1543</v>
      </c>
      <c r="B53" t="s">
        <v>1479</v>
      </c>
    </row>
    <row r="54" spans="1:2" x14ac:dyDescent="0.25">
      <c r="A54" t="s">
        <v>1544</v>
      </c>
      <c r="B54" t="s">
        <v>1481</v>
      </c>
    </row>
    <row r="55" spans="1:2" x14ac:dyDescent="0.25">
      <c r="A55" t="s">
        <v>1545</v>
      </c>
      <c r="B55" t="s">
        <v>1546</v>
      </c>
    </row>
    <row r="56" spans="1:2" x14ac:dyDescent="0.25">
      <c r="A56" t="s">
        <v>1547</v>
      </c>
      <c r="B56" t="s">
        <v>1469</v>
      </c>
    </row>
    <row r="57" spans="1:2" x14ac:dyDescent="0.25">
      <c r="A57" t="s">
        <v>1548</v>
      </c>
      <c r="B57" t="s">
        <v>1471</v>
      </c>
    </row>
    <row r="58" spans="1:2" x14ac:dyDescent="0.25">
      <c r="A58" t="s">
        <v>1549</v>
      </c>
      <c r="B58" t="s">
        <v>1550</v>
      </c>
    </row>
    <row r="59" spans="1:2" x14ac:dyDescent="0.25">
      <c r="A59" t="s">
        <v>1551</v>
      </c>
      <c r="B59" t="s">
        <v>1475</v>
      </c>
    </row>
    <row r="60" spans="1:2" x14ac:dyDescent="0.25">
      <c r="A60" t="s">
        <v>1552</v>
      </c>
      <c r="B60" t="s">
        <v>1477</v>
      </c>
    </row>
    <row r="61" spans="1:2" x14ac:dyDescent="0.25">
      <c r="A61" t="s">
        <v>1553</v>
      </c>
      <c r="B61" t="s">
        <v>1479</v>
      </c>
    </row>
    <row r="62" spans="1:2" x14ac:dyDescent="0.25">
      <c r="A62" t="s">
        <v>1554</v>
      </c>
      <c r="B62" t="s">
        <v>1481</v>
      </c>
    </row>
    <row r="63" spans="1:2" x14ac:dyDescent="0.25">
      <c r="A63" t="s">
        <v>1555</v>
      </c>
      <c r="B63" t="s">
        <v>1556</v>
      </c>
    </row>
    <row r="64" spans="1:2" x14ac:dyDescent="0.25">
      <c r="A64" t="s">
        <v>1557</v>
      </c>
      <c r="B64" t="s">
        <v>1469</v>
      </c>
    </row>
    <row r="65" spans="1:2" x14ac:dyDescent="0.25">
      <c r="A65" t="s">
        <v>1558</v>
      </c>
      <c r="B65" t="s">
        <v>1559</v>
      </c>
    </row>
    <row r="66" spans="1:2" x14ac:dyDescent="0.25">
      <c r="A66" t="s">
        <v>1560</v>
      </c>
      <c r="B66" t="s">
        <v>1561</v>
      </c>
    </row>
    <row r="67" spans="1:2" x14ac:dyDescent="0.25">
      <c r="A67" t="s">
        <v>1562</v>
      </c>
      <c r="B67" t="s">
        <v>1471</v>
      </c>
    </row>
    <row r="68" spans="1:2" x14ac:dyDescent="0.25">
      <c r="A68" t="s">
        <v>1563</v>
      </c>
      <c r="B68" t="s">
        <v>1564</v>
      </c>
    </row>
    <row r="69" spans="1:2" x14ac:dyDescent="0.25">
      <c r="A69" t="s">
        <v>1565</v>
      </c>
      <c r="B69" t="s">
        <v>1475</v>
      </c>
    </row>
    <row r="70" spans="1:2" x14ac:dyDescent="0.25">
      <c r="A70" t="s">
        <v>1566</v>
      </c>
      <c r="B70" t="s">
        <v>1567</v>
      </c>
    </row>
    <row r="71" spans="1:2" x14ac:dyDescent="0.25">
      <c r="A71" t="s">
        <v>1568</v>
      </c>
      <c r="B71" t="s">
        <v>1569</v>
      </c>
    </row>
    <row r="72" spans="1:2" x14ac:dyDescent="0.25">
      <c r="A72" t="s">
        <v>1570</v>
      </c>
      <c r="B72" t="s">
        <v>1571</v>
      </c>
    </row>
    <row r="73" spans="1:2" x14ac:dyDescent="0.25">
      <c r="A73" t="s">
        <v>1572</v>
      </c>
      <c r="B73" t="s">
        <v>1573</v>
      </c>
    </row>
    <row r="74" spans="1:2" x14ac:dyDescent="0.25">
      <c r="A74" t="s">
        <v>1574</v>
      </c>
      <c r="B74" t="s">
        <v>1575</v>
      </c>
    </row>
    <row r="75" spans="1:2" x14ac:dyDescent="0.25">
      <c r="A75" t="s">
        <v>1576</v>
      </c>
      <c r="B75" t="s">
        <v>1495</v>
      </c>
    </row>
    <row r="76" spans="1:2" x14ac:dyDescent="0.25">
      <c r="A76" t="s">
        <v>1577</v>
      </c>
      <c r="B76" t="s">
        <v>1497</v>
      </c>
    </row>
    <row r="77" spans="1:2" x14ac:dyDescent="0.25">
      <c r="A77" t="s">
        <v>1578</v>
      </c>
      <c r="B77" t="s">
        <v>1499</v>
      </c>
    </row>
    <row r="78" spans="1:2" x14ac:dyDescent="0.25">
      <c r="A78" t="s">
        <v>1579</v>
      </c>
      <c r="B78" t="s">
        <v>1580</v>
      </c>
    </row>
    <row r="79" spans="1:2" x14ac:dyDescent="0.25">
      <c r="A79" t="s">
        <v>1581</v>
      </c>
      <c r="B79" t="s">
        <v>1582</v>
      </c>
    </row>
    <row r="80" spans="1:2" x14ac:dyDescent="0.25">
      <c r="A80" t="s">
        <v>1583</v>
      </c>
      <c r="B80" t="s">
        <v>1584</v>
      </c>
    </row>
    <row r="81" spans="1:2" x14ac:dyDescent="0.25">
      <c r="A81" t="s">
        <v>1585</v>
      </c>
      <c r="B81" t="s">
        <v>1586</v>
      </c>
    </row>
    <row r="82" spans="1:2" x14ac:dyDescent="0.25">
      <c r="A82" t="s">
        <v>1587</v>
      </c>
      <c r="B82" t="s">
        <v>1588</v>
      </c>
    </row>
    <row r="83" spans="1:2" x14ac:dyDescent="0.25">
      <c r="A83" t="s">
        <v>1589</v>
      </c>
      <c r="B83" t="s">
        <v>1590</v>
      </c>
    </row>
    <row r="84" spans="1:2" x14ac:dyDescent="0.25">
      <c r="A84" t="s">
        <v>1591</v>
      </c>
      <c r="B84" t="s">
        <v>1592</v>
      </c>
    </row>
    <row r="85" spans="1:2" x14ac:dyDescent="0.25">
      <c r="A85" t="s">
        <v>1593</v>
      </c>
      <c r="B85" t="s">
        <v>1594</v>
      </c>
    </row>
    <row r="86" spans="1:2" x14ac:dyDescent="0.25">
      <c r="A86" t="s">
        <v>1595</v>
      </c>
      <c r="B86" t="s">
        <v>1596</v>
      </c>
    </row>
    <row r="87" spans="1:2" x14ac:dyDescent="0.25">
      <c r="A87" t="s">
        <v>1597</v>
      </c>
      <c r="B87" t="s">
        <v>1501</v>
      </c>
    </row>
    <row r="88" spans="1:2" x14ac:dyDescent="0.25">
      <c r="A88" t="s">
        <v>1598</v>
      </c>
      <c r="B88" t="s">
        <v>1503</v>
      </c>
    </row>
    <row r="89" spans="1:2" x14ac:dyDescent="0.25">
      <c r="A89" t="s">
        <v>1599</v>
      </c>
      <c r="B89" t="s">
        <v>1505</v>
      </c>
    </row>
    <row r="90" spans="1:2" x14ac:dyDescent="0.25">
      <c r="A90" t="s">
        <v>1600</v>
      </c>
      <c r="B90" t="s">
        <v>1601</v>
      </c>
    </row>
    <row r="91" spans="1:2" x14ac:dyDescent="0.25">
      <c r="A91" t="s">
        <v>1602</v>
      </c>
      <c r="B91" t="s">
        <v>1603</v>
      </c>
    </row>
    <row r="92" spans="1:2" x14ac:dyDescent="0.25">
      <c r="A92" t="s">
        <v>1604</v>
      </c>
      <c r="B92" t="s">
        <v>1481</v>
      </c>
    </row>
    <row r="93" spans="1:2" x14ac:dyDescent="0.25">
      <c r="A93" t="s">
        <v>1605</v>
      </c>
      <c r="B93" t="s">
        <v>1606</v>
      </c>
    </row>
    <row r="94" spans="1:2" x14ac:dyDescent="0.25">
      <c r="A94" t="s">
        <v>1607</v>
      </c>
      <c r="B94" t="s">
        <v>1469</v>
      </c>
    </row>
    <row r="95" spans="1:2" x14ac:dyDescent="0.25">
      <c r="A95" t="s">
        <v>1608</v>
      </c>
      <c r="B95" t="s">
        <v>1609</v>
      </c>
    </row>
    <row r="96" spans="1:2" x14ac:dyDescent="0.25">
      <c r="A96" t="s">
        <v>1610</v>
      </c>
      <c r="B96" t="s">
        <v>1471</v>
      </c>
    </row>
    <row r="97" spans="1:2" x14ac:dyDescent="0.25">
      <c r="A97" t="s">
        <v>1611</v>
      </c>
      <c r="B97" t="s">
        <v>1612</v>
      </c>
    </row>
    <row r="98" spans="1:2" x14ac:dyDescent="0.25">
      <c r="A98" t="s">
        <v>1613</v>
      </c>
      <c r="B98" t="s">
        <v>1614</v>
      </c>
    </row>
    <row r="99" spans="1:2" x14ac:dyDescent="0.25">
      <c r="A99" t="s">
        <v>1615</v>
      </c>
      <c r="B99" t="s">
        <v>1475</v>
      </c>
    </row>
    <row r="100" spans="1:2" x14ac:dyDescent="0.25">
      <c r="A100" t="s">
        <v>1616</v>
      </c>
      <c r="B100" t="s">
        <v>1567</v>
      </c>
    </row>
    <row r="101" spans="1:2" x14ac:dyDescent="0.25">
      <c r="A101" t="s">
        <v>1617</v>
      </c>
      <c r="B101" t="s">
        <v>1569</v>
      </c>
    </row>
    <row r="102" spans="1:2" x14ac:dyDescent="0.25">
      <c r="A102" t="s">
        <v>1618</v>
      </c>
      <c r="B102" t="s">
        <v>1571</v>
      </c>
    </row>
    <row r="103" spans="1:2" x14ac:dyDescent="0.25">
      <c r="A103" t="s">
        <v>1619</v>
      </c>
      <c r="B103" t="s">
        <v>1573</v>
      </c>
    </row>
    <row r="104" spans="1:2" x14ac:dyDescent="0.25">
      <c r="A104" t="s">
        <v>1620</v>
      </c>
      <c r="B104" t="s">
        <v>1575</v>
      </c>
    </row>
    <row r="105" spans="1:2" x14ac:dyDescent="0.25">
      <c r="A105" t="s">
        <v>1621</v>
      </c>
      <c r="B105" t="s">
        <v>1495</v>
      </c>
    </row>
    <row r="106" spans="1:2" x14ac:dyDescent="0.25">
      <c r="A106" t="s">
        <v>1622</v>
      </c>
      <c r="B106" t="s">
        <v>1497</v>
      </c>
    </row>
    <row r="107" spans="1:2" x14ac:dyDescent="0.25">
      <c r="A107" t="s">
        <v>1623</v>
      </c>
      <c r="B107" t="s">
        <v>1499</v>
      </c>
    </row>
    <row r="108" spans="1:2" x14ac:dyDescent="0.25">
      <c r="A108" t="s">
        <v>1624</v>
      </c>
      <c r="B108" t="s">
        <v>1580</v>
      </c>
    </row>
    <row r="109" spans="1:2" x14ac:dyDescent="0.25">
      <c r="A109" t="s">
        <v>1625</v>
      </c>
      <c r="B109" t="s">
        <v>1582</v>
      </c>
    </row>
    <row r="110" spans="1:2" x14ac:dyDescent="0.25">
      <c r="A110" t="s">
        <v>1626</v>
      </c>
      <c r="B110" t="s">
        <v>1584</v>
      </c>
    </row>
    <row r="111" spans="1:2" x14ac:dyDescent="0.25">
      <c r="A111" t="s">
        <v>1627</v>
      </c>
      <c r="B111" t="s">
        <v>1586</v>
      </c>
    </row>
    <row r="112" spans="1:2" x14ac:dyDescent="0.25">
      <c r="A112" t="s">
        <v>1628</v>
      </c>
      <c r="B112" t="s">
        <v>1588</v>
      </c>
    </row>
    <row r="113" spans="1:2" x14ac:dyDescent="0.25">
      <c r="A113" t="s">
        <v>1629</v>
      </c>
      <c r="B113" t="s">
        <v>1590</v>
      </c>
    </row>
    <row r="114" spans="1:2" x14ac:dyDescent="0.25">
      <c r="A114" t="s">
        <v>1630</v>
      </c>
      <c r="B114" t="s">
        <v>1592</v>
      </c>
    </row>
    <row r="115" spans="1:2" x14ac:dyDescent="0.25">
      <c r="A115" t="s">
        <v>1631</v>
      </c>
      <c r="B115" t="s">
        <v>1594</v>
      </c>
    </row>
    <row r="116" spans="1:2" x14ac:dyDescent="0.25">
      <c r="A116" t="s">
        <v>1632</v>
      </c>
      <c r="B116" t="s">
        <v>1596</v>
      </c>
    </row>
    <row r="117" spans="1:2" x14ac:dyDescent="0.25">
      <c r="A117" t="s">
        <v>1633</v>
      </c>
      <c r="B117" t="s">
        <v>1501</v>
      </c>
    </row>
    <row r="118" spans="1:2" x14ac:dyDescent="0.25">
      <c r="A118" t="s">
        <v>1634</v>
      </c>
      <c r="B118" t="s">
        <v>1503</v>
      </c>
    </row>
    <row r="119" spans="1:2" x14ac:dyDescent="0.25">
      <c r="A119" t="s">
        <v>1635</v>
      </c>
      <c r="B119" t="s">
        <v>1505</v>
      </c>
    </row>
    <row r="120" spans="1:2" x14ac:dyDescent="0.25">
      <c r="A120" t="s">
        <v>1636</v>
      </c>
      <c r="B120" t="s">
        <v>1601</v>
      </c>
    </row>
    <row r="121" spans="1:2" x14ac:dyDescent="0.25">
      <c r="A121" t="s">
        <v>1637</v>
      </c>
      <c r="B121" t="s">
        <v>1603</v>
      </c>
    </row>
    <row r="122" spans="1:2" x14ac:dyDescent="0.25">
      <c r="A122" t="s">
        <v>1638</v>
      </c>
      <c r="B122" t="s">
        <v>1481</v>
      </c>
    </row>
    <row r="123" spans="1:2" x14ac:dyDescent="0.25">
      <c r="A123" t="s">
        <v>1639</v>
      </c>
      <c r="B123" t="s">
        <v>1640</v>
      </c>
    </row>
    <row r="124" spans="1:2" x14ac:dyDescent="0.25">
      <c r="A124" t="s">
        <v>1641</v>
      </c>
      <c r="B124" t="s">
        <v>1642</v>
      </c>
    </row>
    <row r="125" spans="1:2" x14ac:dyDescent="0.25">
      <c r="A125" t="s">
        <v>1643</v>
      </c>
      <c r="B125" t="s">
        <v>1644</v>
      </c>
    </row>
    <row r="126" spans="1:2" x14ac:dyDescent="0.25">
      <c r="A126" t="s">
        <v>1645</v>
      </c>
      <c r="B126" t="s">
        <v>1469</v>
      </c>
    </row>
    <row r="127" spans="1:2" x14ac:dyDescent="0.25">
      <c r="A127" t="s">
        <v>1646</v>
      </c>
      <c r="B127" t="s">
        <v>1647</v>
      </c>
    </row>
    <row r="128" spans="1:2" x14ac:dyDescent="0.25">
      <c r="A128" t="s">
        <v>1648</v>
      </c>
      <c r="B128" t="s">
        <v>1471</v>
      </c>
    </row>
    <row r="129" spans="1:2" x14ac:dyDescent="0.25">
      <c r="A129" t="s">
        <v>1649</v>
      </c>
      <c r="B129" t="s">
        <v>1475</v>
      </c>
    </row>
    <row r="130" spans="1:2" x14ac:dyDescent="0.25">
      <c r="A130" t="s">
        <v>1650</v>
      </c>
      <c r="B130" t="s">
        <v>1567</v>
      </c>
    </row>
    <row r="131" spans="1:2" x14ac:dyDescent="0.25">
      <c r="A131" t="s">
        <v>1651</v>
      </c>
      <c r="B131" t="s">
        <v>1569</v>
      </c>
    </row>
    <row r="132" spans="1:2" x14ac:dyDescent="0.25">
      <c r="A132" t="s">
        <v>1652</v>
      </c>
      <c r="B132" t="s">
        <v>1571</v>
      </c>
    </row>
    <row r="133" spans="1:2" x14ac:dyDescent="0.25">
      <c r="A133" t="s">
        <v>1653</v>
      </c>
      <c r="B133" t="s">
        <v>1573</v>
      </c>
    </row>
    <row r="134" spans="1:2" x14ac:dyDescent="0.25">
      <c r="A134" t="s">
        <v>1654</v>
      </c>
      <c r="B134" t="s">
        <v>1575</v>
      </c>
    </row>
    <row r="135" spans="1:2" x14ac:dyDescent="0.25">
      <c r="A135" t="s">
        <v>1655</v>
      </c>
      <c r="B135" t="s">
        <v>1495</v>
      </c>
    </row>
    <row r="136" spans="1:2" x14ac:dyDescent="0.25">
      <c r="A136" t="s">
        <v>1656</v>
      </c>
      <c r="B136" t="s">
        <v>1497</v>
      </c>
    </row>
    <row r="137" spans="1:2" x14ac:dyDescent="0.25">
      <c r="A137" t="s">
        <v>1657</v>
      </c>
      <c r="B137" t="s">
        <v>1499</v>
      </c>
    </row>
    <row r="138" spans="1:2" x14ac:dyDescent="0.25">
      <c r="A138" t="s">
        <v>1658</v>
      </c>
      <c r="B138" t="s">
        <v>1580</v>
      </c>
    </row>
    <row r="139" spans="1:2" x14ac:dyDescent="0.25">
      <c r="A139" t="s">
        <v>1659</v>
      </c>
      <c r="B139" t="s">
        <v>1582</v>
      </c>
    </row>
    <row r="140" spans="1:2" x14ac:dyDescent="0.25">
      <c r="A140" t="s">
        <v>1660</v>
      </c>
      <c r="B140" t="s">
        <v>1584</v>
      </c>
    </row>
    <row r="141" spans="1:2" x14ac:dyDescent="0.25">
      <c r="A141" t="s">
        <v>1661</v>
      </c>
      <c r="B141" t="s">
        <v>1586</v>
      </c>
    </row>
    <row r="142" spans="1:2" x14ac:dyDescent="0.25">
      <c r="A142" t="s">
        <v>1662</v>
      </c>
      <c r="B142" t="s">
        <v>1588</v>
      </c>
    </row>
    <row r="143" spans="1:2" x14ac:dyDescent="0.25">
      <c r="A143" t="s">
        <v>1663</v>
      </c>
      <c r="B143" t="s">
        <v>1590</v>
      </c>
    </row>
    <row r="144" spans="1:2" x14ac:dyDescent="0.25">
      <c r="A144" t="s">
        <v>1664</v>
      </c>
      <c r="B144" t="s">
        <v>1592</v>
      </c>
    </row>
    <row r="145" spans="1:2" x14ac:dyDescent="0.25">
      <c r="A145" t="s">
        <v>1665</v>
      </c>
      <c r="B145" t="s">
        <v>1594</v>
      </c>
    </row>
    <row r="146" spans="1:2" x14ac:dyDescent="0.25">
      <c r="A146" t="s">
        <v>1666</v>
      </c>
      <c r="B146" t="s">
        <v>1596</v>
      </c>
    </row>
    <row r="147" spans="1:2" x14ac:dyDescent="0.25">
      <c r="A147" t="s">
        <v>1667</v>
      </c>
      <c r="B147" t="s">
        <v>1501</v>
      </c>
    </row>
    <row r="148" spans="1:2" x14ac:dyDescent="0.25">
      <c r="A148" t="s">
        <v>1668</v>
      </c>
      <c r="B148" t="s">
        <v>1503</v>
      </c>
    </row>
    <row r="149" spans="1:2" x14ac:dyDescent="0.25">
      <c r="A149" t="s">
        <v>1669</v>
      </c>
      <c r="B149" t="s">
        <v>1505</v>
      </c>
    </row>
    <row r="150" spans="1:2" x14ac:dyDescent="0.25">
      <c r="A150" t="s">
        <v>1670</v>
      </c>
      <c r="B150" t="s">
        <v>1601</v>
      </c>
    </row>
    <row r="151" spans="1:2" x14ac:dyDescent="0.25">
      <c r="A151" t="s">
        <v>1671</v>
      </c>
      <c r="B151" t="s">
        <v>1603</v>
      </c>
    </row>
    <row r="152" spans="1:2" x14ac:dyDescent="0.25">
      <c r="A152" t="s">
        <v>1672</v>
      </c>
      <c r="B152" t="s">
        <v>1481</v>
      </c>
    </row>
    <row r="153" spans="1:2" x14ac:dyDescent="0.25">
      <c r="A153" t="s">
        <v>1673</v>
      </c>
      <c r="B153" t="s">
        <v>1674</v>
      </c>
    </row>
    <row r="154" spans="1:2" x14ac:dyDescent="0.25">
      <c r="A154" t="s">
        <v>1675</v>
      </c>
      <c r="B154" t="s">
        <v>1469</v>
      </c>
    </row>
    <row r="155" spans="1:2" x14ac:dyDescent="0.25">
      <c r="A155" t="s">
        <v>1676</v>
      </c>
      <c r="B155" t="s">
        <v>1677</v>
      </c>
    </row>
    <row r="156" spans="1:2" x14ac:dyDescent="0.25">
      <c r="A156" t="s">
        <v>1678</v>
      </c>
      <c r="B156" t="s">
        <v>1471</v>
      </c>
    </row>
    <row r="157" spans="1:2" x14ac:dyDescent="0.25">
      <c r="A157" t="s">
        <v>1679</v>
      </c>
      <c r="B157" t="s">
        <v>1680</v>
      </c>
    </row>
    <row r="158" spans="1:2" x14ac:dyDescent="0.25">
      <c r="A158" t="s">
        <v>1681</v>
      </c>
      <c r="B158" t="s">
        <v>1475</v>
      </c>
    </row>
    <row r="159" spans="1:2" x14ac:dyDescent="0.25">
      <c r="A159" t="s">
        <v>1682</v>
      </c>
      <c r="B159" t="s">
        <v>1567</v>
      </c>
    </row>
    <row r="160" spans="1:2" x14ac:dyDescent="0.25">
      <c r="A160" t="s">
        <v>1683</v>
      </c>
      <c r="B160" t="s">
        <v>1569</v>
      </c>
    </row>
    <row r="161" spans="1:2" x14ac:dyDescent="0.25">
      <c r="A161" t="s">
        <v>1684</v>
      </c>
      <c r="B161" t="s">
        <v>1571</v>
      </c>
    </row>
    <row r="162" spans="1:2" x14ac:dyDescent="0.25">
      <c r="A162" t="s">
        <v>1685</v>
      </c>
      <c r="B162" t="s">
        <v>1573</v>
      </c>
    </row>
    <row r="163" spans="1:2" x14ac:dyDescent="0.25">
      <c r="A163" t="s">
        <v>1686</v>
      </c>
      <c r="B163" t="s">
        <v>1575</v>
      </c>
    </row>
    <row r="164" spans="1:2" x14ac:dyDescent="0.25">
      <c r="A164" t="s">
        <v>1687</v>
      </c>
      <c r="B164" t="s">
        <v>1495</v>
      </c>
    </row>
    <row r="165" spans="1:2" x14ac:dyDescent="0.25">
      <c r="A165" t="s">
        <v>1688</v>
      </c>
      <c r="B165" t="s">
        <v>1497</v>
      </c>
    </row>
    <row r="166" spans="1:2" x14ac:dyDescent="0.25">
      <c r="A166" t="s">
        <v>1689</v>
      </c>
      <c r="B166" t="s">
        <v>1499</v>
      </c>
    </row>
    <row r="167" spans="1:2" x14ac:dyDescent="0.25">
      <c r="A167" t="s">
        <v>1690</v>
      </c>
      <c r="B167" t="s">
        <v>1580</v>
      </c>
    </row>
    <row r="168" spans="1:2" x14ac:dyDescent="0.25">
      <c r="A168" t="s">
        <v>1691</v>
      </c>
      <c r="B168" t="s">
        <v>1582</v>
      </c>
    </row>
    <row r="169" spans="1:2" x14ac:dyDescent="0.25">
      <c r="A169" t="s">
        <v>1692</v>
      </c>
      <c r="B169" t="s">
        <v>1584</v>
      </c>
    </row>
    <row r="170" spans="1:2" x14ac:dyDescent="0.25">
      <c r="A170" t="s">
        <v>1693</v>
      </c>
      <c r="B170" t="s">
        <v>1588</v>
      </c>
    </row>
    <row r="171" spans="1:2" x14ac:dyDescent="0.25">
      <c r="A171" t="s">
        <v>1694</v>
      </c>
      <c r="B171" t="s">
        <v>1590</v>
      </c>
    </row>
    <row r="172" spans="1:2" x14ac:dyDescent="0.25">
      <c r="A172" t="s">
        <v>1695</v>
      </c>
      <c r="B172" t="s">
        <v>1592</v>
      </c>
    </row>
    <row r="173" spans="1:2" x14ac:dyDescent="0.25">
      <c r="A173" t="s">
        <v>1696</v>
      </c>
      <c r="B173" t="s">
        <v>1594</v>
      </c>
    </row>
    <row r="174" spans="1:2" x14ac:dyDescent="0.25">
      <c r="A174" t="s">
        <v>1697</v>
      </c>
      <c r="B174" t="s">
        <v>1596</v>
      </c>
    </row>
    <row r="175" spans="1:2" x14ac:dyDescent="0.25">
      <c r="A175" t="s">
        <v>1698</v>
      </c>
      <c r="B175" t="s">
        <v>1501</v>
      </c>
    </row>
    <row r="176" spans="1:2" x14ac:dyDescent="0.25">
      <c r="A176" t="s">
        <v>1699</v>
      </c>
      <c r="B176" t="s">
        <v>1503</v>
      </c>
    </row>
    <row r="177" spans="1:2" x14ac:dyDescent="0.25">
      <c r="A177" t="s">
        <v>1700</v>
      </c>
      <c r="B177" t="s">
        <v>1505</v>
      </c>
    </row>
    <row r="178" spans="1:2" x14ac:dyDescent="0.25">
      <c r="A178" t="s">
        <v>1701</v>
      </c>
      <c r="B178" t="s">
        <v>1601</v>
      </c>
    </row>
    <row r="179" spans="1:2" x14ac:dyDescent="0.25">
      <c r="A179" t="s">
        <v>1702</v>
      </c>
      <c r="B179" t="s">
        <v>1603</v>
      </c>
    </row>
    <row r="180" spans="1:2" x14ac:dyDescent="0.25">
      <c r="A180" t="s">
        <v>1703</v>
      </c>
      <c r="B180" t="s">
        <v>1481</v>
      </c>
    </row>
    <row r="181" spans="1:2" x14ac:dyDescent="0.25">
      <c r="A181" t="s">
        <v>1704</v>
      </c>
      <c r="B181" t="s">
        <v>1705</v>
      </c>
    </row>
    <row r="182" spans="1:2" x14ac:dyDescent="0.25">
      <c r="A182" t="s">
        <v>1706</v>
      </c>
      <c r="B182" t="s">
        <v>1469</v>
      </c>
    </row>
    <row r="183" spans="1:2" x14ac:dyDescent="0.25">
      <c r="A183" t="s">
        <v>1707</v>
      </c>
      <c r="B183" t="s">
        <v>1708</v>
      </c>
    </row>
    <row r="184" spans="1:2" x14ac:dyDescent="0.25">
      <c r="A184" t="s">
        <v>1709</v>
      </c>
      <c r="B184" t="s">
        <v>1471</v>
      </c>
    </row>
    <row r="185" spans="1:2" x14ac:dyDescent="0.25">
      <c r="A185" t="s">
        <v>1710</v>
      </c>
      <c r="B185" t="s">
        <v>1711</v>
      </c>
    </row>
    <row r="186" spans="1:2" x14ac:dyDescent="0.25">
      <c r="A186" t="s">
        <v>1712</v>
      </c>
      <c r="B186" t="s">
        <v>1475</v>
      </c>
    </row>
    <row r="187" spans="1:2" x14ac:dyDescent="0.25">
      <c r="A187" t="s">
        <v>1713</v>
      </c>
      <c r="B187" t="s">
        <v>1567</v>
      </c>
    </row>
    <row r="188" spans="1:2" x14ac:dyDescent="0.25">
      <c r="A188" t="s">
        <v>1714</v>
      </c>
      <c r="B188" t="s">
        <v>1569</v>
      </c>
    </row>
    <row r="189" spans="1:2" x14ac:dyDescent="0.25">
      <c r="A189" t="s">
        <v>1715</v>
      </c>
      <c r="B189" t="s">
        <v>1571</v>
      </c>
    </row>
    <row r="190" spans="1:2" x14ac:dyDescent="0.25">
      <c r="A190" t="s">
        <v>1716</v>
      </c>
      <c r="B190" t="s">
        <v>1573</v>
      </c>
    </row>
    <row r="191" spans="1:2" x14ac:dyDescent="0.25">
      <c r="A191" t="s">
        <v>1717</v>
      </c>
      <c r="B191" t="s">
        <v>1575</v>
      </c>
    </row>
    <row r="192" spans="1:2" x14ac:dyDescent="0.25">
      <c r="A192" t="s">
        <v>1718</v>
      </c>
      <c r="B192" t="s">
        <v>1495</v>
      </c>
    </row>
    <row r="193" spans="1:2" x14ac:dyDescent="0.25">
      <c r="A193" t="s">
        <v>1719</v>
      </c>
      <c r="B193" t="s">
        <v>1497</v>
      </c>
    </row>
    <row r="194" spans="1:2" x14ac:dyDescent="0.25">
      <c r="A194" t="s">
        <v>1720</v>
      </c>
      <c r="B194" t="s">
        <v>1499</v>
      </c>
    </row>
    <row r="195" spans="1:2" x14ac:dyDescent="0.25">
      <c r="A195" t="s">
        <v>1721</v>
      </c>
      <c r="B195" t="s">
        <v>1580</v>
      </c>
    </row>
    <row r="196" spans="1:2" x14ac:dyDescent="0.25">
      <c r="A196" t="s">
        <v>1722</v>
      </c>
      <c r="B196" t="s">
        <v>1582</v>
      </c>
    </row>
    <row r="197" spans="1:2" x14ac:dyDescent="0.25">
      <c r="A197" t="s">
        <v>1723</v>
      </c>
      <c r="B197" t="s">
        <v>1584</v>
      </c>
    </row>
    <row r="198" spans="1:2" x14ac:dyDescent="0.25">
      <c r="A198" t="s">
        <v>1724</v>
      </c>
      <c r="B198" t="s">
        <v>1588</v>
      </c>
    </row>
    <row r="199" spans="1:2" x14ac:dyDescent="0.25">
      <c r="A199" t="s">
        <v>1725</v>
      </c>
      <c r="B199" t="s">
        <v>1590</v>
      </c>
    </row>
    <row r="200" spans="1:2" x14ac:dyDescent="0.25">
      <c r="A200" t="s">
        <v>1726</v>
      </c>
      <c r="B200" t="s">
        <v>1592</v>
      </c>
    </row>
    <row r="201" spans="1:2" x14ac:dyDescent="0.25">
      <c r="A201" t="s">
        <v>1727</v>
      </c>
      <c r="B201" t="s">
        <v>1594</v>
      </c>
    </row>
    <row r="202" spans="1:2" x14ac:dyDescent="0.25">
      <c r="A202" t="s">
        <v>1728</v>
      </c>
      <c r="B202" t="s">
        <v>1596</v>
      </c>
    </row>
    <row r="203" spans="1:2" x14ac:dyDescent="0.25">
      <c r="A203" t="s">
        <v>1729</v>
      </c>
      <c r="B203" t="s">
        <v>1501</v>
      </c>
    </row>
    <row r="204" spans="1:2" x14ac:dyDescent="0.25">
      <c r="A204" t="s">
        <v>1730</v>
      </c>
      <c r="B204" t="s">
        <v>1503</v>
      </c>
    </row>
    <row r="205" spans="1:2" x14ac:dyDescent="0.25">
      <c r="A205" t="s">
        <v>1731</v>
      </c>
      <c r="B205" t="s">
        <v>1505</v>
      </c>
    </row>
    <row r="206" spans="1:2" x14ac:dyDescent="0.25">
      <c r="A206" t="s">
        <v>1732</v>
      </c>
      <c r="B206" t="s">
        <v>1601</v>
      </c>
    </row>
    <row r="207" spans="1:2" x14ac:dyDescent="0.25">
      <c r="A207" t="s">
        <v>1733</v>
      </c>
      <c r="B207" t="s">
        <v>1603</v>
      </c>
    </row>
    <row r="208" spans="1:2" x14ac:dyDescent="0.25">
      <c r="A208" t="s">
        <v>1734</v>
      </c>
      <c r="B208" t="s">
        <v>1481</v>
      </c>
    </row>
    <row r="209" spans="1:2" x14ac:dyDescent="0.25">
      <c r="A209" t="s">
        <v>1735</v>
      </c>
      <c r="B209" t="s">
        <v>1736</v>
      </c>
    </row>
    <row r="210" spans="1:2" x14ac:dyDescent="0.25">
      <c r="A210" t="s">
        <v>1737</v>
      </c>
      <c r="B210" t="s">
        <v>1469</v>
      </c>
    </row>
    <row r="211" spans="1:2" x14ac:dyDescent="0.25">
      <c r="A211" t="s">
        <v>1738</v>
      </c>
      <c r="B211" t="s">
        <v>1471</v>
      </c>
    </row>
    <row r="212" spans="1:2" x14ac:dyDescent="0.25">
      <c r="A212" t="s">
        <v>1739</v>
      </c>
      <c r="B212" t="s">
        <v>1740</v>
      </c>
    </row>
    <row r="213" spans="1:2" x14ac:dyDescent="0.25">
      <c r="A213" t="s">
        <v>1741</v>
      </c>
      <c r="B213" t="s">
        <v>1475</v>
      </c>
    </row>
    <row r="214" spans="1:2" x14ac:dyDescent="0.25">
      <c r="A214" t="s">
        <v>1742</v>
      </c>
      <c r="B214" t="s">
        <v>1567</v>
      </c>
    </row>
    <row r="215" spans="1:2" x14ac:dyDescent="0.25">
      <c r="A215" t="s">
        <v>1743</v>
      </c>
      <c r="B215" t="s">
        <v>1569</v>
      </c>
    </row>
    <row r="216" spans="1:2" x14ac:dyDescent="0.25">
      <c r="A216" t="s">
        <v>1744</v>
      </c>
      <c r="B216" t="s">
        <v>1571</v>
      </c>
    </row>
    <row r="217" spans="1:2" x14ac:dyDescent="0.25">
      <c r="A217" t="s">
        <v>1745</v>
      </c>
      <c r="B217" t="s">
        <v>1573</v>
      </c>
    </row>
    <row r="218" spans="1:2" x14ac:dyDescent="0.25">
      <c r="A218" t="s">
        <v>1746</v>
      </c>
      <c r="B218" t="s">
        <v>1575</v>
      </c>
    </row>
    <row r="219" spans="1:2" x14ac:dyDescent="0.25">
      <c r="A219" t="s">
        <v>1747</v>
      </c>
      <c r="B219" t="s">
        <v>1495</v>
      </c>
    </row>
    <row r="220" spans="1:2" x14ac:dyDescent="0.25">
      <c r="A220" t="s">
        <v>1748</v>
      </c>
      <c r="B220" t="s">
        <v>1497</v>
      </c>
    </row>
    <row r="221" spans="1:2" x14ac:dyDescent="0.25">
      <c r="A221" t="s">
        <v>1749</v>
      </c>
      <c r="B221" t="s">
        <v>1499</v>
      </c>
    </row>
    <row r="222" spans="1:2" x14ac:dyDescent="0.25">
      <c r="A222" t="s">
        <v>1750</v>
      </c>
      <c r="B222" t="s">
        <v>1580</v>
      </c>
    </row>
    <row r="223" spans="1:2" x14ac:dyDescent="0.25">
      <c r="A223" t="s">
        <v>1751</v>
      </c>
      <c r="B223" t="s">
        <v>1582</v>
      </c>
    </row>
    <row r="224" spans="1:2" x14ac:dyDescent="0.25">
      <c r="A224" t="s">
        <v>1752</v>
      </c>
      <c r="B224" t="s">
        <v>1584</v>
      </c>
    </row>
    <row r="225" spans="1:2" x14ac:dyDescent="0.25">
      <c r="A225" t="s">
        <v>1753</v>
      </c>
      <c r="B225" t="s">
        <v>1586</v>
      </c>
    </row>
    <row r="226" spans="1:2" x14ac:dyDescent="0.25">
      <c r="A226" t="s">
        <v>1754</v>
      </c>
      <c r="B226" t="s">
        <v>1588</v>
      </c>
    </row>
    <row r="227" spans="1:2" x14ac:dyDescent="0.25">
      <c r="A227" t="s">
        <v>1755</v>
      </c>
      <c r="B227" t="s">
        <v>1590</v>
      </c>
    </row>
    <row r="228" spans="1:2" x14ac:dyDescent="0.25">
      <c r="A228" t="s">
        <v>1756</v>
      </c>
      <c r="B228" t="s">
        <v>1592</v>
      </c>
    </row>
    <row r="229" spans="1:2" x14ac:dyDescent="0.25">
      <c r="A229" t="s">
        <v>1757</v>
      </c>
      <c r="B229" t="s">
        <v>1594</v>
      </c>
    </row>
    <row r="230" spans="1:2" x14ac:dyDescent="0.25">
      <c r="A230" t="s">
        <v>1758</v>
      </c>
      <c r="B230" t="s">
        <v>1596</v>
      </c>
    </row>
    <row r="231" spans="1:2" x14ac:dyDescent="0.25">
      <c r="A231" t="s">
        <v>1759</v>
      </c>
      <c r="B231" t="s">
        <v>1501</v>
      </c>
    </row>
    <row r="232" spans="1:2" x14ac:dyDescent="0.25">
      <c r="A232" t="s">
        <v>1760</v>
      </c>
      <c r="B232" t="s">
        <v>1503</v>
      </c>
    </row>
    <row r="233" spans="1:2" x14ac:dyDescent="0.25">
      <c r="A233" t="s">
        <v>1761</v>
      </c>
      <c r="B233" t="s">
        <v>1505</v>
      </c>
    </row>
    <row r="234" spans="1:2" x14ac:dyDescent="0.25">
      <c r="A234" t="s">
        <v>1762</v>
      </c>
      <c r="B234" t="s">
        <v>1601</v>
      </c>
    </row>
    <row r="235" spans="1:2" x14ac:dyDescent="0.25">
      <c r="A235" t="s">
        <v>1763</v>
      </c>
      <c r="B235" t="s">
        <v>1603</v>
      </c>
    </row>
    <row r="236" spans="1:2" x14ac:dyDescent="0.25">
      <c r="A236" t="s">
        <v>1764</v>
      </c>
      <c r="B236" t="s">
        <v>1481</v>
      </c>
    </row>
    <row r="237" spans="1:2" x14ac:dyDescent="0.25">
      <c r="A237" t="s">
        <v>1765</v>
      </c>
      <c r="B237" t="s">
        <v>1766</v>
      </c>
    </row>
    <row r="238" spans="1:2" x14ac:dyDescent="0.25">
      <c r="A238" t="s">
        <v>1767</v>
      </c>
      <c r="B238" t="s">
        <v>1768</v>
      </c>
    </row>
    <row r="239" spans="1:2" x14ac:dyDescent="0.25">
      <c r="A239" t="s">
        <v>1769</v>
      </c>
      <c r="B239" t="s">
        <v>1469</v>
      </c>
    </row>
    <row r="240" spans="1:2" x14ac:dyDescent="0.25">
      <c r="A240" t="s">
        <v>1770</v>
      </c>
      <c r="B240" t="s">
        <v>1471</v>
      </c>
    </row>
    <row r="241" spans="1:2" x14ac:dyDescent="0.25">
      <c r="A241" t="s">
        <v>1771</v>
      </c>
      <c r="B241" t="s">
        <v>1772</v>
      </c>
    </row>
    <row r="242" spans="1:2" x14ac:dyDescent="0.25">
      <c r="A242" t="s">
        <v>1773</v>
      </c>
      <c r="B242" t="s">
        <v>1774</v>
      </c>
    </row>
    <row r="243" spans="1:2" x14ac:dyDescent="0.25">
      <c r="A243" t="s">
        <v>1775</v>
      </c>
      <c r="B243" t="s">
        <v>1776</v>
      </c>
    </row>
    <row r="244" spans="1:2" x14ac:dyDescent="0.25">
      <c r="A244" t="s">
        <v>1777</v>
      </c>
      <c r="B244" t="s">
        <v>1475</v>
      </c>
    </row>
    <row r="245" spans="1:2" x14ac:dyDescent="0.25">
      <c r="A245" t="s">
        <v>1778</v>
      </c>
      <c r="B245" t="s">
        <v>1567</v>
      </c>
    </row>
    <row r="246" spans="1:2" x14ac:dyDescent="0.25">
      <c r="A246" t="s">
        <v>1779</v>
      </c>
      <c r="B246" t="s">
        <v>1569</v>
      </c>
    </row>
    <row r="247" spans="1:2" x14ac:dyDescent="0.25">
      <c r="A247" t="s">
        <v>1780</v>
      </c>
      <c r="B247" t="s">
        <v>1571</v>
      </c>
    </row>
    <row r="248" spans="1:2" x14ac:dyDescent="0.25">
      <c r="A248" t="s">
        <v>1781</v>
      </c>
      <c r="B248" t="s">
        <v>1573</v>
      </c>
    </row>
    <row r="249" spans="1:2" x14ac:dyDescent="0.25">
      <c r="A249" t="s">
        <v>1782</v>
      </c>
      <c r="B249" t="s">
        <v>1575</v>
      </c>
    </row>
    <row r="250" spans="1:2" x14ac:dyDescent="0.25">
      <c r="A250" t="s">
        <v>1783</v>
      </c>
      <c r="B250" t="s">
        <v>1495</v>
      </c>
    </row>
    <row r="251" spans="1:2" x14ac:dyDescent="0.25">
      <c r="A251" t="s">
        <v>1784</v>
      </c>
      <c r="B251" t="s">
        <v>1497</v>
      </c>
    </row>
    <row r="252" spans="1:2" x14ac:dyDescent="0.25">
      <c r="A252" t="s">
        <v>1785</v>
      </c>
      <c r="B252" t="s">
        <v>1499</v>
      </c>
    </row>
    <row r="253" spans="1:2" x14ac:dyDescent="0.25">
      <c r="A253" t="s">
        <v>1786</v>
      </c>
      <c r="B253" t="s">
        <v>1787</v>
      </c>
    </row>
    <row r="254" spans="1:2" x14ac:dyDescent="0.25">
      <c r="A254" t="s">
        <v>1788</v>
      </c>
      <c r="B254" t="s">
        <v>1580</v>
      </c>
    </row>
    <row r="255" spans="1:2" x14ac:dyDescent="0.25">
      <c r="A255" t="s">
        <v>1789</v>
      </c>
      <c r="B255" t="s">
        <v>1582</v>
      </c>
    </row>
    <row r="256" spans="1:2" x14ac:dyDescent="0.25">
      <c r="A256" t="s">
        <v>1790</v>
      </c>
      <c r="B256" t="s">
        <v>1584</v>
      </c>
    </row>
    <row r="257" spans="1:2" x14ac:dyDescent="0.25">
      <c r="A257" t="s">
        <v>1791</v>
      </c>
      <c r="B257" t="s">
        <v>1588</v>
      </c>
    </row>
    <row r="258" spans="1:2" x14ac:dyDescent="0.25">
      <c r="A258" t="s">
        <v>1792</v>
      </c>
      <c r="B258" t="s">
        <v>1590</v>
      </c>
    </row>
    <row r="259" spans="1:2" x14ac:dyDescent="0.25">
      <c r="A259" t="s">
        <v>1793</v>
      </c>
      <c r="B259" t="s">
        <v>1592</v>
      </c>
    </row>
    <row r="260" spans="1:2" x14ac:dyDescent="0.25">
      <c r="A260" t="s">
        <v>1794</v>
      </c>
      <c r="B260" t="s">
        <v>1594</v>
      </c>
    </row>
    <row r="261" spans="1:2" x14ac:dyDescent="0.25">
      <c r="A261" t="s">
        <v>1795</v>
      </c>
      <c r="B261" t="s">
        <v>1596</v>
      </c>
    </row>
    <row r="262" spans="1:2" x14ac:dyDescent="0.25">
      <c r="A262" t="s">
        <v>1796</v>
      </c>
      <c r="B262" t="s">
        <v>1501</v>
      </c>
    </row>
    <row r="263" spans="1:2" x14ac:dyDescent="0.25">
      <c r="A263" t="s">
        <v>1797</v>
      </c>
      <c r="B263" t="s">
        <v>1503</v>
      </c>
    </row>
    <row r="264" spans="1:2" x14ac:dyDescent="0.25">
      <c r="A264" t="s">
        <v>1798</v>
      </c>
      <c r="B264" t="s">
        <v>1505</v>
      </c>
    </row>
    <row r="265" spans="1:2" x14ac:dyDescent="0.25">
      <c r="A265" t="s">
        <v>1799</v>
      </c>
      <c r="B265" t="s">
        <v>1601</v>
      </c>
    </row>
    <row r="266" spans="1:2" x14ac:dyDescent="0.25">
      <c r="A266" t="s">
        <v>1800</v>
      </c>
      <c r="B266" t="s">
        <v>1603</v>
      </c>
    </row>
    <row r="267" spans="1:2" x14ac:dyDescent="0.25">
      <c r="A267" t="s">
        <v>1801</v>
      </c>
      <c r="B267" t="s">
        <v>1481</v>
      </c>
    </row>
    <row r="268" spans="1:2" x14ac:dyDescent="0.25">
      <c r="A268" t="s">
        <v>1802</v>
      </c>
      <c r="B268" t="s">
        <v>1803</v>
      </c>
    </row>
    <row r="269" spans="1:2" x14ac:dyDescent="0.25">
      <c r="A269" t="s">
        <v>1804</v>
      </c>
      <c r="B269" t="s">
        <v>1469</v>
      </c>
    </row>
    <row r="270" spans="1:2" x14ac:dyDescent="0.25">
      <c r="A270" t="s">
        <v>1805</v>
      </c>
      <c r="B270" t="s">
        <v>1471</v>
      </c>
    </row>
    <row r="271" spans="1:2" x14ac:dyDescent="0.25">
      <c r="A271" t="s">
        <v>1806</v>
      </c>
      <c r="B271" t="s">
        <v>1807</v>
      </c>
    </row>
    <row r="272" spans="1:2" x14ac:dyDescent="0.25">
      <c r="A272" t="s">
        <v>1808</v>
      </c>
      <c r="B272" t="s">
        <v>1809</v>
      </c>
    </row>
    <row r="273" spans="1:2" x14ac:dyDescent="0.25">
      <c r="A273" t="s">
        <v>1810</v>
      </c>
      <c r="B273" t="s">
        <v>1475</v>
      </c>
    </row>
    <row r="274" spans="1:2" x14ac:dyDescent="0.25">
      <c r="A274" t="s">
        <v>1811</v>
      </c>
      <c r="B274" t="s">
        <v>1567</v>
      </c>
    </row>
    <row r="275" spans="1:2" x14ac:dyDescent="0.25">
      <c r="A275" t="s">
        <v>1812</v>
      </c>
      <c r="B275" t="s">
        <v>1569</v>
      </c>
    </row>
    <row r="276" spans="1:2" x14ac:dyDescent="0.25">
      <c r="A276" t="s">
        <v>1813</v>
      </c>
      <c r="B276" t="s">
        <v>1571</v>
      </c>
    </row>
    <row r="277" spans="1:2" x14ac:dyDescent="0.25">
      <c r="A277" t="s">
        <v>1814</v>
      </c>
      <c r="B277" t="s">
        <v>1573</v>
      </c>
    </row>
    <row r="278" spans="1:2" x14ac:dyDescent="0.25">
      <c r="A278" t="s">
        <v>1815</v>
      </c>
      <c r="B278" t="s">
        <v>1575</v>
      </c>
    </row>
    <row r="279" spans="1:2" x14ac:dyDescent="0.25">
      <c r="A279" t="s">
        <v>1816</v>
      </c>
      <c r="B279" t="s">
        <v>1495</v>
      </c>
    </row>
    <row r="280" spans="1:2" x14ac:dyDescent="0.25">
      <c r="A280" t="s">
        <v>1817</v>
      </c>
      <c r="B280" t="s">
        <v>1497</v>
      </c>
    </row>
    <row r="281" spans="1:2" x14ac:dyDescent="0.25">
      <c r="A281" t="s">
        <v>1818</v>
      </c>
      <c r="B281" t="s">
        <v>1499</v>
      </c>
    </row>
    <row r="282" spans="1:2" x14ac:dyDescent="0.25">
      <c r="A282" t="s">
        <v>1819</v>
      </c>
      <c r="B282" t="s">
        <v>1787</v>
      </c>
    </row>
    <row r="283" spans="1:2" x14ac:dyDescent="0.25">
      <c r="A283" t="s">
        <v>1820</v>
      </c>
      <c r="B283" t="s">
        <v>1580</v>
      </c>
    </row>
    <row r="284" spans="1:2" x14ac:dyDescent="0.25">
      <c r="A284" t="s">
        <v>1821</v>
      </c>
      <c r="B284" t="s">
        <v>1582</v>
      </c>
    </row>
    <row r="285" spans="1:2" x14ac:dyDescent="0.25">
      <c r="A285" t="s">
        <v>1822</v>
      </c>
      <c r="B285" t="s">
        <v>1584</v>
      </c>
    </row>
    <row r="286" spans="1:2" x14ac:dyDescent="0.25">
      <c r="A286" t="s">
        <v>1823</v>
      </c>
      <c r="B286" t="s">
        <v>1588</v>
      </c>
    </row>
    <row r="287" spans="1:2" x14ac:dyDescent="0.25">
      <c r="A287" t="s">
        <v>1824</v>
      </c>
      <c r="B287" t="s">
        <v>1590</v>
      </c>
    </row>
    <row r="288" spans="1:2" x14ac:dyDescent="0.25">
      <c r="A288" t="s">
        <v>1825</v>
      </c>
      <c r="B288" t="s">
        <v>1501</v>
      </c>
    </row>
    <row r="289" spans="1:2" x14ac:dyDescent="0.25">
      <c r="A289" t="s">
        <v>1826</v>
      </c>
      <c r="B289" t="s">
        <v>1503</v>
      </c>
    </row>
    <row r="290" spans="1:2" x14ac:dyDescent="0.25">
      <c r="A290" t="s">
        <v>1827</v>
      </c>
      <c r="B290" t="s">
        <v>1505</v>
      </c>
    </row>
    <row r="291" spans="1:2" x14ac:dyDescent="0.25">
      <c r="A291" t="s">
        <v>1828</v>
      </c>
      <c r="B291" t="s">
        <v>1601</v>
      </c>
    </row>
    <row r="292" spans="1:2" x14ac:dyDescent="0.25">
      <c r="A292" t="s">
        <v>1829</v>
      </c>
      <c r="B292" t="s">
        <v>1603</v>
      </c>
    </row>
    <row r="293" spans="1:2" x14ac:dyDescent="0.25">
      <c r="A293" t="s">
        <v>1830</v>
      </c>
      <c r="B293" t="s">
        <v>1481</v>
      </c>
    </row>
    <row r="294" spans="1:2" x14ac:dyDescent="0.25">
      <c r="A294" t="s">
        <v>1831</v>
      </c>
      <c r="B294" t="s">
        <v>1832</v>
      </c>
    </row>
    <row r="295" spans="1:2" x14ac:dyDescent="0.25">
      <c r="A295" t="s">
        <v>1833</v>
      </c>
      <c r="B295" t="s">
        <v>1469</v>
      </c>
    </row>
    <row r="296" spans="1:2" x14ac:dyDescent="0.25">
      <c r="A296" t="s">
        <v>1834</v>
      </c>
      <c r="B296" t="s">
        <v>1471</v>
      </c>
    </row>
    <row r="297" spans="1:2" x14ac:dyDescent="0.25">
      <c r="A297" t="s">
        <v>1835</v>
      </c>
      <c r="B297" t="s">
        <v>1475</v>
      </c>
    </row>
    <row r="298" spans="1:2" x14ac:dyDescent="0.25">
      <c r="A298" t="s">
        <v>1836</v>
      </c>
      <c r="B298" t="s">
        <v>1477</v>
      </c>
    </row>
    <row r="299" spans="1:2" x14ac:dyDescent="0.25">
      <c r="A299" t="s">
        <v>1837</v>
      </c>
      <c r="B299" t="s">
        <v>1489</v>
      </c>
    </row>
    <row r="300" spans="1:2" x14ac:dyDescent="0.25">
      <c r="A300" t="s">
        <v>1838</v>
      </c>
      <c r="B300" t="s">
        <v>1491</v>
      </c>
    </row>
    <row r="301" spans="1:2" x14ac:dyDescent="0.25">
      <c r="A301" t="s">
        <v>1839</v>
      </c>
      <c r="B301" t="s">
        <v>1493</v>
      </c>
    </row>
    <row r="302" spans="1:2" x14ac:dyDescent="0.25">
      <c r="A302" t="s">
        <v>1840</v>
      </c>
      <c r="B302" t="s">
        <v>1495</v>
      </c>
    </row>
    <row r="303" spans="1:2" x14ac:dyDescent="0.25">
      <c r="A303" t="s">
        <v>1841</v>
      </c>
      <c r="B303" t="s">
        <v>1497</v>
      </c>
    </row>
    <row r="304" spans="1:2" x14ac:dyDescent="0.25">
      <c r="A304" t="s">
        <v>1842</v>
      </c>
      <c r="B304" t="s">
        <v>1499</v>
      </c>
    </row>
    <row r="305" spans="1:2" x14ac:dyDescent="0.25">
      <c r="A305" t="s">
        <v>1843</v>
      </c>
      <c r="B305" t="s">
        <v>1501</v>
      </c>
    </row>
    <row r="306" spans="1:2" x14ac:dyDescent="0.25">
      <c r="A306" t="s">
        <v>1844</v>
      </c>
      <c r="B306" t="s">
        <v>1503</v>
      </c>
    </row>
    <row r="307" spans="1:2" x14ac:dyDescent="0.25">
      <c r="A307" t="s">
        <v>1845</v>
      </c>
      <c r="B307" t="s">
        <v>1505</v>
      </c>
    </row>
    <row r="308" spans="1:2" x14ac:dyDescent="0.25">
      <c r="A308" t="s">
        <v>1846</v>
      </c>
      <c r="B308" t="s">
        <v>1481</v>
      </c>
    </row>
    <row r="309" spans="1:2" x14ac:dyDescent="0.25">
      <c r="A309" t="s">
        <v>1847</v>
      </c>
      <c r="B309" t="s">
        <v>1848</v>
      </c>
    </row>
    <row r="310" spans="1:2" x14ac:dyDescent="0.25">
      <c r="A310" t="s">
        <v>1849</v>
      </c>
      <c r="B310" t="s">
        <v>1850</v>
      </c>
    </row>
    <row r="311" spans="1:2" x14ac:dyDescent="0.25">
      <c r="A311" t="s">
        <v>1851</v>
      </c>
      <c r="B311" t="s">
        <v>1852</v>
      </c>
    </row>
    <row r="312" spans="1:2" x14ac:dyDescent="0.25">
      <c r="A312" t="s">
        <v>1853</v>
      </c>
      <c r="B312" t="s">
        <v>1854</v>
      </c>
    </row>
    <row r="313" spans="1:2" x14ac:dyDescent="0.25">
      <c r="A313" t="s">
        <v>1855</v>
      </c>
      <c r="B313" t="s">
        <v>1856</v>
      </c>
    </row>
    <row r="314" spans="1:2" x14ac:dyDescent="0.25">
      <c r="A314" t="s">
        <v>1857</v>
      </c>
      <c r="B314" t="s">
        <v>1858</v>
      </c>
    </row>
    <row r="315" spans="1:2" x14ac:dyDescent="0.25">
      <c r="A315" t="s">
        <v>1859</v>
      </c>
      <c r="B315" t="s">
        <v>1860</v>
      </c>
    </row>
    <row r="316" spans="1:2" x14ac:dyDescent="0.25">
      <c r="A316" t="s">
        <v>1861</v>
      </c>
      <c r="B316" t="s">
        <v>1862</v>
      </c>
    </row>
    <row r="317" spans="1:2" x14ac:dyDescent="0.25">
      <c r="A317" t="s">
        <v>1863</v>
      </c>
      <c r="B317" t="s">
        <v>1864</v>
      </c>
    </row>
    <row r="318" spans="1:2" x14ac:dyDescent="0.25">
      <c r="A318" t="s">
        <v>1865</v>
      </c>
      <c r="B318" t="s">
        <v>1866</v>
      </c>
    </row>
    <row r="319" spans="1:2" x14ac:dyDescent="0.25">
      <c r="A319" t="s">
        <v>1867</v>
      </c>
      <c r="B319" t="s">
        <v>1868</v>
      </c>
    </row>
    <row r="320" spans="1:2" x14ac:dyDescent="0.25">
      <c r="A320" t="s">
        <v>1869</v>
      </c>
      <c r="B320" t="s">
        <v>1870</v>
      </c>
    </row>
    <row r="321" spans="1:2" x14ac:dyDescent="0.25">
      <c r="A321" t="s">
        <v>1871</v>
      </c>
      <c r="B321" t="s">
        <v>1872</v>
      </c>
    </row>
    <row r="322" spans="1:2" x14ac:dyDescent="0.25">
      <c r="A322" t="s">
        <v>1873</v>
      </c>
      <c r="B322" t="s">
        <v>1874</v>
      </c>
    </row>
    <row r="323" spans="1:2" x14ac:dyDescent="0.25">
      <c r="A323" t="s">
        <v>1875</v>
      </c>
      <c r="B323" t="s">
        <v>1876</v>
      </c>
    </row>
    <row r="324" spans="1:2" x14ac:dyDescent="0.25">
      <c r="A324" t="s">
        <v>1877</v>
      </c>
      <c r="B324" t="s">
        <v>1878</v>
      </c>
    </row>
    <row r="325" spans="1:2" x14ac:dyDescent="0.25">
      <c r="A325" t="s">
        <v>1879</v>
      </c>
      <c r="B325" t="s">
        <v>1880</v>
      </c>
    </row>
    <row r="326" spans="1:2" x14ac:dyDescent="0.25">
      <c r="A326" t="s">
        <v>1881</v>
      </c>
      <c r="B326" t="s">
        <v>1882</v>
      </c>
    </row>
    <row r="327" spans="1:2" x14ac:dyDescent="0.25">
      <c r="A327" t="s">
        <v>1883</v>
      </c>
      <c r="B327" t="s">
        <v>1884</v>
      </c>
    </row>
    <row r="328" spans="1:2" x14ac:dyDescent="0.25">
      <c r="A328" t="s">
        <v>1885</v>
      </c>
      <c r="B328" t="s">
        <v>1886</v>
      </c>
    </row>
    <row r="329" spans="1:2" x14ac:dyDescent="0.25">
      <c r="A329" t="s">
        <v>1887</v>
      </c>
      <c r="B329" t="s">
        <v>1888</v>
      </c>
    </row>
    <row r="330" spans="1:2" x14ac:dyDescent="0.25">
      <c r="A330" t="s">
        <v>1889</v>
      </c>
      <c r="B330" t="s">
        <v>1890</v>
      </c>
    </row>
    <row r="331" spans="1:2" x14ac:dyDescent="0.25">
      <c r="A331" t="s">
        <v>1891</v>
      </c>
      <c r="B331" t="s">
        <v>1892</v>
      </c>
    </row>
    <row r="332" spans="1:2" x14ac:dyDescent="0.25">
      <c r="A332" t="s">
        <v>1893</v>
      </c>
      <c r="B332" t="s">
        <v>1894</v>
      </c>
    </row>
    <row r="333" spans="1:2" x14ac:dyDescent="0.25">
      <c r="A333" t="s">
        <v>1895</v>
      </c>
      <c r="B333" t="s">
        <v>1896</v>
      </c>
    </row>
    <row r="334" spans="1:2" x14ac:dyDescent="0.25">
      <c r="A334" t="s">
        <v>1897</v>
      </c>
      <c r="B334" t="s">
        <v>1898</v>
      </c>
    </row>
    <row r="335" spans="1:2" x14ac:dyDescent="0.25">
      <c r="A335" t="s">
        <v>1899</v>
      </c>
      <c r="B335" t="s">
        <v>1900</v>
      </c>
    </row>
    <row r="336" spans="1:2" x14ac:dyDescent="0.25">
      <c r="A336" t="s">
        <v>1901</v>
      </c>
      <c r="B336" t="s">
        <v>1902</v>
      </c>
    </row>
    <row r="337" spans="1:2" x14ac:dyDescent="0.25">
      <c r="A337" t="s">
        <v>1903</v>
      </c>
      <c r="B337" t="s">
        <v>1904</v>
      </c>
    </row>
    <row r="338" spans="1:2" x14ac:dyDescent="0.25">
      <c r="A338" t="s">
        <v>1905</v>
      </c>
      <c r="B338" t="s">
        <v>1906</v>
      </c>
    </row>
    <row r="339" spans="1:2" x14ac:dyDescent="0.25">
      <c r="A339" t="s">
        <v>1000</v>
      </c>
      <c r="B339" t="s">
        <v>1907</v>
      </c>
    </row>
    <row r="340" spans="1:2" x14ac:dyDescent="0.25">
      <c r="A340" t="s">
        <v>1908</v>
      </c>
      <c r="B340" t="s">
        <v>1909</v>
      </c>
    </row>
    <row r="341" spans="1:2" x14ac:dyDescent="0.25">
      <c r="A341" t="s">
        <v>1910</v>
      </c>
      <c r="B341" t="s">
        <v>1911</v>
      </c>
    </row>
    <row r="342" spans="1:2" x14ac:dyDescent="0.25">
      <c r="A342" t="s">
        <v>1912</v>
      </c>
      <c r="B342" t="s">
        <v>1913</v>
      </c>
    </row>
    <row r="343" spans="1:2" x14ac:dyDescent="0.25">
      <c r="A343" t="s">
        <v>1914</v>
      </c>
      <c r="B343" t="s">
        <v>1915</v>
      </c>
    </row>
    <row r="344" spans="1:2" x14ac:dyDescent="0.25">
      <c r="A344" t="s">
        <v>1916</v>
      </c>
      <c r="B344" t="s">
        <v>1917</v>
      </c>
    </row>
    <row r="345" spans="1:2" x14ac:dyDescent="0.25">
      <c r="A345" t="s">
        <v>1918</v>
      </c>
      <c r="B345" t="s">
        <v>1919</v>
      </c>
    </row>
    <row r="346" spans="1:2" x14ac:dyDescent="0.25">
      <c r="A346" t="s">
        <v>1920</v>
      </c>
      <c r="B346" t="s">
        <v>1921</v>
      </c>
    </row>
    <row r="347" spans="1:2" x14ac:dyDescent="0.25">
      <c r="A347" t="s">
        <v>1922</v>
      </c>
      <c r="B347" t="s">
        <v>1923</v>
      </c>
    </row>
    <row r="348" spans="1:2" x14ac:dyDescent="0.25">
      <c r="A348" t="s">
        <v>1924</v>
      </c>
      <c r="B348" t="s">
        <v>1925</v>
      </c>
    </row>
    <row r="349" spans="1:2" x14ac:dyDescent="0.25">
      <c r="A349" t="s">
        <v>1926</v>
      </c>
      <c r="B349" t="s">
        <v>1927</v>
      </c>
    </row>
    <row r="350" spans="1:2" x14ac:dyDescent="0.25">
      <c r="A350" t="s">
        <v>83</v>
      </c>
      <c r="B350" t="s">
        <v>1928</v>
      </c>
    </row>
    <row r="351" spans="1:2" x14ac:dyDescent="0.25">
      <c r="A351" t="s">
        <v>1929</v>
      </c>
      <c r="B351" t="s">
        <v>1930</v>
      </c>
    </row>
    <row r="352" spans="1:2" x14ac:dyDescent="0.25">
      <c r="A352" t="s">
        <v>775</v>
      </c>
      <c r="B352" t="s">
        <v>1931</v>
      </c>
    </row>
    <row r="353" spans="1:2" x14ac:dyDescent="0.25">
      <c r="A353" t="s">
        <v>1932</v>
      </c>
      <c r="B353" t="s">
        <v>1933</v>
      </c>
    </row>
    <row r="354" spans="1:2" x14ac:dyDescent="0.25">
      <c r="A354" t="s">
        <v>1934</v>
      </c>
      <c r="B354" t="s">
        <v>1935</v>
      </c>
    </row>
    <row r="355" spans="1:2" x14ac:dyDescent="0.25">
      <c r="A355" t="s">
        <v>1936</v>
      </c>
      <c r="B355" t="s">
        <v>1937</v>
      </c>
    </row>
    <row r="356" spans="1:2" x14ac:dyDescent="0.25">
      <c r="A356" t="s">
        <v>1938</v>
      </c>
      <c r="B356" t="s">
        <v>1939</v>
      </c>
    </row>
    <row r="357" spans="1:2" x14ac:dyDescent="0.25">
      <c r="A357" t="s">
        <v>1940</v>
      </c>
      <c r="B357" t="s">
        <v>1941</v>
      </c>
    </row>
    <row r="358" spans="1:2" x14ac:dyDescent="0.25">
      <c r="A358" t="s">
        <v>1942</v>
      </c>
      <c r="B358" t="s">
        <v>1943</v>
      </c>
    </row>
    <row r="359" spans="1:2" x14ac:dyDescent="0.25">
      <c r="A359" t="s">
        <v>1944</v>
      </c>
      <c r="B359" t="s">
        <v>1945</v>
      </c>
    </row>
    <row r="360" spans="1:2" x14ac:dyDescent="0.25">
      <c r="A360" t="s">
        <v>1946</v>
      </c>
      <c r="B360" t="s">
        <v>1947</v>
      </c>
    </row>
    <row r="361" spans="1:2" x14ac:dyDescent="0.25">
      <c r="A361" t="s">
        <v>1948</v>
      </c>
      <c r="B361" t="s">
        <v>1949</v>
      </c>
    </row>
    <row r="362" spans="1:2" x14ac:dyDescent="0.25">
      <c r="A362" t="s">
        <v>1950</v>
      </c>
      <c r="B362" t="s">
        <v>1951</v>
      </c>
    </row>
    <row r="363" spans="1:2" x14ac:dyDescent="0.25">
      <c r="A363" t="s">
        <v>1952</v>
      </c>
      <c r="B363" t="s">
        <v>1953</v>
      </c>
    </row>
    <row r="364" spans="1:2" x14ac:dyDescent="0.25">
      <c r="A364" t="s">
        <v>1954</v>
      </c>
      <c r="B364" t="s">
        <v>1906</v>
      </c>
    </row>
    <row r="365" spans="1:2" x14ac:dyDescent="0.25">
      <c r="A365" t="s">
        <v>1955</v>
      </c>
      <c r="B365" t="s">
        <v>1956</v>
      </c>
    </row>
    <row r="366" spans="1:2" x14ac:dyDescent="0.25">
      <c r="A366" t="s">
        <v>1957</v>
      </c>
      <c r="B366" t="s">
        <v>1958</v>
      </c>
    </row>
    <row r="367" spans="1:2" x14ac:dyDescent="0.25">
      <c r="A367" t="s">
        <v>1959</v>
      </c>
      <c r="B367" t="s">
        <v>1960</v>
      </c>
    </row>
    <row r="368" spans="1:2" x14ac:dyDescent="0.25">
      <c r="A368" t="s">
        <v>1961</v>
      </c>
      <c r="B368" t="s">
        <v>1962</v>
      </c>
    </row>
    <row r="369" spans="1:2" x14ac:dyDescent="0.25">
      <c r="A369" t="s">
        <v>1963</v>
      </c>
      <c r="B369" t="s">
        <v>1964</v>
      </c>
    </row>
    <row r="370" spans="1:2" x14ac:dyDescent="0.25">
      <c r="A370" t="s">
        <v>1965</v>
      </c>
      <c r="B370" t="s">
        <v>1966</v>
      </c>
    </row>
    <row r="371" spans="1:2" x14ac:dyDescent="0.25">
      <c r="A371" t="s">
        <v>1967</v>
      </c>
      <c r="B371" t="s">
        <v>1968</v>
      </c>
    </row>
    <row r="372" spans="1:2" x14ac:dyDescent="0.25">
      <c r="A372" t="s">
        <v>1969</v>
      </c>
      <c r="B372" t="s">
        <v>1970</v>
      </c>
    </row>
    <row r="373" spans="1:2" x14ac:dyDescent="0.25">
      <c r="A373" t="s">
        <v>1971</v>
      </c>
      <c r="B373" t="s">
        <v>1972</v>
      </c>
    </row>
    <row r="374" spans="1:2" x14ac:dyDescent="0.25">
      <c r="A374" t="s">
        <v>1973</v>
      </c>
      <c r="B374" t="s">
        <v>1974</v>
      </c>
    </row>
    <row r="375" spans="1:2" x14ac:dyDescent="0.25">
      <c r="A375" t="s">
        <v>1975</v>
      </c>
      <c r="B375" t="s">
        <v>1976</v>
      </c>
    </row>
    <row r="376" spans="1:2" x14ac:dyDescent="0.25">
      <c r="A376" t="s">
        <v>1977</v>
      </c>
      <c r="B376" t="s">
        <v>1906</v>
      </c>
    </row>
    <row r="377" spans="1:2" x14ac:dyDescent="0.25">
      <c r="A377" t="s">
        <v>1978</v>
      </c>
      <c r="B377" t="s">
        <v>1979</v>
      </c>
    </row>
    <row r="378" spans="1:2" x14ac:dyDescent="0.25">
      <c r="A378" t="s">
        <v>110</v>
      </c>
      <c r="B378" t="s">
        <v>1980</v>
      </c>
    </row>
    <row r="379" spans="1:2" x14ac:dyDescent="0.25">
      <c r="A379" t="s">
        <v>1981</v>
      </c>
      <c r="B379" t="s">
        <v>1982</v>
      </c>
    </row>
    <row r="380" spans="1:2" x14ac:dyDescent="0.25">
      <c r="A380" t="s">
        <v>1983</v>
      </c>
      <c r="B380" t="s">
        <v>1984</v>
      </c>
    </row>
    <row r="381" spans="1:2" x14ac:dyDescent="0.25">
      <c r="A381" t="s">
        <v>1985</v>
      </c>
      <c r="B381" t="s">
        <v>1986</v>
      </c>
    </row>
    <row r="382" spans="1:2" x14ac:dyDescent="0.25">
      <c r="A382" t="s">
        <v>1987</v>
      </c>
      <c r="B382" t="s">
        <v>1988</v>
      </c>
    </row>
    <row r="383" spans="1:2" x14ac:dyDescent="0.25">
      <c r="A383" t="s">
        <v>1989</v>
      </c>
      <c r="B383" t="s">
        <v>1990</v>
      </c>
    </row>
    <row r="384" spans="1:2" x14ac:dyDescent="0.25">
      <c r="A384" t="s">
        <v>1991</v>
      </c>
      <c r="B384" t="s">
        <v>1992</v>
      </c>
    </row>
    <row r="385" spans="1:2" x14ac:dyDescent="0.25">
      <c r="A385" t="s">
        <v>1993</v>
      </c>
      <c r="B385" t="s">
        <v>1994</v>
      </c>
    </row>
    <row r="386" spans="1:2" x14ac:dyDescent="0.25">
      <c r="A386" t="s">
        <v>1995</v>
      </c>
      <c r="B386" t="s">
        <v>1996</v>
      </c>
    </row>
    <row r="387" spans="1:2" x14ac:dyDescent="0.25">
      <c r="A387" t="s">
        <v>1997</v>
      </c>
      <c r="B387" t="s">
        <v>1906</v>
      </c>
    </row>
    <row r="388" spans="1:2" x14ac:dyDescent="0.25">
      <c r="A388" t="s">
        <v>1998</v>
      </c>
      <c r="B388" t="s">
        <v>1999</v>
      </c>
    </row>
    <row r="389" spans="1:2" x14ac:dyDescent="0.25">
      <c r="A389" t="s">
        <v>2000</v>
      </c>
      <c r="B389" t="s">
        <v>2001</v>
      </c>
    </row>
    <row r="390" spans="1:2" x14ac:dyDescent="0.25">
      <c r="A390" t="s">
        <v>2002</v>
      </c>
      <c r="B390" t="s">
        <v>2003</v>
      </c>
    </row>
    <row r="391" spans="1:2" x14ac:dyDescent="0.25">
      <c r="A391" t="s">
        <v>2004</v>
      </c>
      <c r="B391" t="s">
        <v>2005</v>
      </c>
    </row>
    <row r="392" spans="1:2" x14ac:dyDescent="0.25">
      <c r="A392" t="s">
        <v>2006</v>
      </c>
      <c r="B392" t="s">
        <v>2007</v>
      </c>
    </row>
    <row r="393" spans="1:2" x14ac:dyDescent="0.25">
      <c r="A393" t="s">
        <v>2008</v>
      </c>
      <c r="B393" t="s">
        <v>2009</v>
      </c>
    </row>
    <row r="394" spans="1:2" x14ac:dyDescent="0.25">
      <c r="A394" t="s">
        <v>2010</v>
      </c>
      <c r="B394" t="s">
        <v>2011</v>
      </c>
    </row>
    <row r="395" spans="1:2" x14ac:dyDescent="0.25">
      <c r="A395" t="s">
        <v>2012</v>
      </c>
      <c r="B395" t="s">
        <v>2013</v>
      </c>
    </row>
    <row r="396" spans="1:2" x14ac:dyDescent="0.25">
      <c r="A396" t="s">
        <v>2014</v>
      </c>
      <c r="B396" t="s">
        <v>2015</v>
      </c>
    </row>
    <row r="397" spans="1:2" x14ac:dyDescent="0.25">
      <c r="A397" t="s">
        <v>2016</v>
      </c>
      <c r="B397" t="s">
        <v>2017</v>
      </c>
    </row>
    <row r="398" spans="1:2" x14ac:dyDescent="0.25">
      <c r="A398" t="s">
        <v>2018</v>
      </c>
      <c r="B398" t="s">
        <v>2019</v>
      </c>
    </row>
    <row r="399" spans="1:2" x14ac:dyDescent="0.25">
      <c r="A399" t="s">
        <v>2020</v>
      </c>
      <c r="B399" t="s">
        <v>2021</v>
      </c>
    </row>
    <row r="400" spans="1:2" x14ac:dyDescent="0.25">
      <c r="A400" t="s">
        <v>2022</v>
      </c>
      <c r="B400" t="s">
        <v>2023</v>
      </c>
    </row>
    <row r="401" spans="1:2" x14ac:dyDescent="0.25">
      <c r="A401" t="s">
        <v>2024</v>
      </c>
      <c r="B401" t="s">
        <v>2025</v>
      </c>
    </row>
    <row r="402" spans="1:2" x14ac:dyDescent="0.25">
      <c r="A402" t="s">
        <v>2026</v>
      </c>
      <c r="B402" t="s">
        <v>2027</v>
      </c>
    </row>
    <row r="403" spans="1:2" x14ac:dyDescent="0.25">
      <c r="A403" t="s">
        <v>2028</v>
      </c>
      <c r="B403" t="s">
        <v>2029</v>
      </c>
    </row>
    <row r="404" spans="1:2" x14ac:dyDescent="0.25">
      <c r="A404" t="s">
        <v>2030</v>
      </c>
      <c r="B404" t="s">
        <v>2031</v>
      </c>
    </row>
    <row r="405" spans="1:2" x14ac:dyDescent="0.25">
      <c r="A405" t="s">
        <v>2032</v>
      </c>
      <c r="B405" t="s">
        <v>2033</v>
      </c>
    </row>
    <row r="406" spans="1:2" x14ac:dyDescent="0.25">
      <c r="A406" t="s">
        <v>2034</v>
      </c>
      <c r="B406" t="s">
        <v>2035</v>
      </c>
    </row>
    <row r="407" spans="1:2" x14ac:dyDescent="0.25">
      <c r="A407" t="s">
        <v>2036</v>
      </c>
      <c r="B407" t="s">
        <v>2037</v>
      </c>
    </row>
    <row r="408" spans="1:2" x14ac:dyDescent="0.25">
      <c r="A408" t="s">
        <v>2038</v>
      </c>
      <c r="B408" t="s">
        <v>2039</v>
      </c>
    </row>
    <row r="409" spans="1:2" x14ac:dyDescent="0.25">
      <c r="A409" t="s">
        <v>2040</v>
      </c>
      <c r="B409" t="s">
        <v>2041</v>
      </c>
    </row>
    <row r="410" spans="1:2" x14ac:dyDescent="0.25">
      <c r="A410" t="s">
        <v>2042</v>
      </c>
      <c r="B410" t="s">
        <v>770</v>
      </c>
    </row>
    <row r="411" spans="1:2" x14ac:dyDescent="0.25">
      <c r="A411" t="s">
        <v>2043</v>
      </c>
      <c r="B411" t="s">
        <v>2044</v>
      </c>
    </row>
    <row r="412" spans="1:2" x14ac:dyDescent="0.25">
      <c r="A412" t="s">
        <v>2045</v>
      </c>
      <c r="B412" t="s">
        <v>2046</v>
      </c>
    </row>
    <row r="413" spans="1:2" x14ac:dyDescent="0.25">
      <c r="A413" t="s">
        <v>2047</v>
      </c>
      <c r="B413" t="s">
        <v>2048</v>
      </c>
    </row>
    <row r="414" spans="1:2" x14ac:dyDescent="0.25">
      <c r="A414" t="s">
        <v>2049</v>
      </c>
      <c r="B414" t="s">
        <v>2050</v>
      </c>
    </row>
    <row r="415" spans="1:2" x14ac:dyDescent="0.25">
      <c r="A415" t="s">
        <v>2051</v>
      </c>
      <c r="B415" t="s">
        <v>2052</v>
      </c>
    </row>
    <row r="416" spans="1:2" x14ac:dyDescent="0.25">
      <c r="A416" t="s">
        <v>2053</v>
      </c>
      <c r="B416" t="s">
        <v>2054</v>
      </c>
    </row>
    <row r="417" spans="1:2" x14ac:dyDescent="0.25">
      <c r="A417" t="s">
        <v>2055</v>
      </c>
      <c r="B417" t="s">
        <v>2056</v>
      </c>
    </row>
    <row r="418" spans="1:2" x14ac:dyDescent="0.25">
      <c r="A418" t="s">
        <v>2057</v>
      </c>
      <c r="B418" t="s">
        <v>2058</v>
      </c>
    </row>
    <row r="419" spans="1:2" x14ac:dyDescent="0.25">
      <c r="A419" t="s">
        <v>2059</v>
      </c>
      <c r="B419" t="s">
        <v>2060</v>
      </c>
    </row>
    <row r="420" spans="1:2" x14ac:dyDescent="0.25">
      <c r="A420" t="s">
        <v>2061</v>
      </c>
      <c r="B420" t="s">
        <v>2062</v>
      </c>
    </row>
    <row r="421" spans="1:2" x14ac:dyDescent="0.25">
      <c r="A421" t="s">
        <v>2063</v>
      </c>
      <c r="B421" t="s">
        <v>2064</v>
      </c>
    </row>
  </sheetData>
  <autoFilter ref="A1:B421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9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2" x14ac:dyDescent="0.25">
      <c r="A1" t="s">
        <v>2065</v>
      </c>
      <c r="B1" t="s">
        <v>733</v>
      </c>
    </row>
    <row r="2" spans="1:2" x14ac:dyDescent="0.25">
      <c r="A2" t="s">
        <v>2066</v>
      </c>
      <c r="B2" t="s">
        <v>2067</v>
      </c>
    </row>
    <row r="3" spans="1:2" x14ac:dyDescent="0.25">
      <c r="A3" t="s">
        <v>2068</v>
      </c>
      <c r="B3" t="s">
        <v>2069</v>
      </c>
    </row>
    <row r="4" spans="1:2" x14ac:dyDescent="0.25">
      <c r="A4" t="s">
        <v>2070</v>
      </c>
      <c r="B4" t="s">
        <v>1011</v>
      </c>
    </row>
    <row r="5" spans="1:2" x14ac:dyDescent="0.25">
      <c r="A5" t="s">
        <v>2071</v>
      </c>
      <c r="B5" t="s">
        <v>880</v>
      </c>
    </row>
    <row r="6" spans="1:2" x14ac:dyDescent="0.25">
      <c r="A6" t="s">
        <v>2072</v>
      </c>
      <c r="B6" t="s">
        <v>884</v>
      </c>
    </row>
    <row r="7" spans="1:2" x14ac:dyDescent="0.25">
      <c r="A7" t="s">
        <v>2073</v>
      </c>
      <c r="B7" t="s">
        <v>2074</v>
      </c>
    </row>
    <row r="8" spans="1:2" x14ac:dyDescent="0.25">
      <c r="A8" t="s">
        <v>2075</v>
      </c>
      <c r="B8" t="s">
        <v>2076</v>
      </c>
    </row>
    <row r="9" spans="1:2" x14ac:dyDescent="0.25">
      <c r="A9" t="s">
        <v>2077</v>
      </c>
      <c r="B9" t="s">
        <v>2078</v>
      </c>
    </row>
  </sheetData>
  <autoFilter ref="A1:B9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W13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23" x14ac:dyDescent="0.25">
      <c r="A1" t="s">
        <v>2079</v>
      </c>
      <c r="B1" t="s">
        <v>190</v>
      </c>
      <c r="C1" t="s">
        <v>192</v>
      </c>
      <c r="D1" t="s">
        <v>188</v>
      </c>
      <c r="E1" t="s">
        <v>189</v>
      </c>
      <c r="F1" t="s">
        <v>2080</v>
      </c>
      <c r="G1" t="s">
        <v>2081</v>
      </c>
      <c r="H1" t="s">
        <v>467</v>
      </c>
      <c r="I1" t="s">
        <v>518</v>
      </c>
      <c r="J1" t="s">
        <v>2082</v>
      </c>
      <c r="K1" t="s">
        <v>2083</v>
      </c>
      <c r="L1" t="s">
        <v>2084</v>
      </c>
      <c r="M1" t="s">
        <v>2085</v>
      </c>
      <c r="N1" t="s">
        <v>673</v>
      </c>
      <c r="O1" t="s">
        <v>675</v>
      </c>
      <c r="P1" t="s">
        <v>2086</v>
      </c>
      <c r="Q1" t="s">
        <v>2087</v>
      </c>
      <c r="R1" t="s">
        <v>2088</v>
      </c>
      <c r="S1" t="s">
        <v>2089</v>
      </c>
      <c r="T1" t="s">
        <v>2090</v>
      </c>
      <c r="U1" t="s">
        <v>2091</v>
      </c>
      <c r="V1" t="s">
        <v>992</v>
      </c>
      <c r="W1" t="s">
        <v>993</v>
      </c>
    </row>
    <row r="2" spans="1:23" x14ac:dyDescent="0.25">
      <c r="A2" t="s">
        <v>79</v>
      </c>
      <c r="B2" t="s">
        <v>303</v>
      </c>
      <c r="C2" t="s">
        <v>304</v>
      </c>
      <c r="D2" t="s">
        <v>224</v>
      </c>
      <c r="E2" t="s">
        <v>224</v>
      </c>
      <c r="F2" t="s">
        <v>238</v>
      </c>
      <c r="G2" t="s">
        <v>185</v>
      </c>
      <c r="H2" t="s">
        <v>478</v>
      </c>
      <c r="I2" t="s">
        <v>526</v>
      </c>
      <c r="J2" t="s">
        <v>529</v>
      </c>
      <c r="K2" t="s">
        <v>629</v>
      </c>
      <c r="L2" t="s">
        <v>631</v>
      </c>
      <c r="M2" t="s">
        <v>642</v>
      </c>
      <c r="N2" t="s">
        <v>697</v>
      </c>
      <c r="O2" t="s">
        <v>688</v>
      </c>
      <c r="P2" t="s">
        <v>808</v>
      </c>
      <c r="Q2" t="s">
        <v>875</v>
      </c>
      <c r="R2" t="s">
        <v>2092</v>
      </c>
      <c r="S2" t="s">
        <v>1061</v>
      </c>
      <c r="T2" t="s">
        <v>1410</v>
      </c>
      <c r="U2" t="s">
        <v>80</v>
      </c>
      <c r="V2" t="s">
        <v>1000</v>
      </c>
      <c r="W2" t="s">
        <v>2093</v>
      </c>
    </row>
    <row r="3" spans="1:23" x14ac:dyDescent="0.25">
      <c r="A3" t="s">
        <v>106</v>
      </c>
      <c r="B3" t="s">
        <v>248</v>
      </c>
      <c r="C3" t="s">
        <v>249</v>
      </c>
      <c r="D3" t="s">
        <v>247</v>
      </c>
      <c r="E3" t="s">
        <v>247</v>
      </c>
      <c r="F3" t="s">
        <v>259</v>
      </c>
      <c r="G3" t="s">
        <v>627</v>
      </c>
      <c r="H3" t="s">
        <v>512</v>
      </c>
      <c r="I3" t="s">
        <v>478</v>
      </c>
      <c r="J3" t="s">
        <v>590</v>
      </c>
      <c r="K3" t="s">
        <v>637</v>
      </c>
      <c r="L3" t="s">
        <v>2094</v>
      </c>
      <c r="M3" t="s">
        <v>634</v>
      </c>
      <c r="N3" t="s">
        <v>681</v>
      </c>
      <c r="O3" t="s">
        <v>2095</v>
      </c>
      <c r="P3" t="s">
        <v>816</v>
      </c>
      <c r="Q3" t="s">
        <v>886</v>
      </c>
      <c r="R3" t="s">
        <v>892</v>
      </c>
      <c r="S3" t="s">
        <v>1076</v>
      </c>
      <c r="T3" t="s">
        <v>1419</v>
      </c>
      <c r="U3" t="s">
        <v>93</v>
      </c>
      <c r="V3" t="s">
        <v>83</v>
      </c>
      <c r="W3" t="s">
        <v>1928</v>
      </c>
    </row>
    <row r="4" spans="1:23" x14ac:dyDescent="0.25">
      <c r="A4" t="s">
        <v>146</v>
      </c>
      <c r="B4" t="s">
        <v>225</v>
      </c>
      <c r="C4" t="s">
        <v>2096</v>
      </c>
      <c r="D4" t="s">
        <v>333</v>
      </c>
      <c r="E4" t="s">
        <v>333</v>
      </c>
      <c r="F4" t="s">
        <v>2097</v>
      </c>
      <c r="G4" t="s">
        <v>644</v>
      </c>
      <c r="H4" t="s">
        <v>507</v>
      </c>
      <c r="I4" t="s">
        <v>568</v>
      </c>
      <c r="J4" t="s">
        <v>579</v>
      </c>
      <c r="K4" t="s">
        <v>646</v>
      </c>
      <c r="L4" t="s">
        <v>2098</v>
      </c>
      <c r="M4" t="s">
        <v>667</v>
      </c>
      <c r="O4" t="s">
        <v>683</v>
      </c>
      <c r="P4" t="s">
        <v>824</v>
      </c>
      <c r="Q4" t="s">
        <v>897</v>
      </c>
      <c r="R4" t="s">
        <v>887</v>
      </c>
      <c r="S4" t="s">
        <v>1080</v>
      </c>
      <c r="T4" t="s">
        <v>1428</v>
      </c>
      <c r="U4" t="s">
        <v>107</v>
      </c>
      <c r="V4" t="s">
        <v>775</v>
      </c>
      <c r="W4" t="s">
        <v>1931</v>
      </c>
    </row>
    <row r="5" spans="2:23" x14ac:dyDescent="0.25">
      <c r="B5" t="s">
        <v>2099</v>
      </c>
      <c r="C5" t="s">
        <v>2100</v>
      </c>
      <c r="G5" t="s">
        <v>466</v>
      </c>
      <c r="I5" t="s">
        <v>555</v>
      </c>
      <c r="J5" t="s">
        <v>2101</v>
      </c>
      <c r="K5" t="s">
        <v>656</v>
      </c>
      <c r="L5" t="s">
        <v>2102</v>
      </c>
      <c r="O5" t="s">
        <v>2103</v>
      </c>
      <c r="P5" t="s">
        <v>850</v>
      </c>
      <c r="Q5" t="s">
        <v>946</v>
      </c>
      <c r="R5" t="s">
        <v>932</v>
      </c>
      <c r="S5" t="s">
        <v>1097</v>
      </c>
      <c r="T5" t="s">
        <v>1437</v>
      </c>
      <c r="U5" t="s">
        <v>2104</v>
      </c>
      <c r="V5" t="s">
        <v>96</v>
      </c>
      <c r="W5" t="s">
        <v>2105</v>
      </c>
    </row>
    <row r="6" spans="3:23" x14ac:dyDescent="0.25">
      <c r="C6" t="s">
        <v>226</v>
      </c>
      <c r="G6" t="s">
        <v>1339</v>
      </c>
      <c r="I6" t="s">
        <v>543</v>
      </c>
      <c r="K6" t="s">
        <v>2106</v>
      </c>
      <c r="O6" t="s">
        <v>718</v>
      </c>
      <c r="P6" t="s">
        <v>858</v>
      </c>
      <c r="Q6" t="s">
        <v>953</v>
      </c>
      <c r="R6" t="s">
        <v>912</v>
      </c>
      <c r="S6" t="s">
        <v>1101</v>
      </c>
      <c r="T6" t="s">
        <v>1299</v>
      </c>
      <c r="V6" t="s">
        <v>177</v>
      </c>
      <c r="W6" t="s">
        <v>1874</v>
      </c>
    </row>
    <row r="7" spans="9:23" x14ac:dyDescent="0.25">
      <c r="I7" t="s">
        <v>534</v>
      </c>
      <c r="K7" t="s">
        <v>2107</v>
      </c>
      <c r="R7" t="s">
        <v>939</v>
      </c>
      <c r="S7" t="s">
        <v>1084</v>
      </c>
      <c r="T7" t="s">
        <v>1457</v>
      </c>
      <c r="V7" t="s">
        <v>1023</v>
      </c>
      <c r="W7" t="s">
        <v>2108</v>
      </c>
    </row>
    <row r="8" spans="9:23" x14ac:dyDescent="0.25">
      <c r="I8" t="s">
        <v>606</v>
      </c>
      <c r="V8" t="s">
        <v>136</v>
      </c>
      <c r="W8" t="s">
        <v>2109</v>
      </c>
    </row>
    <row r="9" spans="9:23" x14ac:dyDescent="0.25">
      <c r="I9" t="s">
        <v>550</v>
      </c>
      <c r="V9" t="s">
        <v>110</v>
      </c>
      <c r="W9" t="s">
        <v>1980</v>
      </c>
    </row>
    <row r="10" spans="9:23" x14ac:dyDescent="0.25">
      <c r="I10" t="s">
        <v>601</v>
      </c>
      <c r="V10" t="s">
        <v>150</v>
      </c>
      <c r="W10" t="s">
        <v>2110</v>
      </c>
    </row>
    <row r="11" spans="9:23" x14ac:dyDescent="0.25">
      <c r="I11" t="s">
        <v>2111</v>
      </c>
      <c r="V11" t="s">
        <v>164</v>
      </c>
      <c r="W11" t="s">
        <v>1852</v>
      </c>
    </row>
    <row r="12" spans="22:23" x14ac:dyDescent="0.25">
      <c r="V12" t="s">
        <v>123</v>
      </c>
      <c r="W12" t="s">
        <v>2112</v>
      </c>
    </row>
    <row r="13" spans="22:23" x14ac:dyDescent="0.25">
      <c r="V13" t="s">
        <v>1054</v>
      </c>
      <c r="W13" t="s">
        <v>2037</v>
      </c>
    </row>
  </sheetData>
  <autoFilter ref="A1:U13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68821"/>
    <outlinePr summaryBelow="1" summaryRight="1"/>
  </sheetPr>
  <dimension ref="A1:L4"/>
  <sheetViews>
    <sheetView workbookViewId="0" zoomScale="90" zoomScaleNormal="100">
      <pane xSplit="3" ySplit="1" topLeftCell="D2" activePane="bottomRight" state="frozen"/>
      <selection pane="bottomRight" activeCell="A1" sqref="A1"/>
    </sheetView>
  </sheetViews>
  <sheetFormatPr defaultRowHeight="15" outlineLevelRow="0" outlineLevelCol="0" x14ac:dyDescent="0"/>
  <cols>
    <col min="2" max="2" width="15" customWidth="1"/>
    <col min="3" max="3" width="14" customWidth="1"/>
    <col min="4" max="4" width="42" customWidth="1"/>
    <col min="5" max="5" width="40" customWidth="1"/>
    <col min="6" max="6" width="34" customWidth="1"/>
    <col min="7" max="7" width="26" customWidth="1"/>
    <col min="8" max="8" width="16" customWidth="1"/>
    <col min="9" max="9" width="26" customWidth="1"/>
    <col min="10" max="10" width="40" customWidth="1"/>
    <col min="11" max="11" width="20" customWidth="1"/>
    <col min="12" max="12" width="14" customWidth="1"/>
  </cols>
  <sheetData>
    <row r="1" ht="30" customHeight="1" spans="1:12" x14ac:dyDescent="0.25">
      <c r="A1" s="3" t="s">
        <v>515</v>
      </c>
      <c r="B1" s="3" t="s">
        <v>516</v>
      </c>
      <c r="C1" s="3" t="s">
        <v>517</v>
      </c>
      <c r="D1" s="3" t="s">
        <v>2113</v>
      </c>
      <c r="E1" s="3" t="s">
        <v>2114</v>
      </c>
      <c r="F1" s="3" t="s">
        <v>2115</v>
      </c>
      <c r="G1" s="3" t="s">
        <v>2116</v>
      </c>
      <c r="H1" s="3" t="s">
        <v>2117</v>
      </c>
      <c r="I1" s="3" t="s">
        <v>2118</v>
      </c>
      <c r="J1" s="3" t="s">
        <v>2119</v>
      </c>
      <c r="K1" s="3" t="s">
        <v>2120</v>
      </c>
      <c r="L1" s="3" t="s">
        <v>623</v>
      </c>
    </row>
    <row r="2" spans="1:12" x14ac:dyDescent="0.25">
      <c r="A2" s="10" t="s">
        <v>2121</v>
      </c>
      <c r="B2" s="10" t="s">
        <v>627</v>
      </c>
      <c r="C2" s="10" t="s">
        <v>219</v>
      </c>
      <c r="D2" s="6" t="s">
        <v>2122</v>
      </c>
      <c r="E2" s="6" t="s">
        <v>2123</v>
      </c>
      <c r="F2" s="6" t="s">
        <v>2124</v>
      </c>
      <c r="G2" s="6" t="s">
        <v>2125</v>
      </c>
      <c r="H2" s="5" t="s">
        <v>2126</v>
      </c>
      <c r="I2" s="6" t="s">
        <v>2127</v>
      </c>
      <c r="J2" s="6" t="s">
        <v>2128</v>
      </c>
      <c r="K2" s="10" t="s">
        <v>2129</v>
      </c>
      <c r="L2" s="5" t="s">
        <v>248</v>
      </c>
    </row>
    <row r="3" spans="1:12" x14ac:dyDescent="0.25">
      <c r="A3" s="11" t="s">
        <v>2130</v>
      </c>
      <c r="B3" s="11" t="s">
        <v>627</v>
      </c>
      <c r="C3" s="11" t="s">
        <v>219</v>
      </c>
      <c r="D3" s="9" t="s">
        <v>2131</v>
      </c>
      <c r="E3" s="9" t="s">
        <v>2132</v>
      </c>
      <c r="F3" s="9" t="s">
        <v>2133</v>
      </c>
      <c r="G3" s="9" t="s">
        <v>2134</v>
      </c>
      <c r="H3" s="7" t="s">
        <v>2135</v>
      </c>
      <c r="I3" s="9" t="s">
        <v>2136</v>
      </c>
      <c r="J3" s="9" t="s">
        <v>2137</v>
      </c>
      <c r="K3" s="11" t="s">
        <v>2138</v>
      </c>
      <c r="L3" s="7" t="s">
        <v>303</v>
      </c>
    </row>
    <row r="4" spans="1:12" x14ac:dyDescent="0.25">
      <c r="A4" s="10" t="s">
        <v>2139</v>
      </c>
      <c r="B4" s="10" t="s">
        <v>644</v>
      </c>
      <c r="C4" s="10" t="s">
        <v>361</v>
      </c>
      <c r="D4" s="6" t="s">
        <v>2140</v>
      </c>
      <c r="E4" s="6" t="s">
        <v>2141</v>
      </c>
      <c r="F4" s="6" t="s">
        <v>2142</v>
      </c>
      <c r="G4" s="6" t="s">
        <v>2143</v>
      </c>
      <c r="H4" s="5" t="s">
        <v>2144</v>
      </c>
      <c r="I4" s="6" t="s">
        <v>666</v>
      </c>
      <c r="J4" s="6" t="s">
        <v>2145</v>
      </c>
      <c r="K4" s="10" t="s">
        <v>2146</v>
      </c>
      <c r="L4" s="5" t="s">
        <v>225</v>
      </c>
    </row>
  </sheetData>
  <autoFilter ref="A1:L1"/>
  <dataValidations count="4">
    <dataValidation type="list" allowBlank="1" showInputMessage="1" promptTitle="Lista de opções" prompt="Clique na seta ao lado da célula e escolha uma das opções." showErrorMessage="1" errorStyle="stop" errorTitle="Valor fora da lista" error="Escolha uma das opções da lista. A lista completa está na aba Listas." sqref="B10:B300">
      <formula1>=Listas!$G$2:$G$7</formula1>
    </dataValidation>
    <dataValidation type="list" allowBlank="1" showInputMessage="1" promptTitle="Lista de opções" prompt="Clique na seta ao lado da célula e escolha uma das opções." showErrorMessage="1" errorStyle="stop" errorTitle="Valor fora da lista" error="Escolha uma das opções da lista. A lista completa está na aba Listas." sqref="B2:B300">
      <formula1>=Listas!$G$2:$G$7</formula1>
    </dataValidation>
    <dataValidation type="list" allowBlank="1" showInputMessage="1" promptTitle="Lista de opções" prompt="Clique na seta ao lado da célula e escolha uma das opções." showErrorMessage="1" errorStyle="stop" errorTitle="Valor fora da lista" error="Escolha uma das opções da lista. A lista completa está na aba Listas." sqref="L10:L300">
      <formula1>=Listas!$B$2:$B$6</formula1>
    </dataValidation>
    <dataValidation type="list" allowBlank="1" showInputMessage="1" promptTitle="Lista de opções" prompt="Clique na seta ao lado da célula e escolha uma das opções." showErrorMessage="1" errorStyle="stop" errorTitle="Valor fora da lista" error="Escolha uma das opções da lista. A lista completa está na aba Listas." sqref="L2:L300">
      <formula1>=Listas!$B$2:$B$6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55BCB"/>
    <outlinePr summaryBelow="1" summaryRight="1"/>
  </sheetPr>
  <dimension ref="A1:D8"/>
  <sheetViews>
    <sheetView workbookViewId="0" zoomScale="90" zoomScaleNormal="100">
      <pane xSplit="1" ySplit="1" topLeftCell="B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7" customWidth="1"/>
    <col min="2" max="2" width="46" customWidth="1"/>
    <col min="3" max="3" width="14" customWidth="1"/>
    <col min="4" max="4" width="90" customWidth="1"/>
  </cols>
  <sheetData>
    <row r="1" ht="30" customHeight="1" spans="1:4" x14ac:dyDescent="0.25">
      <c r="A1" s="3" t="s">
        <v>64</v>
      </c>
      <c r="B1" s="3" t="s">
        <v>2147</v>
      </c>
      <c r="C1" s="3" t="s">
        <v>2148</v>
      </c>
      <c r="D1" s="3" t="s">
        <v>2149</v>
      </c>
    </row>
    <row r="2" spans="1:4" x14ac:dyDescent="0.25">
      <c r="A2" s="5">
        <v>1</v>
      </c>
      <c r="B2" s="10" t="s">
        <v>2013</v>
      </c>
      <c r="C2" s="5" t="s">
        <v>557</v>
      </c>
      <c r="D2" s="6" t="s">
        <v>2150</v>
      </c>
    </row>
    <row r="3" spans="1:4" x14ac:dyDescent="0.25">
      <c r="A3" s="7">
        <v>2</v>
      </c>
      <c r="B3" s="11" t="s">
        <v>2033</v>
      </c>
      <c r="C3" s="7" t="s">
        <v>2151</v>
      </c>
      <c r="D3" s="9" t="s">
        <v>2152</v>
      </c>
    </row>
    <row r="4" spans="1:4" x14ac:dyDescent="0.25">
      <c r="A4" s="5">
        <v>3</v>
      </c>
      <c r="B4" s="10" t="s">
        <v>2067</v>
      </c>
      <c r="C4" s="5" t="s">
        <v>2153</v>
      </c>
      <c r="D4" s="6" t="s">
        <v>2154</v>
      </c>
    </row>
    <row r="5" spans="1:4" x14ac:dyDescent="0.25">
      <c r="A5" s="7">
        <v>4</v>
      </c>
      <c r="B5" s="11" t="s">
        <v>2155</v>
      </c>
      <c r="C5" s="7" t="s">
        <v>2156</v>
      </c>
      <c r="D5" s="9" t="s">
        <v>2157</v>
      </c>
    </row>
    <row r="6" spans="1:4" x14ac:dyDescent="0.25">
      <c r="A6" s="5">
        <v>5</v>
      </c>
      <c r="B6" s="10" t="s">
        <v>2158</v>
      </c>
      <c r="C6" s="5" t="s">
        <v>2159</v>
      </c>
      <c r="D6" s="6" t="s">
        <v>2160</v>
      </c>
    </row>
    <row r="7" spans="1:4" x14ac:dyDescent="0.25">
      <c r="A7" s="7">
        <v>6</v>
      </c>
      <c r="B7" s="11" t="s">
        <v>765</v>
      </c>
      <c r="C7" s="7" t="s">
        <v>2161</v>
      </c>
      <c r="D7" s="9" t="s">
        <v>2162</v>
      </c>
    </row>
    <row r="8" spans="1:4" x14ac:dyDescent="0.25">
      <c r="A8" s="5">
        <v>7</v>
      </c>
      <c r="B8" s="10" t="s">
        <v>1383</v>
      </c>
      <c r="C8" s="5" t="s">
        <v>2163</v>
      </c>
      <c r="D8" s="6" t="s">
        <v>2164</v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LEIA-ME</vt:lpstr>
      <vt:lpstr>Macroprocessos</vt:lpstr>
      <vt:lpstr>Processos</vt:lpstr>
      <vt:lpstr>Subprocessos</vt:lpstr>
      <vt:lpstr>Atividades</vt:lpstr>
      <vt:lpstr>Tarefas</vt:lpstr>
      <vt:lpstr>Documentos</vt:lpstr>
      <vt:lpstr>Riscos</vt:lpstr>
      <vt:lpstr>Metricas</vt:lpstr>
      <vt:lpstr>Medicoes</vt:lpstr>
      <vt:lpstr>Papeis</vt:lpstr>
      <vt:lpstr>Regras</vt:lpstr>
      <vt:lpstr>Jornada</vt:lpstr>
      <vt:lpstr>Repositorio</vt:lpstr>
      <vt:lpstr>Iniciativas</vt:lpstr>
      <vt:lpstr>Cultura_Processos</vt:lpstr>
      <vt:lpstr>NUGEP</vt:lpstr>
      <vt:lpstr>Glossario</vt:lpstr>
      <vt:lpstr>FAQ</vt:lpstr>
      <vt:lpstr>Siglas</vt:lpstr>
      <vt:lpstr>Parametros</vt:lpstr>
      <vt:lpstr>Listas</vt:lpstr>
      <vt:lpstr>PlanoAcao</vt:lpstr>
      <vt:lpstr>Competencias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2026-08-14T22:45:09Z</dcterms:created>
  <dcterms:modified xsi:type="dcterms:W3CDTF">2026-08-14T22:52:59Z</dcterms:modified>
</cp:coreProperties>
</file>