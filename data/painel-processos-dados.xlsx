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Equipe_Processo" sheetId="25" r:id="rId26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5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  <row r="5">
      <c r="A5" s="4" t="inlineStr">
        <is>
          <t xml:space="preserve">Equipe de gerenciamento — uma por processo</t>
        </is>
      </c>
      <c r="B5" s="3" t="inlineStr">
        <is>
          <t xml:space="preserve">Cada processo tem a sua própria equipe de gerenciamento (RES 031/2025, item 3.7): ponto focal do Nugep, gestor(a) do processo e atores do processo. Cadastre os integrantes na aba Equipe_Processo, com a coluna Processo apontando para a Trilha do processo — não existe mais uma lista central de gestores.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46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 t="inlineStr">
        <is>
          <t xml:space="preserve">1</t>
        </is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Unidades_Organicas_Corresponsaveis</t>
        </is>
      </c>
      <c r="C7" s="3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7" s="3" t="inlineStr">
        <is>
          <t xml:space="preserve">AE/GAG; AT/GTI</t>
        </is>
      </c>
    </row>
    <row r="8">
      <c r="A8" s="7" t="inlineStr">
        <is>
          <t xml:space="preserve">Macroprocessos</t>
        </is>
      </c>
      <c r="B8" s="7" t="inlineStr">
        <is>
          <t xml:space="preserve">Descricao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Formulação, desdobramento e monitoramento da estratégia corporativa, da governança e do desempenh...</t>
        </is>
      </c>
    </row>
    <row r="9">
      <c r="A9" s="4" t="inlineStr">
        <is>
          <t xml:space="preserve">Macroprocessos</t>
        </is>
      </c>
      <c r="B9" s="4" t="inlineStr">
        <is>
          <t xml:space="preserve">Objetivo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Garantir que a atuação da Companhia esteja alinhada à estratégia, com decisões baseadas em evidên...</t>
        </is>
      </c>
    </row>
    <row r="10">
      <c r="A10" s="7" t="inlineStr">
        <is>
          <t xml:space="preserve">Macroprocessos</t>
        </is>
      </c>
      <c r="B10" s="7" t="inlineStr">
        <is>
          <t xml:space="preserve">Entregas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Plano Estratégico; Plano de Ação Anual; Relatórios de desempenho</t>
        </is>
      </c>
    </row>
    <row r="11">
      <c r="A11" s="4" t="inlineStr">
        <is>
          <t xml:space="preserve">Macroprocessos</t>
        </is>
      </c>
      <c r="B11" s="4" t="inlineStr">
        <is>
          <t xml:space="preserve">Beneficiarios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Diretoria Executiva; Conselho de Administração; Unidades internas</t>
        </is>
      </c>
    </row>
    <row r="12">
      <c r="A12" s="7" t="inlineStr">
        <is>
          <t xml:space="preserve">Macroprocessos</t>
        </is>
      </c>
      <c r="B12" s="7" t="inlineStr">
        <is>
          <t xml:space="preserve">Partes_Interessadas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Ministério supervisor; Órgãos de controle; Sociedade</t>
        </is>
      </c>
    </row>
    <row r="13">
      <c r="A13" s="4" t="inlineStr">
        <is>
          <t xml:space="preserve">Macroprocessos</t>
        </is>
      </c>
      <c r="B13" s="4" t="inlineStr">
        <is>
          <t xml:space="preserve">Sistemas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e-Codevasf; Painéis de BI</t>
        </is>
      </c>
    </row>
    <row r="14">
      <c r="A14" s="7" t="inlineStr">
        <is>
          <t xml:space="preserve">Macroprocessos</t>
        </is>
      </c>
      <c r="B14" s="7" t="inlineStr">
        <is>
          <t xml:space="preserve">Imagem_Bizagi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(sem exemplo)</t>
        </is>
      </c>
    </row>
    <row r="15">
      <c r="A15" s="4" t="inlineStr">
        <is>
          <t xml:space="preserve">Macroprocessos</t>
        </is>
      </c>
      <c r="B15" s="4" t="inlineStr">
        <is>
          <t xml:space="preserve">Observacoes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Macroprocesso priorizado no ciclo 2026 de mapeamento.</t>
        </is>
      </c>
    </row>
    <row r="16">
      <c r="A16" s="7" t="inlineStr">
        <is>
          <t xml:space="preserve">Macroprocessos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MG-01</t>
        </is>
      </c>
    </row>
    <row r="17">
      <c r="A17" s="4" t="inlineStr">
        <is>
          <t xml:space="preserve">Processos</t>
        </is>
      </c>
      <c r="B17" s="4" t="inlineStr">
        <is>
          <t xml:space="preserve">Trilha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 › PP-01</t>
        </is>
      </c>
    </row>
    <row r="18">
      <c r="A18" s="7" t="inlineStr">
        <is>
          <t xml:space="preserve">Processos</t>
        </is>
      </c>
      <c r="B18" s="7" t="inlineStr">
        <is>
          <t xml:space="preserve">Macroprocesso</t>
        </is>
      </c>
      <c r="C18" s="6" t="inlineStr">
        <is>
          <t xml:space="preserve">Campo de preenchimento livre ou calculado — ver aba anterior.</t>
        </is>
      </c>
      <c r="D18" s="6" t="inlineStr">
        <is>
          <t xml:space="preserve">MS-01</t>
        </is>
      </c>
    </row>
    <row r="19">
      <c r="A19" s="4" t="inlineStr">
        <is>
          <t xml:space="preserve">Processos</t>
        </is>
      </c>
      <c r="B19" s="4" t="inlineStr">
        <is>
          <t xml:space="preserve">Codigo</t>
        </is>
      </c>
      <c r="C19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9" s="3" t="inlineStr">
        <is>
          <t xml:space="preserve">PP-01</t>
        </is>
      </c>
    </row>
    <row r="20">
      <c r="A20" s="7" t="inlineStr">
        <is>
          <t xml:space="preserve">Processos</t>
        </is>
      </c>
      <c r="B20" s="7" t="inlineStr">
        <is>
          <t xml:space="preserve">Nome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Planejamento da Contratação</t>
        </is>
      </c>
    </row>
    <row r="21">
      <c r="A21" s="4" t="inlineStr">
        <is>
          <t xml:space="preserve">Processos</t>
        </is>
      </c>
      <c r="B21" s="4" t="inlineStr">
        <is>
          <t xml:space="preserve">Descricao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Da identificação da necessidade (DFD) até a aprovação do ETP, TR e pesquisa de preços que instrue...</t>
        </is>
      </c>
    </row>
    <row r="22">
      <c r="A22" s="7" t="inlineStr">
        <is>
          <t xml:space="preserve">Processos</t>
        </is>
      </c>
      <c r="B22" s="7" t="inlineStr">
        <is>
          <t xml:space="preserve">Objetivo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Instruir as contratações com estudos e artefatos completos, reduzindo retrabalho e impugnações.</t>
        </is>
      </c>
    </row>
    <row r="23">
      <c r="A23" s="4" t="inlineStr">
        <is>
          <t xml:space="preserve">Processos</t>
        </is>
      </c>
      <c r="B23" s="4" t="inlineStr">
        <is>
          <t xml:space="preserve">Unidade_Organica_Responsavel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AA/GLC</t>
        </is>
      </c>
    </row>
    <row r="24">
      <c r="A24" s="7" t="inlineStr">
        <is>
          <t xml:space="preserve">Processos</t>
        </is>
      </c>
      <c r="B24" s="7" t="inlineStr">
        <is>
          <t xml:space="preserve">Unidades_Organicas_Corresponsaveis</t>
        </is>
      </c>
      <c r="C24" s="6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24" s="6" t="inlineStr">
        <is>
          <t xml:space="preserve">AT/GTI</t>
        </is>
      </c>
    </row>
    <row r="25">
      <c r="A25" s="4" t="inlineStr">
        <is>
          <t xml:space="preserve">Processos</t>
        </is>
      </c>
      <c r="B25" s="4" t="inlineStr">
        <is>
          <t xml:space="preserve">Ponto_Focal_Nugep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Carlos Eduardo Lima (UNP)</t>
        </is>
      </c>
    </row>
    <row r="26">
      <c r="A26" s="7" t="inlineStr">
        <is>
          <t xml:space="preserve">Processos</t>
        </is>
      </c>
      <c r="B26" s="7" t="inlineStr">
        <is>
          <t xml:space="preserve">Prioridade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Alta</t>
        </is>
      </c>
    </row>
    <row r="27">
      <c r="A27" s="4" t="inlineStr">
        <is>
          <t xml:space="preserve">Processos</t>
        </is>
      </c>
      <c r="B27" s="4" t="inlineStr">
        <is>
          <t xml:space="preserve">Complexidade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Alta</t>
        </is>
      </c>
    </row>
    <row r="28">
      <c r="A28" s="7" t="inlineStr">
        <is>
          <t xml:space="preserve">Processos</t>
        </is>
      </c>
      <c r="B28" s="7" t="inlineStr">
        <is>
          <t xml:space="preserve">Maturidade</t>
        </is>
      </c>
      <c r="C28" s="6" t="inlineStr">
        <is>
          <t xml:space="preserve">Campo de preenchimento livre ou calculado — ver aba anterior.</t>
        </is>
      </c>
      <c r="D28" s="6" t="inlineStr">
        <is>
          <t xml:space="preserve">Definido</t>
        </is>
      </c>
    </row>
    <row r="29">
      <c r="A29" s="4" t="inlineStr">
        <is>
          <t xml:space="preserve">Processos</t>
        </is>
      </c>
      <c r="B29" s="4" t="inlineStr">
        <is>
          <t xml:space="preserve">Status_Mapeamento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Concluído</t>
        </is>
      </c>
    </row>
    <row r="30">
      <c r="A30" s="7" t="inlineStr">
        <is>
          <t xml:space="preserve">Processos</t>
        </is>
      </c>
      <c r="B30" s="7" t="inlineStr">
        <is>
          <t xml:space="preserve">Percentual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1</t>
        </is>
      </c>
    </row>
    <row r="31">
      <c r="A31" s="4" t="inlineStr">
        <is>
          <t xml:space="preserve">Processos</t>
        </is>
      </c>
      <c r="B31" s="4" t="inlineStr">
        <is>
          <t xml:space="preserve">Inicio_Mapeamento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05/01/2026</t>
        </is>
      </c>
    </row>
    <row r="32">
      <c r="A32" s="7" t="inlineStr">
        <is>
          <t xml:space="preserve">Processos</t>
        </is>
      </c>
      <c r="B32" s="7" t="inlineStr">
        <is>
          <t xml:space="preserve">Prazo_Previsto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29/05/2026</t>
        </is>
      </c>
    </row>
    <row r="33">
      <c r="A33" s="4" t="inlineStr">
        <is>
          <t xml:space="preserve">Processos</t>
        </is>
      </c>
      <c r="B33" s="4" t="inlineStr">
        <is>
          <t xml:space="preserve">Data_Conclusao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18/05/2026</t>
        </is>
      </c>
    </row>
    <row r="34">
      <c r="A34" s="7" t="inlineStr">
        <is>
          <t xml:space="preserve">Processos</t>
        </is>
      </c>
      <c r="B34" s="7" t="inlineStr">
        <is>
          <t xml:space="preserve">Ultima_Atualizacao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10/07/2026</t>
        </is>
      </c>
    </row>
    <row r="35">
      <c r="A35" s="4" t="inlineStr">
        <is>
          <t xml:space="preserve">Processos</t>
        </is>
      </c>
      <c r="B35" s="4" t="inlineStr">
        <is>
          <t xml:space="preserve">M1_Conhecer_Processo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M2_Processo_Modelado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M3_Subprocessos_Modelados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M4_ASIS_Modelado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M5_ASIS_Validado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M6_Procedimento_Aprovado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M7_Processo_Publicado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M8_TOBE_Elaborado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M9_TOBE_Aprovado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Sim</t>
        </is>
      </c>
    </row>
    <row r="44">
      <c r="A44" s="7" t="inlineStr">
        <is>
          <t xml:space="preserve">Processos</t>
        </is>
      </c>
      <c r="B44" s="7" t="inlineStr">
        <is>
          <t xml:space="preserve">M10_Processo_Transformado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Sim</t>
        </is>
      </c>
    </row>
    <row r="45">
      <c r="A45" s="4" t="inlineStr">
        <is>
          <t xml:space="preserve">Processos</t>
        </is>
      </c>
      <c r="B45" s="4" t="inlineStr">
        <is>
          <t xml:space="preserve">Fornecedores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Áreas demandantes; Painel de Preços; Fornecedores (cotações)</t>
        </is>
      </c>
    </row>
    <row r="46">
      <c r="A46" s="7" t="inlineStr">
        <is>
          <t xml:space="preserve">Processos</t>
        </is>
      </c>
      <c r="B46" s="7" t="inlineStr">
        <is>
          <t xml:space="preserve">Entradas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DFD; Plano de Contratações Anual; Requisitos da área</t>
        </is>
      </c>
    </row>
    <row r="47">
      <c r="A47" s="4" t="inlineStr">
        <is>
          <t xml:space="preserve">Processos</t>
        </is>
      </c>
      <c r="B47" s="4" t="inlineStr">
        <is>
          <t xml:space="preserve">Saidas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ETP aprovado; TR aprovado; Pesquisa de preços validada</t>
        </is>
      </c>
    </row>
    <row r="48">
      <c r="A48" s="7" t="inlineStr">
        <is>
          <t xml:space="preserve">Processos</t>
        </is>
      </c>
      <c r="B48" s="7" t="inlineStr">
        <is>
          <t xml:space="preserve">Beneficiarios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AA/GLC (Seleção do Fornecedor); Assessoria Jurídica</t>
        </is>
      </c>
    </row>
    <row r="49">
      <c r="A49" s="4" t="inlineStr">
        <is>
          <t xml:space="preserve">Processos</t>
        </is>
      </c>
      <c r="B49" s="4" t="inlineStr">
        <is>
          <t xml:space="preserve">Sistemas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e-Codevasf; Compras.gov.br; Painel de Preços</t>
        </is>
      </c>
    </row>
    <row r="50">
      <c r="A50" s="7" t="inlineStr">
        <is>
          <t xml:space="preserve">Processos</t>
        </is>
      </c>
      <c r="B50" s="7" t="inlineStr">
        <is>
          <t xml:space="preserve">Processo_ECodevasf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59500.000123/2026-11</t>
        </is>
      </c>
    </row>
    <row r="51">
      <c r="A51" s="4" t="inlineStr">
        <is>
          <t xml:space="preserve">Processos</t>
        </is>
      </c>
      <c r="B51" s="4" t="inlineStr">
        <is>
          <t xml:space="preserve">Processo_ECodevasf_Link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https://e-processo.codevasf.gov.br/sei/controlador.php?acao=procedimento_visualizar&amp;id=5950000012...</t>
        </is>
      </c>
    </row>
    <row r="52">
      <c r="A52" s="7" t="inlineStr">
        <is>
          <t xml:space="preserve">Processos</t>
        </is>
      </c>
      <c r="B52" s="7" t="inlineStr">
        <is>
          <t xml:space="preserve">Imagem_Bizagi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https://fluxosti.codevasf.gov.br/incidentes/</t>
        </is>
      </c>
    </row>
    <row r="53">
      <c r="A53" s="4" t="inlineStr">
        <is>
          <t xml:space="preserve">Processos</t>
        </is>
      </c>
      <c r="B53" s="4" t="inlineStr">
        <is>
          <t xml:space="preserve">Competencias_Necessarias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Elaboração de estudos técnicos e termos de referência; Conhecimento da Lei nº 14.133/2021; Pesqui...</t>
        </is>
      </c>
    </row>
    <row r="54">
      <c r="A54" s="7" t="inlineStr">
        <is>
          <t xml:space="preserve">Processos</t>
        </is>
      </c>
      <c r="B54" s="7" t="inlineStr">
        <is>
          <t xml:space="preserve">Fontes_Dados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e-Codevasf; Painel de Preços; PNCP</t>
        </is>
      </c>
    </row>
    <row r="55">
      <c r="A55" s="4" t="inlineStr">
        <is>
          <t xml:space="preserve">Processos</t>
        </is>
      </c>
      <c r="B55" s="4" t="inlineStr">
        <is>
          <t xml:space="preserve">Proxima_Acao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Monitorar indicadores do processo e revisar o PRO em 12 meses.</t>
        </is>
      </c>
    </row>
    <row r="56">
      <c r="A56" s="7" t="inlineStr">
        <is>
          <t xml:space="preserve">Processos</t>
        </is>
      </c>
      <c r="B56" s="7" t="inlineStr">
        <is>
          <t xml:space="preserve">Pendencia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Pendente retorno da área sobre fluxo de recursos administrativos.</t>
        </is>
      </c>
    </row>
    <row r="57">
      <c r="A57" s="4" t="inlineStr">
        <is>
          <t xml:space="preserve">Processos</t>
        </is>
      </c>
      <c r="B57" s="4" t="inlineStr">
        <is>
          <t xml:space="preserve">Gestor_Nome</t>
        </is>
      </c>
      <c r="C57" s="3" t="inlineStr">
        <is>
          <t xml:space="preserve">Pessoa que responde pelo processo no dia a dia — titular da unidade orgânica responsável ou, na ausência dele, o demandante. Distinta do ponto focal do Nugep, que acompanha o mapeamento.</t>
        </is>
      </c>
      <c r="D57" s="3" t="inlineStr">
        <is>
          <t xml:space="preserve">Vanessa Torres Almeida</t>
        </is>
      </c>
    </row>
    <row r="58">
      <c r="A58" s="7" t="inlineStr">
        <is>
          <t xml:space="preserve">Processos</t>
        </is>
      </c>
      <c r="B58" s="7" t="inlineStr">
        <is>
          <t xml:space="preserve">Gestor_Email</t>
        </is>
      </c>
      <c r="C58" s="6" t="inlineStr">
        <is>
          <t xml:space="preserve">E-mail do gestor(a) do processo.</t>
        </is>
      </c>
      <c r="D58" s="6" t="inlineStr">
        <is>
          <t xml:space="preserve">vanessa.almeida@codevasf.gov.br</t>
        </is>
      </c>
    </row>
    <row r="59">
      <c r="A59" s="4" t="inlineStr">
        <is>
          <t xml:space="preserve">Processos</t>
        </is>
      </c>
      <c r="B59" s="4" t="inlineStr">
        <is>
          <t xml:space="preserve">Gestor_Telefone</t>
        </is>
      </c>
      <c r="C59" s="3" t="inlineStr">
        <is>
          <t xml:space="preserve">Telefone do gestor(a) do processo.</t>
        </is>
      </c>
      <c r="D59" s="3" t="inlineStr">
        <is>
          <t xml:space="preserve">(61) 2028-4521</t>
        </is>
      </c>
    </row>
    <row r="60">
      <c r="A60" s="7" t="inlineStr">
        <is>
          <t xml:space="preserve">Processos</t>
        </is>
      </c>
      <c r="B60" s="7" t="inlineStr">
        <is>
          <t xml:space="preserve">Gestor_Unidade_Organica</t>
        </is>
      </c>
      <c r="C60" s="6" t="inlineStr">
        <is>
          <t xml:space="preserve">Sigla da unidade orgânica do gestor(a) do processo (lista suspensa da aba Siglas).</t>
        </is>
      </c>
      <c r="D60" s="6" t="inlineStr">
        <is>
          <t xml:space="preserve">AA/GLC</t>
        </is>
      </c>
    </row>
    <row r="61">
      <c r="A61" s="4" t="inlineStr">
        <is>
          <t xml:space="preserve">Subprocessos</t>
        </is>
      </c>
      <c r="B61" s="4" t="inlineStr">
        <is>
          <t xml:space="preserve">Trilha</t>
        </is>
      </c>
      <c r="C61" s="3" t="inlineStr">
        <is>
          <t xml:space="preserve">Campo de preenchimento livre ou calculado — ver aba anterior.</t>
        </is>
      </c>
      <c r="D61" s="3" t="inlineStr">
        <is>
          <t xml:space="preserve">MS-01 › PP-01 › SP-01</t>
        </is>
      </c>
    </row>
    <row r="62">
      <c r="A62" s="7" t="inlineStr">
        <is>
          <t xml:space="preserve">Subprocessos</t>
        </is>
      </c>
      <c r="B62" s="7" t="inlineStr">
        <is>
          <t xml:space="preserve">Macroprocesso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MS-01</t>
        </is>
      </c>
    </row>
    <row r="63">
      <c r="A63" s="4" t="inlineStr">
        <is>
          <t xml:space="preserve">Subprocessos</t>
        </is>
      </c>
      <c r="B63" s="4" t="inlineStr">
        <is>
          <t xml:space="preserve">Processo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PP-01</t>
        </is>
      </c>
    </row>
    <row r="64">
      <c r="A64" s="7" t="inlineStr">
        <is>
          <t xml:space="preserve">Subprocessos</t>
        </is>
      </c>
      <c r="B64" s="7" t="inlineStr">
        <is>
          <t xml:space="preserve">Codigo</t>
        </is>
      </c>
      <c r="C64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64" s="6" t="inlineStr">
        <is>
          <t xml:space="preserve">SP-01</t>
        </is>
      </c>
    </row>
    <row r="65">
      <c r="A65" s="4" t="inlineStr">
        <is>
          <t xml:space="preserve">Subprocessos</t>
        </is>
      </c>
      <c r="B65" s="4" t="inlineStr">
        <is>
          <t xml:space="preserve">Nome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Estudo Técnico Preliminar (ETP)</t>
        </is>
      </c>
    </row>
    <row r="66">
      <c r="A66" s="7" t="inlineStr">
        <is>
          <t xml:space="preserve">Subprocessos</t>
        </is>
      </c>
      <c r="B66" s="7" t="inlineStr">
        <is>
          <t xml:space="preserve">Vinculo_Pai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PP-01</t>
        </is>
      </c>
    </row>
    <row r="67">
      <c r="A67" s="4" t="inlineStr">
        <is>
          <t xml:space="preserve">Subprocessos</t>
        </is>
      </c>
      <c r="B67" s="4" t="inlineStr">
        <is>
          <t xml:space="preserve">Ordem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1</t>
        </is>
      </c>
    </row>
    <row r="68">
      <c r="A68" s="7" t="inlineStr">
        <is>
          <t xml:space="preserve">Subprocessos</t>
        </is>
      </c>
      <c r="B68" s="7" t="inlineStr">
        <is>
          <t xml:space="preserve">Descricao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Caracterização da necessidade, análise de soluções de mercado e demonstração da viabilidade da co...</t>
        </is>
      </c>
    </row>
    <row r="69">
      <c r="A69" s="4" t="inlineStr">
        <is>
          <t xml:space="preserve">Subprocessos</t>
        </is>
      </c>
      <c r="B69" s="4" t="inlineStr">
        <is>
          <t xml:space="preserve">Objetivo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Fundamentar tecnicamente a melhor solução para a necessidade.</t>
        </is>
      </c>
    </row>
    <row r="70">
      <c r="A70" s="7" t="inlineStr">
        <is>
          <t xml:space="preserve">Subprocessos</t>
        </is>
      </c>
      <c r="B70" s="7" t="inlineStr">
        <is>
          <t xml:space="preserve">Unidade_Organica_Responsavel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AA/GLC</t>
        </is>
      </c>
    </row>
    <row r="71">
      <c r="A71" s="4" t="inlineStr">
        <is>
          <t xml:space="preserve">Subprocessos</t>
        </is>
      </c>
      <c r="B71" s="4" t="inlineStr">
        <is>
          <t xml:space="preserve">Unidades_Organicas_Corresponsaveis</t>
        </is>
      </c>
      <c r="C71" s="3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71" s="3" t="inlineStr">
        <is>
          <t xml:space="preserve">AR/GDT</t>
        </is>
      </c>
    </row>
    <row r="72">
      <c r="A72" s="7" t="inlineStr">
        <is>
          <t xml:space="preserve">Subprocessos</t>
        </is>
      </c>
      <c r="B72" s="7" t="inlineStr">
        <is>
          <t xml:space="preserve">Reutilizavel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Sim</t>
        </is>
      </c>
    </row>
    <row r="73">
      <c r="A73" s="4" t="inlineStr">
        <is>
          <t xml:space="preserve">Subprocessos</t>
        </is>
      </c>
      <c r="B73" s="4" t="inlineStr">
        <is>
          <t xml:space="preserve">Reutilizado_Em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MS-01/PP-02; MF-02/PP-01</t>
        </is>
      </c>
    </row>
    <row r="74">
      <c r="A74" s="7" t="inlineStr">
        <is>
          <t xml:space="preserve">Subprocessos</t>
        </is>
      </c>
      <c r="B74" s="7" t="inlineStr">
        <is>
          <t xml:space="preserve">Entradas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DFD; Levantamento de soluções de mercado</t>
        </is>
      </c>
    </row>
    <row r="75">
      <c r="A75" s="4" t="inlineStr">
        <is>
          <t xml:space="preserve">Subprocessos</t>
        </is>
      </c>
      <c r="B75" s="4" t="inlineStr">
        <is>
          <t xml:space="preserve">Saidas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ETP aprovado no e-Codevasf</t>
        </is>
      </c>
    </row>
    <row r="76">
      <c r="A76" s="7" t="inlineStr">
        <is>
          <t xml:space="preserve">Subprocessos</t>
        </is>
      </c>
      <c r="B76" s="7" t="inlineStr">
        <is>
          <t xml:space="preserve">Sistemas</t>
        </is>
      </c>
      <c r="C76" s="6" t="inlineStr">
        <is>
          <t xml:space="preserve">Campo de preenchimento livre ou calculado — ver aba anterior.</t>
        </is>
      </c>
      <c r="D76" s="6" t="inlineStr">
        <is>
          <t xml:space="preserve">e-Codevasf; Compras.gov.br</t>
        </is>
      </c>
    </row>
    <row r="77">
      <c r="A77" s="4" t="inlineStr">
        <is>
          <t xml:space="preserve">Subprocessos</t>
        </is>
      </c>
      <c r="B77" s="4" t="inlineStr">
        <is>
          <t xml:space="preserve">Fontes_Dados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e-Codevasf</t>
        </is>
      </c>
    </row>
    <row r="78">
      <c r="A78" s="7" t="inlineStr">
        <is>
          <t xml:space="preserve">Subprocessos</t>
        </is>
      </c>
      <c r="B78" s="7" t="inlineStr">
        <is>
          <t xml:space="preserve">Imagem_Bizagi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(sem exemplo)</t>
        </is>
      </c>
    </row>
    <row r="79">
      <c r="A79" s="4" t="inlineStr">
        <is>
          <t xml:space="preserve">Atividades</t>
        </is>
      </c>
      <c r="B79" s="4" t="inlineStr">
        <is>
          <t xml:space="preserve">Trilha</t>
        </is>
      </c>
      <c r="C79" s="3" t="inlineStr">
        <is>
          <t xml:space="preserve">Campo de preenchimento livre ou calculado — ver aba anterior.</t>
        </is>
      </c>
      <c r="D79" s="3" t="inlineStr">
        <is>
          <t xml:space="preserve">MS-01 › PP-01 › SP-01 › AT-01</t>
        </is>
      </c>
    </row>
    <row r="80">
      <c r="A80" s="7" t="inlineStr">
        <is>
          <t xml:space="preserve">Atividades</t>
        </is>
      </c>
      <c r="B80" s="7" t="inlineStr">
        <is>
          <t xml:space="preserve">Macroprocesso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MS-01</t>
        </is>
      </c>
    </row>
    <row r="81">
      <c r="A81" s="4" t="inlineStr">
        <is>
          <t xml:space="preserve">Atividades</t>
        </is>
      </c>
      <c r="B81" s="4" t="inlineStr">
        <is>
          <t xml:space="preserve">Processo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PP-01</t>
        </is>
      </c>
    </row>
    <row r="82">
      <c r="A82" s="7" t="inlineStr">
        <is>
          <t xml:space="preserve">Atividades</t>
        </is>
      </c>
      <c r="B82" s="7" t="inlineStr">
        <is>
          <t xml:space="preserve">Subprocesso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SP-01</t>
        </is>
      </c>
    </row>
    <row r="83">
      <c r="A83" s="4" t="inlineStr">
        <is>
          <t xml:space="preserve">Atividades</t>
        </is>
      </c>
      <c r="B83" s="4" t="inlineStr">
        <is>
          <t xml:space="preserve">Codigo</t>
        </is>
      </c>
      <c r="C83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83" s="3" t="inlineStr">
        <is>
          <t xml:space="preserve">AT-01</t>
        </is>
      </c>
    </row>
    <row r="84">
      <c r="A84" s="7" t="inlineStr">
        <is>
          <t xml:space="preserve">Atividades</t>
        </is>
      </c>
      <c r="B84" s="7" t="inlineStr">
        <is>
          <t xml:space="preserve">Nome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Formalizar a necessidade (DFD)</t>
        </is>
      </c>
    </row>
    <row r="85">
      <c r="A85" s="4" t="inlineStr">
        <is>
          <t xml:space="preserve">Atividades</t>
        </is>
      </c>
      <c r="B85" s="4" t="inlineStr">
        <is>
          <t xml:space="preserve">Vinculo_Pai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SP-01</t>
        </is>
      </c>
    </row>
    <row r="86">
      <c r="A86" s="7" t="inlineStr">
        <is>
          <t xml:space="preserve">Atividades</t>
        </is>
      </c>
      <c r="B86" s="7" t="inlineStr">
        <is>
          <t xml:space="preserve">Ordem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1</t>
        </is>
      </c>
    </row>
    <row r="87">
      <c r="A87" s="4" t="inlineStr">
        <is>
          <t xml:space="preserve">Atividades</t>
        </is>
      </c>
      <c r="B87" s="4" t="inlineStr">
        <is>
          <t xml:space="preserve">Tipo_Atividade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Agregação de Valor</t>
        </is>
      </c>
    </row>
    <row r="88">
      <c r="A88" s="7" t="inlineStr">
        <is>
          <t xml:space="preserve">Atividades</t>
        </is>
      </c>
      <c r="B88" s="7" t="inlineStr">
        <is>
          <t xml:space="preserve">Descricao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A área demandante registra a necessidade de contratação no Documento de Formalização da Demanda (...</t>
        </is>
      </c>
    </row>
    <row r="89">
      <c r="A89" s="4" t="inlineStr">
        <is>
          <t xml:space="preserve">Atividades</t>
        </is>
      </c>
      <c r="B89" s="4" t="inlineStr">
        <is>
          <t xml:space="preserve">Entradas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Necessidade identificada; Plano de Contratações Anual</t>
        </is>
      </c>
    </row>
    <row r="90">
      <c r="A90" s="7" t="inlineStr">
        <is>
          <t xml:space="preserve">Atividades</t>
        </is>
      </c>
      <c r="B90" s="7" t="inlineStr">
        <is>
          <t xml:space="preserve">Saidas</t>
        </is>
      </c>
      <c r="C90" s="6" t="inlineStr">
        <is>
          <t xml:space="preserve">Campo de preenchimento livre ou calculado — ver aba anterior.</t>
        </is>
      </c>
      <c r="D90" s="6" t="inlineStr">
        <is>
          <t xml:space="preserve">DFD assinado no e-Codevasf</t>
        </is>
      </c>
    </row>
    <row r="91">
      <c r="A91" s="4" t="inlineStr">
        <is>
          <t xml:space="preserve">Atividades</t>
        </is>
      </c>
      <c r="B91" s="4" t="inlineStr">
        <is>
          <t xml:space="preserve">Sistemas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e-Codevasf</t>
        </is>
      </c>
    </row>
    <row r="92">
      <c r="A92" s="7" t="inlineStr">
        <is>
          <t xml:space="preserve">Tarefas</t>
        </is>
      </c>
      <c r="B92" s="7" t="inlineStr">
        <is>
          <t xml:space="preserve">Trilha</t>
        </is>
      </c>
      <c r="C92" s="6" t="inlineStr">
        <is>
          <t xml:space="preserve">Campo de preenchimento livre ou calculado — ver aba anterior.</t>
        </is>
      </c>
      <c r="D92" s="6" t="inlineStr">
        <is>
          <t xml:space="preserve">MS-01 › PP-01 › SP-01 › AT-01 › TR-01</t>
        </is>
      </c>
    </row>
    <row r="93">
      <c r="A93" s="4" t="inlineStr">
        <is>
          <t xml:space="preserve">Tarefas</t>
        </is>
      </c>
      <c r="B93" s="4" t="inlineStr">
        <is>
          <t xml:space="preserve">Macroprocesso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MS-01</t>
        </is>
      </c>
    </row>
    <row r="94">
      <c r="A94" s="7" t="inlineStr">
        <is>
          <t xml:space="preserve">Tarefas</t>
        </is>
      </c>
      <c r="B94" s="7" t="inlineStr">
        <is>
          <t xml:space="preserve">Processo</t>
        </is>
      </c>
      <c r="C94" s="6" t="inlineStr">
        <is>
          <t xml:space="preserve">Campo de preenchimento livre ou calculado — ver aba anterior.</t>
        </is>
      </c>
      <c r="D94" s="6" t="inlineStr">
        <is>
          <t xml:space="preserve">PP-01</t>
        </is>
      </c>
    </row>
    <row r="95">
      <c r="A95" s="4" t="inlineStr">
        <is>
          <t xml:space="preserve">Tarefas</t>
        </is>
      </c>
      <c r="B95" s="4" t="inlineStr">
        <is>
          <t xml:space="preserve">Subprocesso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SP-01</t>
        </is>
      </c>
    </row>
    <row r="96">
      <c r="A96" s="7" t="inlineStr">
        <is>
          <t xml:space="preserve">Tarefas</t>
        </is>
      </c>
      <c r="B96" s="7" t="inlineStr">
        <is>
          <t xml:space="preserve">Atividade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AT-01</t>
        </is>
      </c>
    </row>
    <row r="97">
      <c r="A97" s="4" t="inlineStr">
        <is>
          <t xml:space="preserve">Tarefas</t>
        </is>
      </c>
      <c r="B97" s="4" t="inlineStr">
        <is>
          <t xml:space="preserve">Codigo</t>
        </is>
      </c>
      <c r="C97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7" s="3" t="inlineStr">
        <is>
          <t xml:space="preserve">TR-01</t>
        </is>
      </c>
    </row>
    <row r="98">
      <c r="A98" s="7" t="inlineStr">
        <is>
          <t xml:space="preserve">Tarefas</t>
        </is>
      </c>
      <c r="B98" s="7" t="inlineStr">
        <is>
          <t xml:space="preserve">Nome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Reunir informações da demanda</t>
        </is>
      </c>
    </row>
    <row r="99">
      <c r="A99" s="4" t="inlineStr">
        <is>
          <t xml:space="preserve">Tarefas</t>
        </is>
      </c>
      <c r="B99" s="4" t="inlineStr">
        <is>
          <t xml:space="preserve">Ordem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1</t>
        </is>
      </c>
    </row>
    <row r="100">
      <c r="A100" s="7" t="inlineStr">
        <is>
          <t xml:space="preserve">Tarefas</t>
        </is>
      </c>
      <c r="B100" s="7" t="inlineStr">
        <is>
          <t xml:space="preserve">Tipo_Tarefa</t>
        </is>
      </c>
      <c r="C100" s="6" t="inlineStr">
        <is>
          <t xml:space="preserve">Campo de preenchimento livre ou calculado — ver aba anterior.</t>
        </is>
      </c>
      <c r="D100" s="6" t="inlineStr">
        <is>
          <t xml:space="preserve">Manual</t>
        </is>
      </c>
    </row>
    <row r="101">
      <c r="A101" s="4" t="inlineStr">
        <is>
          <t xml:space="preserve">Tarefas</t>
        </is>
      </c>
      <c r="B101" s="4" t="inlineStr">
        <is>
          <t xml:space="preserve">Duracao_Estimada</t>
        </is>
      </c>
      <c r="C101" s="3" t="inlineStr">
        <is>
          <t xml:space="preserve">Campo de preenchimento livre ou calculado — ver aba anterior.</t>
        </is>
      </c>
      <c r="D101" s="3" t="inlineStr">
        <is>
          <t xml:space="preserve">4</t>
        </is>
      </c>
    </row>
    <row r="102">
      <c r="A102" s="7" t="inlineStr">
        <is>
          <t xml:space="preserve">Tarefas</t>
        </is>
      </c>
      <c r="B102" s="7" t="inlineStr">
        <is>
          <t xml:space="preserve">Observacoes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Modelo DOC-006/DOC-012.</t>
        </is>
      </c>
    </row>
    <row r="103">
      <c r="A103" s="4" t="inlineStr">
        <is>
          <t xml:space="preserve">Documentos</t>
        </is>
      </c>
      <c r="B103" s="4" t="inlineStr">
        <is>
          <t xml:space="preserve">ID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DOC-001</t>
        </is>
      </c>
    </row>
    <row r="104">
      <c r="A104" s="7" t="inlineStr">
        <is>
          <t xml:space="preserve">Documentos</t>
        </is>
      </c>
      <c r="B104" s="7" t="inlineStr">
        <is>
          <t xml:space="preserve">Titulo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PRO 06.01 — Planejamento da Contratação</t>
        </is>
      </c>
    </row>
    <row r="105">
      <c r="A105" s="4" t="inlineStr">
        <is>
          <t xml:space="preserve">Documentos</t>
        </is>
      </c>
      <c r="B105" s="4" t="inlineStr">
        <is>
          <t xml:space="preserve">Tipo_Documento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Procedimento (PRO)</t>
        </is>
      </c>
    </row>
    <row r="106">
      <c r="A106" s="7" t="inlineStr">
        <is>
          <t xml:space="preserve">Documentos</t>
        </is>
      </c>
      <c r="B106" s="7" t="inlineStr">
        <is>
          <t xml:space="preserve">Vinculo_Nivel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Processo</t>
        </is>
      </c>
    </row>
    <row r="107">
      <c r="A107" s="4" t="inlineStr">
        <is>
          <t xml:space="preserve">Documentos</t>
        </is>
      </c>
      <c r="B107" s="4" t="inlineStr">
        <is>
          <t xml:space="preserve">Vinculo_Codigo</t>
        </is>
      </c>
      <c r="C107" s="3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07" s="3" t="inlineStr">
        <is>
          <t xml:space="preserve">MS-01 › PP-01</t>
        </is>
      </c>
    </row>
    <row r="108">
      <c r="A108" s="7" t="inlineStr">
        <is>
          <t xml:space="preserve">Documentos</t>
        </is>
      </c>
      <c r="B108" s="7" t="inlineStr">
        <is>
          <t xml:space="preserve">Versao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2</t>
        </is>
      </c>
    </row>
    <row r="109">
      <c r="A109" s="4" t="inlineStr">
        <is>
          <t xml:space="preserve">Documentos</t>
        </is>
      </c>
      <c r="B109" s="4" t="inlineStr">
        <is>
          <t xml:space="preserve">Data</t>
        </is>
      </c>
      <c r="C109" s="3" t="inlineStr">
        <is>
          <t xml:space="preserve">Campo de preenchimento livre ou calculado — ver aba anterior.</t>
        </is>
      </c>
      <c r="D109" s="3" t="inlineStr">
        <is>
          <t xml:space="preserve">18/05/2026</t>
        </is>
      </c>
    </row>
    <row r="110">
      <c r="A110" s="7" t="inlineStr">
        <is>
          <t xml:space="preserve">Documentos</t>
        </is>
      </c>
      <c r="B110" s="7" t="inlineStr">
        <is>
          <t xml:space="preserve">Situacao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Vigente</t>
        </is>
      </c>
    </row>
    <row r="111">
      <c r="A111" s="4" t="inlineStr">
        <is>
          <t xml:space="preserve">Documentos</t>
        </is>
      </c>
      <c r="B111" s="4" t="inlineStr">
        <is>
          <t xml:space="preserve">Ato_Aprovacao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Resolução nº 812, de 18/05/2026 (Diretoria Executiva)</t>
        </is>
      </c>
    </row>
    <row r="112">
      <c r="A112" s="7" t="inlineStr">
        <is>
          <t xml:space="preserve">Documentos</t>
        </is>
      </c>
      <c r="B112" s="7" t="inlineStr">
        <is>
          <t xml:space="preserve">Link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https://exemplo.codevasf.gov.br/repositorio/pop-06-01.pdf</t>
        </is>
      </c>
    </row>
    <row r="113">
      <c r="A113" s="4" t="inlineStr">
        <is>
          <t xml:space="preserve">Documentos</t>
        </is>
      </c>
      <c r="B113" s="4" t="inlineStr">
        <is>
          <t xml:space="preserve">Observacoes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Publicado após validação do TO-BE.</t>
        </is>
      </c>
    </row>
    <row r="114">
      <c r="A114" s="7" t="inlineStr">
        <is>
          <t xml:space="preserve">Riscos</t>
        </is>
      </c>
      <c r="B114" s="7" t="inlineStr">
        <is>
          <t xml:space="preserve">ID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RIS-001</t>
        </is>
      </c>
    </row>
    <row r="115">
      <c r="A115" s="4" t="inlineStr">
        <is>
          <t xml:space="preserve">Riscos</t>
        </is>
      </c>
      <c r="B115" s="4" t="inlineStr">
        <is>
          <t xml:space="preserve">Vinculo_Nivel</t>
        </is>
      </c>
      <c r="C115" s="3" t="inlineStr">
        <is>
          <t xml:space="preserve">Campo de preenchimento livre ou calculado — ver aba anterior.</t>
        </is>
      </c>
      <c r="D115" s="3" t="inlineStr">
        <is>
          <t xml:space="preserve">Processo</t>
        </is>
      </c>
    </row>
    <row r="116">
      <c r="A116" s="7" t="inlineStr">
        <is>
          <t xml:space="preserve">Riscos</t>
        </is>
      </c>
      <c r="B116" s="7" t="inlineStr">
        <is>
          <t xml:space="preserve">Vinculo_Codigo</t>
        </is>
      </c>
      <c r="C116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16" s="6" t="inlineStr">
        <is>
          <t xml:space="preserve">MS-01 › PP-01</t>
        </is>
      </c>
    </row>
    <row r="117">
      <c r="A117" s="4" t="inlineStr">
        <is>
          <t xml:space="preserve">Riscos</t>
        </is>
      </c>
      <c r="B117" s="4" t="inlineStr">
        <is>
          <t xml:space="preserve">Descricao_Risco</t>
        </is>
      </c>
      <c r="C117" s="3" t="inlineStr">
        <is>
          <t xml:space="preserve">Campo de preenchimento livre ou calculado — ver aba anterior.</t>
        </is>
      </c>
      <c r="D117" s="3" t="inlineStr">
        <is>
          <t xml:space="preserve">Estimativas de preço defasadas gerando sobrepreço ou licitação deserta.</t>
        </is>
      </c>
    </row>
    <row r="118">
      <c r="A118" s="7" t="inlineStr">
        <is>
          <t xml:space="preserve">Riscos</t>
        </is>
      </c>
      <c r="B118" s="7" t="inlineStr">
        <is>
          <t xml:space="preserve">Categoria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Operacional</t>
        </is>
      </c>
    </row>
    <row r="119">
      <c r="A119" s="4" t="inlineStr">
        <is>
          <t xml:space="preserve">Riscos</t>
        </is>
      </c>
      <c r="B119" s="4" t="inlineStr">
        <is>
          <t xml:space="preserve">Fatores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(sem exemplo)</t>
        </is>
      </c>
    </row>
    <row r="120">
      <c r="A120" s="7" t="inlineStr">
        <is>
          <t xml:space="preserve">Riscos</t>
        </is>
      </c>
      <c r="B120" s="7" t="inlineStr">
        <is>
          <t xml:space="preserve">Cronograma_Risco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(sem exemplo)</t>
        </is>
      </c>
    </row>
    <row r="121">
      <c r="A121" s="4" t="inlineStr">
        <is>
          <t xml:space="preserve">Riscos</t>
        </is>
      </c>
      <c r="B121" s="4" t="inlineStr">
        <is>
          <t xml:space="preserve">Data_Identificacao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05/01/2026</t>
        </is>
      </c>
    </row>
    <row r="122">
      <c r="A122" s="7" t="inlineStr">
        <is>
          <t xml:space="preserve">Riscos</t>
        </is>
      </c>
      <c r="B122" s="7" t="inlineStr">
        <is>
          <t xml:space="preserve">Probabilidade_1a5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4</t>
        </is>
      </c>
    </row>
    <row r="123">
      <c r="A123" s="4" t="inlineStr">
        <is>
          <t xml:space="preserve">Riscos</t>
        </is>
      </c>
      <c r="B123" s="4" t="inlineStr">
        <is>
          <t xml:space="preserve">Impacto_1a5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4</t>
        </is>
      </c>
    </row>
    <row r="124">
      <c r="A124" s="7" t="inlineStr">
        <is>
          <t xml:space="preserve">Riscos</t>
        </is>
      </c>
      <c r="B124" s="7" t="inlineStr">
        <is>
          <t xml:space="preserve">Nivel_PxI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16</t>
        </is>
      </c>
    </row>
    <row r="125">
      <c r="A125" s="4" t="inlineStr">
        <is>
          <t xml:space="preserve">Riscos</t>
        </is>
      </c>
      <c r="B125" s="4" t="inlineStr">
        <is>
          <t xml:space="preserve">Classificacao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Alto</t>
        </is>
      </c>
    </row>
    <row r="126">
      <c r="A126" s="7" t="inlineStr">
        <is>
          <t xml:space="preserve">Riscos</t>
        </is>
      </c>
      <c r="B126" s="7" t="inlineStr">
        <is>
          <t xml:space="preserve">Resposta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Mitigar</t>
        </is>
      </c>
    </row>
    <row r="127">
      <c r="A127" s="4" t="inlineStr">
        <is>
          <t xml:space="preserve">Riscos</t>
        </is>
      </c>
      <c r="B127" s="4" t="inlineStr">
        <is>
          <t xml:space="preserve">Controles_Tratamento</t>
        </is>
      </c>
      <c r="C127" s="3" t="inlineStr">
        <is>
          <t xml:space="preserve">Campo de preenchimento livre ou calculado — ver aba anterior.</t>
        </is>
      </c>
      <c r="D127" s="3" t="inlineStr">
        <is>
          <t xml:space="preserve">Roteiro de pesquisa com múltiplas fontes (Painel de Preços, PNCP) e revisão pela UNP.</t>
        </is>
      </c>
    </row>
    <row r="128">
      <c r="A128" s="7" t="inlineStr">
        <is>
          <t xml:space="preserve">Riscos</t>
        </is>
      </c>
      <c r="B128" s="7" t="inlineStr">
        <is>
          <t xml:space="preserve">Prazo_Tratamento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30/09/2026</t>
        </is>
      </c>
    </row>
    <row r="129">
      <c r="A129" s="4" t="inlineStr">
        <is>
          <t xml:space="preserve">Riscos</t>
        </is>
      </c>
      <c r="B129" s="4" t="inlineStr">
        <is>
          <t xml:space="preserve">Responsavel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Ricardo Nogueira</t>
        </is>
      </c>
    </row>
    <row r="130">
      <c r="A130" s="7" t="inlineStr">
        <is>
          <t xml:space="preserve">Riscos</t>
        </is>
      </c>
      <c r="B130" s="7" t="inlineStr">
        <is>
          <t xml:space="preserve">Status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Em tratamento</t>
        </is>
      </c>
    </row>
    <row r="131">
      <c r="A131" s="4" t="inlineStr">
        <is>
          <t xml:space="preserve">Metricas</t>
        </is>
      </c>
      <c r="B131" s="4" t="inlineStr">
        <is>
          <t xml:space="preserve">ID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IND-001</t>
        </is>
      </c>
    </row>
    <row r="132">
      <c r="A132" s="7" t="inlineStr">
        <is>
          <t xml:space="preserve">Metricas</t>
        </is>
      </c>
      <c r="B132" s="7" t="inlineStr">
        <is>
          <t xml:space="preserve">Nome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Tempo médio do ciclo de contratação</t>
        </is>
      </c>
    </row>
    <row r="133">
      <c r="A133" s="4" t="inlineStr">
        <is>
          <t xml:space="preserve">Metricas</t>
        </is>
      </c>
      <c r="B133" s="4" t="inlineStr">
        <is>
          <t xml:space="preserve">Vinculo_Nivel</t>
        </is>
      </c>
      <c r="C133" s="3" t="inlineStr">
        <is>
          <t xml:space="preserve">Campo de preenchimento livre ou calculado — ver aba anterior.</t>
        </is>
      </c>
      <c r="D133" s="3" t="inlineStr">
        <is>
          <t xml:space="preserve">Macroprocesso</t>
        </is>
      </c>
    </row>
    <row r="134">
      <c r="A134" s="7" t="inlineStr">
        <is>
          <t xml:space="preserve">Metricas</t>
        </is>
      </c>
      <c r="B134" s="7" t="inlineStr">
        <is>
          <t xml:space="preserve">Vinculo_Codigo</t>
        </is>
      </c>
      <c r="C134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34" s="6" t="inlineStr">
        <is>
          <t xml:space="preserve">MS-01</t>
        </is>
      </c>
    </row>
    <row r="135">
      <c r="A135" s="4" t="inlineStr">
        <is>
          <t xml:space="preserve">Metricas</t>
        </is>
      </c>
      <c r="B135" s="4" t="inlineStr">
        <is>
          <t xml:space="preserve">Categoria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Processo</t>
        </is>
      </c>
    </row>
    <row r="136">
      <c r="A136" s="7" t="inlineStr">
        <is>
          <t xml:space="preserve">Metricas</t>
        </is>
      </c>
      <c r="B136" s="7" t="inlineStr">
        <is>
          <t xml:space="preserve">Descricao_Formula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Média de dias entre o DFD e a homologação do certame.</t>
        </is>
      </c>
    </row>
    <row r="137">
      <c r="A137" s="4" t="inlineStr">
        <is>
          <t xml:space="preserve">Metricas</t>
        </is>
      </c>
      <c r="B137" s="4" t="inlineStr">
        <is>
          <t xml:space="preserve">Criterios_Desempenho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Verde: ≤ 120 dias · Amarelo: 121–150 dias · Vermelho: &gt; 150 dias</t>
        </is>
      </c>
    </row>
    <row r="138">
      <c r="A138" s="7" t="inlineStr">
        <is>
          <t xml:space="preserve">Metricas</t>
        </is>
      </c>
      <c r="B138" s="7" t="inlineStr">
        <is>
          <t xml:space="preserve">Unidade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dias</t>
        </is>
      </c>
    </row>
    <row r="139">
      <c r="A139" s="4" t="inlineStr">
        <is>
          <t xml:space="preserve">Metricas</t>
        </is>
      </c>
      <c r="B139" s="4" t="inlineStr">
        <is>
          <t xml:space="preserve">Polaridade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Menor melhor</t>
        </is>
      </c>
    </row>
    <row r="140">
      <c r="A140" s="7" t="inlineStr">
        <is>
          <t xml:space="preserve">Metricas</t>
        </is>
      </c>
      <c r="B140" s="7" t="inlineStr">
        <is>
          <t xml:space="preserve">Meta</t>
        </is>
      </c>
      <c r="C140" s="6" t="inlineStr">
        <is>
          <t xml:space="preserve">Campo de preenchimento livre ou calculado — ver aba anterior.</t>
        </is>
      </c>
      <c r="D140" s="6" t="inlineStr">
        <is>
          <t xml:space="preserve">120</t>
        </is>
      </c>
    </row>
    <row r="141">
      <c r="A141" s="4" t="inlineStr">
        <is>
          <t xml:space="preserve">Metricas</t>
        </is>
      </c>
      <c r="B141" s="4" t="inlineStr">
        <is>
          <t xml:space="preserve">Periodicidade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Trimestral</t>
        </is>
      </c>
    </row>
    <row r="142">
      <c r="A142" s="7" t="inlineStr">
        <is>
          <t xml:space="preserve">Metricas</t>
        </is>
      </c>
      <c r="B142" s="7" t="inlineStr">
        <is>
          <t xml:space="preserve">Fonte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Compras.gov.br</t>
        </is>
      </c>
    </row>
    <row r="143">
      <c r="A143" s="4" t="inlineStr">
        <is>
          <t xml:space="preserve">Metricas</t>
        </is>
      </c>
      <c r="B143" s="4" t="inlineStr">
        <is>
          <t xml:space="preserve">Observacoes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Acordado com as áreas demandantes em 2026.</t>
        </is>
      </c>
    </row>
    <row r="144">
      <c r="A144" s="7" t="inlineStr">
        <is>
          <t xml:space="preserve">Metricas</t>
        </is>
      </c>
      <c r="B144" s="7" t="inlineStr">
        <is>
          <t xml:space="preserve">Formula</t>
        </is>
      </c>
      <c r="C144" s="6" t="inlineStr">
        <is>
          <t xml:space="preserve">Campo de preenchimento livre ou calculado — ver aba anterior.</t>
        </is>
      </c>
      <c r="D144" s="6" t="inlineStr">
        <is>
          <t xml:space="preserve">Σ(Data_Homologação − Data_DFD) / nº de processos concluídos no período</t>
        </is>
      </c>
    </row>
    <row r="145">
      <c r="A145" s="4" t="inlineStr">
        <is>
          <t xml:space="preserve">Medicoes</t>
        </is>
      </c>
      <c r="B145" s="4" t="inlineStr">
        <is>
          <t xml:space="preserve">ID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MED-001</t>
        </is>
      </c>
    </row>
    <row r="146">
      <c r="A146" s="7" t="inlineStr">
        <is>
          <t xml:space="preserve">Medicoes</t>
        </is>
      </c>
      <c r="B146" s="7" t="inlineStr">
        <is>
          <t xml:space="preserve">Metrica_ID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IND-001</t>
        </is>
      </c>
    </row>
    <row r="147">
      <c r="A147" s="4" t="inlineStr">
        <is>
          <t xml:space="preserve">Medicoes</t>
        </is>
      </c>
      <c r="B147" s="4" t="inlineStr">
        <is>
          <t xml:space="preserve">Data_Medicao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30/06/2026</t>
        </is>
      </c>
    </row>
    <row r="148">
      <c r="A148" s="7" t="inlineStr">
        <is>
          <t xml:space="preserve">Medicoes</t>
        </is>
      </c>
      <c r="B148" s="7" t="inlineStr">
        <is>
          <t xml:space="preserve">Valor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148</t>
        </is>
      </c>
    </row>
    <row r="149">
      <c r="A149" s="4" t="inlineStr">
        <is>
          <t xml:space="preserve">Medicoes</t>
        </is>
      </c>
      <c r="B149" s="4" t="inlineStr">
        <is>
          <t xml:space="preserve">Observacao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Primeira apuração do trimestre.</t>
        </is>
      </c>
    </row>
    <row r="150">
      <c r="A150" s="7" t="inlineStr">
        <is>
          <t xml:space="preserve">Papeis</t>
        </is>
      </c>
      <c r="B150" s="7" t="inlineStr">
        <is>
          <t xml:space="preserve">ID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PAP-001</t>
        </is>
      </c>
    </row>
    <row r="151">
      <c r="A151" s="4" t="inlineStr">
        <is>
          <t xml:space="preserve">Papeis</t>
        </is>
      </c>
      <c r="B151" s="4" t="inlineStr">
        <is>
          <t xml:space="preserve">Vinculo_Nivel</t>
        </is>
      </c>
      <c r="C151" s="3" t="inlineStr">
        <is>
          <t xml:space="preserve">Campo de preenchimento livre ou calculado — ver aba anterior.</t>
        </is>
      </c>
      <c r="D151" s="3" t="inlineStr">
        <is>
          <t xml:space="preserve">Processo</t>
        </is>
      </c>
    </row>
    <row r="152">
      <c r="A152" s="7" t="inlineStr">
        <is>
          <t xml:space="preserve">Papeis</t>
        </is>
      </c>
      <c r="B152" s="7" t="inlineStr">
        <is>
          <t xml:space="preserve">Vinculo_Codigo</t>
        </is>
      </c>
      <c r="C152" s="6" t="inlineStr">
        <is>
          <t xml:space="preserve">Caminho completo do item vinculado (ex. "MS-01 › PP-01" ou "MS-01 › PP-01 › SP-03"), ou o código isolado de um Macroprocesso (já único). Papéis valem para Macroprocesso, Processo e Subprocesso — Atividade e Tarefa não têm papéis próprios. Mais de um: separe com ; .</t>
        </is>
      </c>
      <c r="D152" s="6" t="inlineStr">
        <is>
          <t xml:space="preserve">MS-01 › PP-01</t>
        </is>
      </c>
    </row>
    <row r="153">
      <c r="A153" s="4" t="inlineStr">
        <is>
          <t xml:space="preserve">Papeis</t>
        </is>
      </c>
      <c r="B153" s="4" t="inlineStr">
        <is>
          <t xml:space="preserve">Papel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Gestor do processo</t>
        </is>
      </c>
    </row>
    <row r="154">
      <c r="A154" s="7" t="inlineStr">
        <is>
          <t xml:space="preserve">Papeis</t>
        </is>
      </c>
      <c r="B154" s="7" t="inlineStr">
        <is>
          <t xml:space="preserve">Envolvimento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Aprova (A)</t>
        </is>
      </c>
    </row>
    <row r="155">
      <c r="A155" s="4" t="inlineStr">
        <is>
          <t xml:space="preserve">Papeis</t>
        </is>
      </c>
      <c r="B155" s="4" t="inlineStr">
        <is>
          <t xml:space="preserve">Unidade_Pessoa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AE/GAG</t>
        </is>
      </c>
    </row>
    <row r="156">
      <c r="A156" s="7" t="inlineStr">
        <is>
          <t xml:space="preserve">Equipe_Processo</t>
        </is>
      </c>
      <c r="B156" s="7" t="inlineStr">
        <is>
          <t xml:space="preserve">ID</t>
        </is>
      </c>
      <c r="C156" s="6" t="inlineStr">
        <is>
          <t xml:space="preserve">Identificador do integrante da equipe de gerenciamento do processo.</t>
        </is>
      </c>
      <c r="D156" s="6" t="inlineStr">
        <is>
          <t xml:space="preserve">EQP-001</t>
        </is>
      </c>
    </row>
    <row r="157">
      <c r="A157" s="4" t="inlineStr">
        <is>
          <t xml:space="preserve">Equipe_Processo</t>
        </is>
      </c>
      <c r="B157" s="4" t="inlineStr">
        <is>
          <t xml:space="preserve">Processo</t>
        </is>
      </c>
      <c r="C157" s="3" t="inlineStr">
        <is>
          <t xml:space="preserve">Trilha do processo a que a equipe pertence (lista suspensa com os processos cadastrados). Cada processo tem a sua própria equipe — não existe lista central de gestores.</t>
        </is>
      </c>
      <c r="D157" s="3" t="inlineStr">
        <is>
          <t xml:space="preserve">MS-01 › PP-01</t>
        </is>
      </c>
    </row>
    <row r="158">
      <c r="A158" s="7" t="inlineStr">
        <is>
          <t xml:space="preserve">Equipe_Processo</t>
        </is>
      </c>
      <c r="B158" s="7" t="inlineStr">
        <is>
          <t xml:space="preserve">Ordem</t>
        </is>
      </c>
      <c r="C158" s="6" t="inlineStr">
        <is>
          <t xml:space="preserve">Ordem de exibição do integrante dentro da equipe do processo.</t>
        </is>
      </c>
      <c r="D158" s="6" t="inlineStr">
        <is>
          <t xml:space="preserve">1</t>
        </is>
      </c>
    </row>
    <row r="159">
      <c r="A159" s="4" t="inlineStr">
        <is>
          <t xml:space="preserve">Equipe_Processo</t>
        </is>
      </c>
      <c r="B159" s="4" t="inlineStr">
        <is>
          <t xml:space="preserve">Nome</t>
        </is>
      </c>
      <c r="C159" s="3" t="inlineStr">
        <is>
          <t xml:space="preserve">Nome do integrante: ponto focal do Nugep, gestor(a) do processo e atores do processo (RES 031/2025, item 3.7).</t>
        </is>
      </c>
      <c r="D159" s="3" t="inlineStr">
        <is>
          <t xml:space="preserve">Vanessa Torres Almeida</t>
        </is>
      </c>
    </row>
    <row r="160">
      <c r="A160" s="7" t="inlineStr">
        <is>
          <t xml:space="preserve">Equipe_Processo</t>
        </is>
      </c>
      <c r="B160" s="7" t="inlineStr">
        <is>
          <t xml:space="preserve">Email</t>
        </is>
      </c>
      <c r="C160" s="6" t="inlineStr">
        <is>
          <t xml:space="preserve">E-mail de contato do integrante.</t>
        </is>
      </c>
      <c r="D160" s="6" t="inlineStr">
        <is>
          <t xml:space="preserve">vanessa.almeida@codevasf.gov.br</t>
        </is>
      </c>
    </row>
    <row r="161">
      <c r="A161" s="4" t="inlineStr">
        <is>
          <t xml:space="preserve">Equipe_Processo</t>
        </is>
      </c>
      <c r="B161" s="4" t="inlineStr">
        <is>
          <t xml:space="preserve">Telefone</t>
        </is>
      </c>
      <c r="C161" s="3" t="inlineStr">
        <is>
          <t xml:space="preserve">Telefone de contato do integrante.</t>
        </is>
      </c>
      <c r="D161" s="3" t="inlineStr">
        <is>
          <t xml:space="preserve">(61) 2028-4521</t>
        </is>
      </c>
    </row>
    <row r="162">
      <c r="A162" s="7" t="inlineStr">
        <is>
          <t xml:space="preserve">Equipe_Processo</t>
        </is>
      </c>
      <c r="B162" s="7" t="inlineStr">
        <is>
          <t xml:space="preserve">Area</t>
        </is>
      </c>
      <c r="C162" s="6" t="inlineStr">
        <is>
          <t xml:space="preserve">Área (unidade orgânica) em que o integrante está lotado — sigla da aba Siglas.</t>
        </is>
      </c>
      <c r="D162" s="6" t="inlineStr">
        <is>
          <t xml:space="preserve">AA/GLC</t>
        </is>
      </c>
    </row>
    <row r="163">
      <c r="A163" s="4" t="inlineStr">
        <is>
          <t xml:space="preserve">Regras</t>
        </is>
      </c>
      <c r="B163" s="4" t="inlineStr">
        <is>
          <t xml:space="preserve">ID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REG-001</t>
        </is>
      </c>
    </row>
    <row r="164">
      <c r="A164" s="7" t="inlineStr">
        <is>
          <t xml:space="preserve">Regras</t>
        </is>
      </c>
      <c r="B164" s="7" t="inlineStr">
        <is>
          <t xml:space="preserve">Nome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Alçada de aprovação por valor</t>
        </is>
      </c>
    </row>
    <row r="165">
      <c r="A165" s="4" t="inlineStr">
        <is>
          <t xml:space="preserve">Regras</t>
        </is>
      </c>
      <c r="B165" s="4" t="inlineStr">
        <is>
          <t xml:space="preserve">Vinculo_Nivel</t>
        </is>
      </c>
      <c r="C165" s="3" t="inlineStr">
        <is>
          <t xml:space="preserve">Campo de preenchimento livre ou calculado — ver aba anterior.</t>
        </is>
      </c>
      <c r="D165" s="3" t="inlineStr">
        <is>
          <t xml:space="preserve">Macroprocesso</t>
        </is>
      </c>
    </row>
    <row r="166">
      <c r="A166" s="7" t="inlineStr">
        <is>
          <t xml:space="preserve">Regras</t>
        </is>
      </c>
      <c r="B166" s="7" t="inlineStr">
        <is>
          <t xml:space="preserve">Vinculo_Codigo</t>
        </is>
      </c>
      <c r="C166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66" s="6" t="inlineStr">
        <is>
          <t xml:space="preserve">MS-01</t>
        </is>
      </c>
    </row>
    <row r="167">
      <c r="A167" s="4" t="inlineStr">
        <is>
          <t xml:space="preserve">Regras</t>
        </is>
      </c>
      <c r="B167" s="4" t="inlineStr">
        <is>
          <t xml:space="preserve">Tipo_Regra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Operação</t>
        </is>
      </c>
    </row>
    <row r="168">
      <c r="A168" s="7" t="inlineStr">
        <is>
          <t xml:space="preserve">Regras</t>
        </is>
      </c>
      <c r="B168" s="7" t="inlineStr">
        <is>
          <t xml:space="preserve">Descricao</t>
        </is>
      </c>
      <c r="C168" s="6" t="inlineStr">
        <is>
          <t xml:space="preserve">Campo de preenchimento livre ou calculado — ver aba anterior.</t>
        </is>
      </c>
      <c r="D168" s="6" t="inlineStr">
        <is>
          <t xml:space="preserve">Contratações acima de R$ 50.000 exigem aprovação da autoridade competente.</t>
        </is>
      </c>
    </row>
    <row r="169">
      <c r="A169" s="4" t="inlineStr">
        <is>
          <t xml:space="preserve">Regras</t>
        </is>
      </c>
      <c r="B169" s="4" t="inlineStr">
        <is>
          <t xml:space="preserve">Fonte_Normativa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Lei nº 14.133/2021</t>
        </is>
      </c>
    </row>
    <row r="170">
      <c r="A170" s="7" t="inlineStr">
        <is>
          <t xml:space="preserve">Cultura_Processos</t>
        </is>
      </c>
      <c r="B170" s="7" t="inlineStr">
        <is>
          <t xml:space="preserve">ID</t>
        </is>
      </c>
      <c r="C170" s="6" t="inlineStr">
        <is>
          <t xml:space="preserve">Campo de preenchimento livre ou calculado — ver aba anterior.</t>
        </is>
      </c>
      <c r="D170" s="6" t="inlineStr">
        <is>
          <t xml:space="preserve">CULT-01</t>
        </is>
      </c>
    </row>
    <row r="171">
      <c r="A171" s="4" t="inlineStr">
        <is>
          <t xml:space="preserve">Cultura_Processos</t>
        </is>
      </c>
      <c r="B171" s="4" t="inlineStr">
        <is>
          <t xml:space="preserve">Ordem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1</t>
        </is>
      </c>
    </row>
    <row r="172">
      <c r="A172" s="7" t="inlineStr">
        <is>
          <t xml:space="preserve">Cultura_Processos</t>
        </is>
      </c>
      <c r="B172" s="7" t="inlineStr">
        <is>
          <t xml:space="preserve">Caracteristica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Acordo geral sobre o que são os processos de negócio</t>
        </is>
      </c>
    </row>
    <row r="173">
      <c r="A173" s="4" t="inlineStr">
        <is>
          <t xml:space="preserve">Cultura_Processos</t>
        </is>
      </c>
      <c r="B173" s="4" t="inlineStr">
        <is>
          <t xml:space="preserve">Situacao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Não avaliado</t>
        </is>
      </c>
    </row>
    <row r="174">
      <c r="A174" s="7" t="inlineStr">
        <is>
          <t xml:space="preserve">Cultura_Processos</t>
        </is>
      </c>
      <c r="B174" s="7" t="inlineStr">
        <is>
          <t xml:space="preserve">Observacao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(sem exemplo)</t>
        </is>
      </c>
    </row>
    <row r="175">
      <c r="A175" s="4" t="inlineStr">
        <is>
          <t xml:space="preserve">Iniciativas</t>
        </is>
      </c>
      <c r="B175" s="4" t="inlineStr">
        <is>
          <t xml:space="preserve">ID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INI-001</t>
        </is>
      </c>
    </row>
    <row r="176">
      <c r="A176" s="7" t="inlineStr">
        <is>
          <t xml:space="preserve">Iniciativas</t>
        </is>
      </c>
      <c r="B176" s="7" t="inlineStr">
        <is>
          <t xml:space="preserve">Data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20/05/2026</t>
        </is>
      </c>
    </row>
    <row r="177">
      <c r="A177" s="4" t="inlineStr">
        <is>
          <t xml:space="preserve">Iniciativas</t>
        </is>
      </c>
      <c r="B177" s="4" t="inlineStr">
        <is>
          <t xml:space="preserve">Titulo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Automação da conferência de preços na pesquisa (PP-01)</t>
        </is>
      </c>
    </row>
    <row r="178">
      <c r="A178" s="7" t="inlineStr">
        <is>
          <t xml:space="preserve">Iniciativas</t>
        </is>
      </c>
      <c r="B178" s="7" t="inlineStr">
        <is>
          <t xml:space="preserve">Tipo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Automação</t>
        </is>
      </c>
    </row>
    <row r="179">
      <c r="A179" s="4" t="inlineStr">
        <is>
          <t xml:space="preserve">Iniciativas</t>
        </is>
      </c>
      <c r="B179" s="4" t="inlineStr">
        <is>
          <t xml:space="preserve">Descricao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A equipe de TI usou o PRO e o roteiro de pesquisa de preços publicados no repositório (DOC-007) p...</t>
        </is>
      </c>
    </row>
    <row r="180">
      <c r="A180" s="7" t="inlineStr">
        <is>
          <t xml:space="preserve">Iniciativas</t>
        </is>
      </c>
      <c r="B180" s="7" t="inlineStr">
        <is>
          <t xml:space="preserve">Processos_Relacionados</t>
        </is>
      </c>
      <c r="C180" s="6" t="inlineStr">
        <is>
          <t xml:space="preserve">Caminho completo dos processos relacionados, separados por ; quando houver mais de um.</t>
        </is>
      </c>
      <c r="D180" s="6" t="inlineStr">
        <is>
          <t xml:space="preserve">MS-01 › PP-01</t>
        </is>
      </c>
    </row>
    <row r="181">
      <c r="A181" s="4" t="inlineStr">
        <is>
          <t xml:space="preserve">Competencias</t>
        </is>
      </c>
      <c r="B181" s="4" t="inlineStr">
        <is>
          <t xml:space="preserve">Ordem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1</t>
        </is>
      </c>
    </row>
    <row r="182">
      <c r="A182" s="7" t="inlineStr">
        <is>
          <t xml:space="preserve">Competencias</t>
        </is>
      </c>
      <c r="B182" s="7" t="inlineStr">
        <is>
          <t xml:space="preserve">Instancia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Conselho de Administração</t>
        </is>
      </c>
    </row>
    <row r="183">
      <c r="A183" s="4" t="inlineStr">
        <is>
          <t xml:space="preserve">Competencias</t>
        </is>
      </c>
      <c r="B183" s="4" t="inlineStr">
        <is>
          <t xml:space="preserve">Item_Normativo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3.1</t>
        </is>
      </c>
    </row>
    <row r="184">
      <c r="A184" s="7" t="inlineStr">
        <is>
          <t xml:space="preserve">Competencias</t>
        </is>
      </c>
      <c r="B184" s="7" t="inlineStr">
        <is>
          <t xml:space="preserve">Atribuicoes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Garantir o apoio institucional para a gestão de processos.</t>
        </is>
      </c>
    </row>
    <row r="185">
      <c r="A185" s="4" t="inlineStr">
        <is>
          <t xml:space="preserve">Jornada</t>
        </is>
      </c>
      <c r="B185" s="4" t="inlineStr">
        <is>
          <t xml:space="preserve">Ordem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1</t>
        </is>
      </c>
    </row>
    <row r="186">
      <c r="A186" s="7" t="inlineStr">
        <is>
          <t xml:space="preserve">Jornada</t>
        </is>
      </c>
      <c r="B186" s="7" t="inlineStr">
        <is>
          <t xml:space="preserve">Fase</t>
        </is>
      </c>
      <c r="C186" s="6" t="inlineStr">
        <is>
          <t xml:space="preserve">Campo de preenchimento livre ou calculado — ver aba anterior.</t>
        </is>
      </c>
      <c r="D186" s="6" t="inlineStr">
        <is>
          <t xml:space="preserve">Descobrir</t>
        </is>
      </c>
    </row>
    <row r="187">
      <c r="A187" s="4" t="inlineStr">
        <is>
          <t xml:space="preserve">Jornada</t>
        </is>
      </c>
      <c r="B187" s="4" t="inlineStr">
        <is>
          <t xml:space="preserve">Nome</t>
        </is>
      </c>
      <c r="C187" s="3" t="inlineStr">
        <is>
          <t xml:space="preserve">Campo de preenchimento livre ou calculado — ver aba anterior.</t>
        </is>
      </c>
      <c r="D187" s="3" t="inlineStr">
        <is>
          <t xml:space="preserve">Escuta e contextualização</t>
        </is>
      </c>
    </row>
    <row r="188">
      <c r="A188" s="7" t="inlineStr">
        <is>
          <t xml:space="preserve">Jornada</t>
        </is>
      </c>
      <c r="B188" s="7" t="inlineStr">
        <is>
          <t xml:space="preserve">Duracao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1–2 semanas</t>
        </is>
      </c>
    </row>
    <row r="189">
      <c r="A189" s="4" t="inlineStr">
        <is>
          <t xml:space="preserve">Jornada</t>
        </is>
      </c>
      <c r="B189" s="4" t="inlineStr">
        <is>
          <t xml:space="preserve">Objetivo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Compreender a dor real, o contexto e as expectativas de quem executa e de quem se beneficia do pr...</t>
        </is>
      </c>
    </row>
    <row r="190">
      <c r="A190" s="7" t="inlineStr">
        <is>
          <t xml:space="preserve">Jornada</t>
        </is>
      </c>
      <c r="B190" s="7" t="inlineStr">
        <is>
          <t xml:space="preserve">Atividades_Chave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Reunião de sensibilização com a unidade demandante; Entrevistas semiestruturadas com executores e...</t>
        </is>
      </c>
    </row>
    <row r="191">
      <c r="A191" s="4" t="inlineStr">
        <is>
          <t xml:space="preserve">Jornada</t>
        </is>
      </c>
      <c r="B191" s="4" t="inlineStr">
        <is>
          <t xml:space="preserve">Quem_Faz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NUGEP; Interlocutor da área; Dono do processo</t>
        </is>
      </c>
    </row>
    <row r="192">
      <c r="A192" s="7" t="inlineStr">
        <is>
          <t xml:space="preserve">Jornada</t>
        </is>
      </c>
      <c r="B192" s="7" t="inlineStr">
        <is>
          <t xml:space="preserve">Entregaveis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Ata de reunião; Formulário preenchido; Mapa de partes interessadas</t>
        </is>
      </c>
    </row>
    <row r="193">
      <c r="A193" s="4" t="inlineStr">
        <is>
          <t xml:space="preserve">Jornada</t>
        </is>
      </c>
      <c r="B193" s="4" t="inlineStr">
        <is>
          <t xml:space="preserve">Sentimento_Usuario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Curiosidade e ansiedade: “por que estão olhando meu trabalho?”</t>
        </is>
      </c>
    </row>
    <row r="194">
      <c r="A194" s="7" t="inlineStr">
        <is>
          <t xml:space="preserve">Repositorio</t>
        </is>
      </c>
      <c r="B194" s="7" t="inlineStr">
        <is>
          <t xml:space="preserve">ID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REP-001</t>
        </is>
      </c>
    </row>
    <row r="195">
      <c r="A195" s="4" t="inlineStr">
        <is>
          <t xml:space="preserve">Repositorio</t>
        </is>
      </c>
      <c r="B195" s="4" t="inlineStr">
        <is>
          <t xml:space="preserve">Categoria</t>
        </is>
      </c>
      <c r="C195" s="3" t="inlineStr">
        <is>
          <t xml:space="preserve">Campo de preenchimento livre ou calculado — ver aba anterior.</t>
        </is>
      </c>
      <c r="D195" s="3" t="inlineStr">
        <is>
          <t xml:space="preserve">Documento oficial</t>
        </is>
      </c>
    </row>
    <row r="196">
      <c r="A196" s="7" t="inlineStr">
        <is>
          <t xml:space="preserve">Repositorio</t>
        </is>
      </c>
      <c r="B196" s="7" t="inlineStr">
        <is>
          <t xml:space="preserve">Fase_Ciclo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Desenho</t>
        </is>
      </c>
    </row>
    <row r="197">
      <c r="A197" s="4" t="inlineStr">
        <is>
          <t xml:space="preserve">Repositorio</t>
        </is>
      </c>
      <c r="B197" s="4" t="inlineStr">
        <is>
          <t xml:space="preserve">Titulo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Metodologia de Gerenciamento de Processos da Codevasf</t>
        </is>
      </c>
    </row>
    <row r="198">
      <c r="A198" s="7" t="inlineStr">
        <is>
          <t xml:space="preserve">Repositorio</t>
        </is>
      </c>
      <c r="B198" s="7" t="inlineStr">
        <is>
          <t xml:space="preserve">Descricao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Documento normativo que institui a metodologia corporativa de gerenciamento de processos (disponí...</t>
        </is>
      </c>
    </row>
    <row r="199">
      <c r="A199" s="4" t="inlineStr">
        <is>
          <t xml:space="preserve">Repositorio</t>
        </is>
      </c>
      <c r="B199" s="4" t="inlineStr">
        <is>
          <t xml:space="preserve">Fonte</t>
        </is>
      </c>
      <c r="C199" s="3" t="inlineStr">
        <is>
          <t xml:space="preserve">Campo de preenchimento livre ou calculado — ver aba anterior.</t>
        </is>
      </c>
      <c r="D199" s="3" t="inlineStr">
        <is>
          <t xml:space="preserve">Codevasf</t>
        </is>
      </c>
    </row>
    <row r="200">
      <c r="A200" s="7" t="inlineStr">
        <is>
          <t xml:space="preserve">Repositorio</t>
        </is>
      </c>
      <c r="B200" s="7" t="inlineStr">
        <is>
          <t xml:space="preserve">Link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https://intraplone.codevasf.gov.br/documentos_normativos_referencia/governanca-e-gestao/copy_of_p...</t>
        </is>
      </c>
    </row>
    <row r="201">
      <c r="A201" s="4" t="inlineStr">
        <is>
          <t xml:space="preserve">Repositorio</t>
        </is>
      </c>
      <c r="B201" s="4" t="inlineStr">
        <is>
          <t xml:space="preserve">Ordem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1</t>
        </is>
      </c>
    </row>
    <row r="202">
      <c r="A202" s="7" t="inlineStr">
        <is>
          <t xml:space="preserve">NUGEP</t>
        </is>
      </c>
      <c r="B202" s="7" t="inlineStr">
        <is>
          <t xml:space="preserve">Ordem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1</t>
        </is>
      </c>
    </row>
    <row r="203">
      <c r="A203" s="4" t="inlineStr">
        <is>
          <t xml:space="preserve">NUGEP</t>
        </is>
      </c>
      <c r="B203" s="4" t="inlineStr">
        <is>
          <t xml:space="preserve">Nome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Ricardo Nunes Vasconcelos</t>
        </is>
      </c>
    </row>
    <row r="204">
      <c r="A204" s="7" t="inlineStr">
        <is>
          <t xml:space="preserve">NUGEP</t>
        </is>
      </c>
      <c r="B204" s="7" t="inlineStr">
        <is>
          <t xml:space="preserve">Papel</t>
        </is>
      </c>
      <c r="C204" s="6" t="inlineStr">
        <is>
          <t xml:space="preserve">Campo de preenchimento livre ou calculado — ver aba anterior.</t>
        </is>
      </c>
      <c r="D204" s="6" t="inlineStr">
        <is>
          <t xml:space="preserve">Gerente-Executivo da Área de Gestão Estratégica</t>
        </is>
      </c>
    </row>
    <row r="205">
      <c r="A205" s="4" t="inlineStr">
        <is>
          <t xml:space="preserve">NUGEP</t>
        </is>
      </c>
      <c r="B205" s="4" t="inlineStr">
        <is>
          <t xml:space="preserve">Unidade_Sigla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AE</t>
        </is>
      </c>
    </row>
    <row r="206">
      <c r="A206" s="7" t="inlineStr">
        <is>
          <t xml:space="preserve">NUGEP</t>
        </is>
      </c>
      <c r="B206" s="7" t="inlineStr">
        <is>
          <t xml:space="preserve">Unidade_Nome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Área de Gestão Estratégica</t>
        </is>
      </c>
    </row>
    <row r="207">
      <c r="A207" s="4" t="inlineStr">
        <is>
          <t xml:space="preserve">NUGEP</t>
        </is>
      </c>
      <c r="B207" s="4" t="inlineStr">
        <is>
          <t xml:space="preserve">Email</t>
        </is>
      </c>
      <c r="C207" s="3" t="inlineStr">
        <is>
          <t xml:space="preserve">Campo de preenchimento livre ou calculado — ver aba anterior.</t>
        </is>
      </c>
      <c r="D207" s="3" t="inlineStr">
        <is>
          <t xml:space="preserve">ricardo.vasconcelos@codevasf.gov.br</t>
        </is>
      </c>
    </row>
    <row r="208">
      <c r="A208" s="7" t="inlineStr">
        <is>
          <t xml:space="preserve">NUGEP</t>
        </is>
      </c>
      <c r="B208" s="7" t="inlineStr">
        <is>
          <t xml:space="preserve">Telefone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(61) 2028-4400</t>
        </is>
      </c>
    </row>
    <row r="209">
      <c r="A209" s="4" t="inlineStr">
        <is>
          <t xml:space="preserve">NUGEP</t>
        </is>
      </c>
      <c r="B209" s="4" t="inlineStr">
        <is>
          <t xml:space="preserve">Foto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https://randomuser.me/api/portraits/men/32.jpg</t>
        </is>
      </c>
    </row>
    <row r="210">
      <c r="A210" s="7" t="inlineStr">
        <is>
          <t xml:space="preserve">NUGEP</t>
        </is>
      </c>
      <c r="B210" s="7" t="inlineStr">
        <is>
          <t xml:space="preserve">Hierarquia</t>
        </is>
      </c>
      <c r="C210" s="6" t="inlineStr">
        <is>
          <t xml:space="preserve">Campo de preenchimento livre ou calculado — ver aba anterior.</t>
        </is>
      </c>
      <c r="D210" s="6" t="inlineStr">
        <is>
          <t xml:space="preserve">1</t>
        </is>
      </c>
    </row>
    <row r="211">
      <c r="A211" s="4" t="inlineStr">
        <is>
          <t xml:space="preserve">Glossario</t>
        </is>
      </c>
      <c r="B211" s="4" t="inlineStr">
        <is>
          <t xml:space="preserve">Termo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ABPMP</t>
        </is>
      </c>
    </row>
    <row r="212">
      <c r="A212" s="7" t="inlineStr">
        <is>
          <t xml:space="preserve">Glossario</t>
        </is>
      </c>
      <c r="B212" s="7" t="inlineStr">
        <is>
          <t xml:space="preserve">Definicao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Association of Business Process Management Professionals — entidade internacional sem fins lucrat...</t>
        </is>
      </c>
    </row>
    <row r="213">
      <c r="A213" s="4" t="inlineStr">
        <is>
          <t xml:space="preserve">Glossario</t>
        </is>
      </c>
      <c r="B213" s="4" t="inlineStr">
        <is>
          <t xml:space="preserve">Fonte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ABPMP</t>
        </is>
      </c>
    </row>
    <row r="214">
      <c r="A214" s="7" t="inlineStr">
        <is>
          <t xml:space="preserve">FAQ</t>
        </is>
      </c>
      <c r="B214" s="7" t="inlineStr">
        <is>
          <t xml:space="preserve">Ordem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1</t>
        </is>
      </c>
    </row>
    <row r="215">
      <c r="A215" s="4" t="inlineStr">
        <is>
          <t xml:space="preserve">FAQ</t>
        </is>
      </c>
      <c r="B215" s="4" t="inlineStr">
        <is>
          <t xml:space="preserve">Categoria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Conceitos básicos</t>
        </is>
      </c>
    </row>
    <row r="216">
      <c r="A216" s="7" t="inlineStr">
        <is>
          <t xml:space="preserve">FAQ</t>
        </is>
      </c>
      <c r="B216" s="7" t="inlineStr">
        <is>
          <t xml:space="preserve">Pergunta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O que é Gestão de Processos (BPM)?</t>
        </is>
      </c>
    </row>
    <row r="217">
      <c r="A217" s="4" t="inlineStr">
        <is>
          <t xml:space="preserve">FAQ</t>
        </is>
      </c>
      <c r="B217" s="4" t="inlineStr">
        <is>
          <t xml:space="preserve">Resposta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Business Process Management é uma disciplina gerencial integrada que combina técnicas, métodos e ...</t>
        </is>
      </c>
    </row>
    <row r="218">
      <c r="A218" s="7" t="inlineStr">
        <is>
          <t xml:space="preserve">Siglas</t>
        </is>
      </c>
      <c r="B218" s="7" t="inlineStr">
        <is>
          <t xml:space="preserve">Sigla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10ª/AJ</t>
        </is>
      </c>
    </row>
    <row r="219">
      <c r="A219" s="4" t="inlineStr">
        <is>
          <t xml:space="preserve">Siglas</t>
        </is>
      </c>
      <c r="B219" s="4" t="inlineStr">
        <is>
          <t xml:space="preserve">Nome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Assessoria Jurídica Regional</t>
        </is>
      </c>
    </row>
    <row r="220">
      <c r="A220" s="7" t="inlineStr">
        <is>
          <t xml:space="preserve">Parametros</t>
        </is>
      </c>
      <c r="B220" s="7" t="inlineStr">
        <is>
          <t xml:space="preserve">Chave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Contato_Unidade</t>
        </is>
      </c>
    </row>
    <row r="221">
      <c r="A221" s="4" t="inlineStr">
        <is>
          <t xml:space="preserve">Parametros</t>
        </is>
      </c>
      <c r="B221" s="4" t="inlineStr">
        <is>
          <t xml:space="preserve">Valor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Unidade de Gestão Normativa e de Processos (AE/GPE/UNP)</t>
        </is>
      </c>
    </row>
    <row r="222">
      <c r="A222" s="7" t="inlineStr">
        <is>
          <t xml:space="preserve">Listas</t>
        </is>
      </c>
      <c r="B222" s="7" t="inlineStr">
        <is>
          <t xml:space="preserve">Categoria_Macroprocesso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Gerencial</t>
        </is>
      </c>
    </row>
    <row r="223">
      <c r="A223" s="4" t="inlineStr">
        <is>
          <t xml:space="preserve">Listas</t>
        </is>
      </c>
      <c r="B223" s="4" t="inlineStr">
        <is>
          <t xml:space="preserve">Status_Mapeamento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Não iniciado</t>
        </is>
      </c>
    </row>
    <row r="224">
      <c r="A224" s="7" t="inlineStr">
        <is>
          <t xml:space="preserve">Listas</t>
        </is>
      </c>
      <c r="B224" s="7" t="inlineStr">
        <is>
          <t xml:space="preserve">Prioridade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Alta</t>
        </is>
      </c>
    </row>
    <row r="225">
      <c r="A225" s="4" t="inlineStr">
        <is>
          <t xml:space="preserve">Listas</t>
        </is>
      </c>
      <c r="B225" s="4" t="inlineStr">
        <is>
          <t xml:space="preserve">Complexidade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Alta</t>
        </is>
      </c>
    </row>
    <row r="226">
      <c r="A226" s="7" t="inlineStr">
        <is>
          <t xml:space="preserve">Listas</t>
        </is>
      </c>
      <c r="B226" s="7" t="inlineStr">
        <is>
          <t xml:space="preserve">Maturidade_Processo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Inicial</t>
        </is>
      </c>
    </row>
    <row r="227">
      <c r="A227" s="4" t="inlineStr">
        <is>
          <t xml:space="preserve">Listas</t>
        </is>
      </c>
      <c r="B227" s="4" t="inlineStr">
        <is>
          <t xml:space="preserve">Sim_Nao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Sim</t>
        </is>
      </c>
    </row>
    <row r="228">
      <c r="A228" s="7" t="inlineStr">
        <is>
          <t xml:space="preserve">Listas</t>
        </is>
      </c>
      <c r="B228" s="7" t="inlineStr">
        <is>
          <t xml:space="preserve">Status_Marco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Sim</t>
        </is>
      </c>
    </row>
    <row r="229">
      <c r="A229" s="4" t="inlineStr">
        <is>
          <t xml:space="preserve">Listas</t>
        </is>
      </c>
      <c r="B229" s="4" t="inlineStr">
        <is>
          <t xml:space="preserve">Nivel_Vinculo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Macroprocesso</t>
        </is>
      </c>
    </row>
    <row r="230">
      <c r="A230" s="7" t="inlineStr">
        <is>
          <t xml:space="preserve">Listas</t>
        </is>
      </c>
      <c r="B230" s="7" t="inlineStr">
        <is>
          <t xml:space="preserve">Tipo_Atividade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Agregação de Valor</t>
        </is>
      </c>
    </row>
    <row r="231">
      <c r="A231" s="4" t="inlineStr">
        <is>
          <t xml:space="preserve">Listas</t>
        </is>
      </c>
      <c r="B231" s="4" t="inlineStr">
        <is>
          <t xml:space="preserve">Tipo_Tarefa</t>
        </is>
      </c>
      <c r="C231" s="3" t="inlineStr">
        <is>
          <t xml:space="preserve">Campo de preenchimento livre ou calculado — ver aba anterior.</t>
        </is>
      </c>
      <c r="D231" s="3" t="inlineStr">
        <is>
          <t xml:space="preserve">Manual</t>
        </is>
      </c>
    </row>
    <row r="232">
      <c r="A232" s="7" t="inlineStr">
        <is>
          <t xml:space="preserve">Listas</t>
        </is>
      </c>
      <c r="B232" s="7" t="inlineStr">
        <is>
          <t xml:space="preserve">Tipo_Documento</t>
        </is>
      </c>
      <c r="C232" s="6" t="inlineStr">
        <is>
          <t xml:space="preserve">Campo de preenchimento livre ou calculado — ver aba anterior.</t>
        </is>
      </c>
      <c r="D232" s="6" t="inlineStr">
        <is>
          <t xml:space="preserve">Procedimento (PRO)</t>
        </is>
      </c>
    </row>
    <row r="233">
      <c r="A233" s="4" t="inlineStr">
        <is>
          <t xml:space="preserve">Listas</t>
        </is>
      </c>
      <c r="B233" s="4" t="inlineStr">
        <is>
          <t xml:space="preserve">Situacao_Documento</t>
        </is>
      </c>
      <c r="C233" s="3" t="inlineStr">
        <is>
          <t xml:space="preserve">Campo de preenchimento livre ou calculado — ver aba anterior.</t>
        </is>
      </c>
      <c r="D233" s="3" t="inlineStr">
        <is>
          <t xml:space="preserve">Vigente</t>
        </is>
      </c>
    </row>
    <row r="234">
      <c r="A234" s="7" t="inlineStr">
        <is>
          <t xml:space="preserve">Listas</t>
        </is>
      </c>
      <c r="B234" s="7" t="inlineStr">
        <is>
          <t xml:space="preserve">Categoria_Risco</t>
        </is>
      </c>
      <c r="C234" s="6" t="inlineStr">
        <is>
          <t xml:space="preserve">Campo de preenchimento livre ou calculado — ver aba anterior.</t>
        </is>
      </c>
      <c r="D234" s="6" t="inlineStr">
        <is>
          <t xml:space="preserve">Operacional</t>
        </is>
      </c>
    </row>
    <row r="235">
      <c r="A235" s="4" t="inlineStr">
        <is>
          <t xml:space="preserve">Listas</t>
        </is>
      </c>
      <c r="B235" s="4" t="inlineStr">
        <is>
          <t xml:space="preserve">Resposta_Risco</t>
        </is>
      </c>
      <c r="C235" s="3" t="inlineStr">
        <is>
          <t xml:space="preserve">Campo de preenchimento livre ou calculado — ver aba anterior.</t>
        </is>
      </c>
      <c r="D235" s="3" t="inlineStr">
        <is>
          <t xml:space="preserve">Mitigar</t>
        </is>
      </c>
    </row>
    <row r="236">
      <c r="A236" s="7" t="inlineStr">
        <is>
          <t xml:space="preserve">Listas</t>
        </is>
      </c>
      <c r="B236" s="7" t="inlineStr">
        <is>
          <t xml:space="preserve">Status_Risco</t>
        </is>
      </c>
      <c r="C236" s="6" t="inlineStr">
        <is>
          <t xml:space="preserve">Campo de preenchimento livre ou calculado — ver aba anterior.</t>
        </is>
      </c>
      <c r="D236" s="6" t="inlineStr">
        <is>
          <t xml:space="preserve">Aberto</t>
        </is>
      </c>
    </row>
    <row r="237">
      <c r="A237" s="4" t="inlineStr">
        <is>
          <t xml:space="preserve">Listas</t>
        </is>
      </c>
      <c r="B237" s="4" t="inlineStr">
        <is>
          <t xml:space="preserve">Envolvimento_RACI</t>
        </is>
      </c>
      <c r="C237" s="3" t="inlineStr">
        <is>
          <t xml:space="preserve">Campo de preenchimento livre ou calculado — ver aba anterior.</t>
        </is>
      </c>
      <c r="D237" s="3" t="inlineStr">
        <is>
          <t xml:space="preserve">Executa (R)</t>
        </is>
      </c>
    </row>
    <row r="238">
      <c r="A238" s="7" t="inlineStr">
        <is>
          <t xml:space="preserve">Listas</t>
        </is>
      </c>
      <c r="B238" s="7" t="inlineStr">
        <is>
          <t xml:space="preserve">Tipo_Regra</t>
        </is>
      </c>
      <c r="C238" s="6" t="inlineStr">
        <is>
          <t xml:space="preserve">Campo de preenchimento livre ou calculado — ver aba anterior.</t>
        </is>
      </c>
      <c r="D238" s="6" t="inlineStr">
        <is>
          <t xml:space="preserve">Operação</t>
        </is>
      </c>
    </row>
    <row r="239">
      <c r="A239" s="4" t="inlineStr">
        <is>
          <t xml:space="preserve">Listas</t>
        </is>
      </c>
      <c r="B239" s="4" t="inlineStr">
        <is>
          <t xml:space="preserve">Polaridade</t>
        </is>
      </c>
      <c r="C239" s="3" t="inlineStr">
        <is>
          <t xml:space="preserve">Campo de preenchimento livre ou calculado — ver aba anterior.</t>
        </is>
      </c>
      <c r="D239" s="3" t="inlineStr">
        <is>
          <t xml:space="preserve">Maior melhor</t>
        </is>
      </c>
    </row>
    <row r="240">
      <c r="A240" s="7" t="inlineStr">
        <is>
          <t xml:space="preserve">Listas</t>
        </is>
      </c>
      <c r="B240" s="7" t="inlineStr">
        <is>
          <t xml:space="preserve">Periodicidade</t>
        </is>
      </c>
      <c r="C240" s="6" t="inlineStr">
        <is>
          <t xml:space="preserve">Campo de preenchimento livre ou calculado — ver aba anterior.</t>
        </is>
      </c>
      <c r="D240" s="6" t="inlineStr">
        <is>
          <t xml:space="preserve">Mensal</t>
        </is>
      </c>
    </row>
    <row r="241">
      <c r="A241" s="4" t="inlineStr">
        <is>
          <t xml:space="preserve">Listas</t>
        </is>
      </c>
      <c r="B241" s="4" t="inlineStr">
        <is>
          <t xml:space="preserve">Situacao_Cultura</t>
        </is>
      </c>
      <c r="C241" s="3" t="inlineStr">
        <is>
          <t xml:space="preserve">Campo de preenchimento livre ou calculado — ver aba anterior.</t>
        </is>
      </c>
      <c r="D241" s="3" t="inlineStr">
        <is>
          <t xml:space="preserve">Sim</t>
        </is>
      </c>
    </row>
    <row r="242">
      <c r="A242" s="7" t="inlineStr">
        <is>
          <t xml:space="preserve">Listas</t>
        </is>
      </c>
      <c r="B242" s="7" t="inlineStr">
        <is>
          <t xml:space="preserve">Tipo_Iniciativa</t>
        </is>
      </c>
      <c r="C242" s="6" t="inlineStr">
        <is>
          <t xml:space="preserve">Campo de preenchimento livre ou calculado — ver aba anterior.</t>
        </is>
      </c>
      <c r="D242" s="6" t="inlineStr">
        <is>
          <t xml:space="preserve">Automação</t>
        </is>
      </c>
    </row>
    <row r="243">
      <c r="A243" s="4" t="inlineStr">
        <is>
          <t xml:space="preserve">Listas</t>
        </is>
      </c>
      <c r="B243" s="4" t="inlineStr">
        <is>
          <t xml:space="preserve">Categoria_Repositorio</t>
        </is>
      </c>
      <c r="C243" s="3" t="inlineStr">
        <is>
          <t xml:space="preserve">Campo de preenchimento livre ou calculado — ver aba anterior.</t>
        </is>
      </c>
      <c r="D243" s="3" t="inlineStr">
        <is>
          <t xml:space="preserve">Documento oficial</t>
        </is>
      </c>
    </row>
    <row r="244">
      <c r="A244" s="7" t="inlineStr">
        <is>
          <t xml:space="preserve">Listas</t>
        </is>
      </c>
      <c r="B244" s="7" t="inlineStr">
        <is>
          <t xml:space="preserve">Fase_Instrumento</t>
        </is>
      </c>
      <c r="C244" s="6" t="inlineStr">
        <is>
          <t xml:space="preserve">Campo de preenchimento livre ou calculado — ver aba anterior.</t>
        </is>
      </c>
      <c r="D244" s="6" t="inlineStr">
        <is>
          <t xml:space="preserve">Planejamento</t>
        </is>
      </c>
    </row>
    <row r="245">
      <c r="A245" s="4" t="inlineStr">
        <is>
          <t xml:space="preserve">Listas</t>
        </is>
      </c>
      <c r="B245" s="4" t="inlineStr">
        <is>
          <t xml:space="preserve">Categoria_FAQ</t>
        </is>
      </c>
      <c r="C245" s="3" t="inlineStr">
        <is>
          <t xml:space="preserve">Campo de preenchimento livre ou calculado — ver aba anterior.</t>
        </is>
      </c>
      <c r="D245" s="3" t="inlineStr">
        <is>
          <t xml:space="preserve">Conceitos básicos</t>
        </is>
      </c>
    </row>
    <row r="246">
      <c r="A246" s="7" t="inlineStr">
        <is>
          <t xml:space="preserve">Listas</t>
        </is>
      </c>
      <c r="B246" s="7" t="inlineStr">
        <is>
          <t xml:space="preserve">Categoria_Metrica</t>
        </is>
      </c>
      <c r="C246" s="6" t="inlineStr">
        <is>
          <t xml:space="preserve">Campo de preenchimento livre ou calculado — ver aba anterior.</t>
        </is>
      </c>
      <c r="D246" s="6" t="inlineStr">
        <is>
          <t xml:space="preserve">SLA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9"/>
  <sheetViews>
    <sheetView workbookViewId="0" zoomScale="90">
      <pane ySplit="1" topLeftCell="A2" activePane="bottomLeft" state="frozen"/>
      <selection pane="bottomLeft"/>
    </sheetView>
  </sheetViews>
  <cols>
    <col min="1" max="1" width="14" customWidth="1"/>
    <col min="2" max="2" width="10" customWidth="1"/>
    <col min="3" max="3" width="34" customWidth="1"/>
    <col min="4" max="4" width="13" customWidth="1"/>
    <col min="5" max="5" width="7" customWidth="1"/>
    <col min="6" max="6" width="16" customWidth="1"/>
    <col min="7" max="7" width="30" customWidth="1"/>
    <col min="8" max="8" width="46" customWidth="1"/>
    <col min="9" max="9" width="46" customWidth="1"/>
    <col min="10" max="10" width="40" customWidth="1"/>
    <col min="11" max="11" width="34" customWidth="1"/>
    <col min="12" max="12" width="34" customWidth="1"/>
    <col min="13" max="13" width="30" customWidth="1"/>
    <col min="14" max="14" width="30" customWidth="1"/>
    <col min="15" max="15" width="26" customWidth="1"/>
  </cols>
  <sheetData>
    <row r="1">
      <c r="A1" s="1" t="inlineStr">
        <is>
          <t xml:space="preserve">Trilha</t>
        </is>
      </c>
      <c r="B1" s="1" t="inlineStr">
        <is>
          <t xml:space="preserve">Codigo</t>
        </is>
      </c>
      <c r="C1" s="1" t="inlineStr">
        <is>
          <t xml:space="preserve">Nome</t>
        </is>
      </c>
      <c r="D1" s="1" t="inlineStr">
        <is>
          <t xml:space="preserve">Categoria</t>
        </is>
      </c>
      <c r="E1" s="1" t="inlineStr">
        <is>
          <t xml:space="preserve">Ordem</t>
        </is>
      </c>
      <c r="F1" s="1" t="inlineStr">
        <is>
          <t xml:space="preserve">Unidade_Organica_Responsavel</t>
        </is>
      </c>
      <c r="G1" s="1" t="inlineStr">
        <is>
          <t xml:space="preserve">Unidades_Organicas_Corresponsaveis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Entregas</t>
        </is>
      </c>
      <c r="K1" s="1" t="inlineStr">
        <is>
          <t xml:space="preserve">Beneficiarios</t>
        </is>
      </c>
      <c r="L1" s="1" t="inlineStr">
        <is>
          <t xml:space="preserve">Partes_Interessadas</t>
        </is>
      </c>
      <c r="M1" s="1" t="inlineStr">
        <is>
          <t xml:space="preserve">Sistemas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</row>
    <row r="2">
      <c r="A2" s="8" t="str">
        <f>=B2</f>
        <v>MG-01</v>
      </c>
      <c r="B2" s="7" t="inlineStr">
        <is>
          <t xml:space="preserve">MG-01</t>
        </is>
      </c>
      <c r="C2" s="6" t="inlineStr">
        <is>
          <t xml:space="preserve">Gestão Estratégica e Governança</t>
        </is>
      </c>
      <c r="D2" s="7" t="inlineStr">
        <is>
          <t xml:space="preserve">Gerencial</t>
        </is>
      </c>
      <c r="E2" s="7">
        <v>1</v>
      </c>
      <c r="F2" s="7" t="inlineStr">
        <is>
          <t xml:space="preserve">AE/GPE</t>
        </is>
      </c>
      <c r="G2" s="7" t="inlineStr">
        <is>
          <t xml:space="preserve">AE/GAG</t>
        </is>
      </c>
      <c r="H2" s="6" t="inlineStr">
        <is>
          <t xml:space="preserve">Formulação, desdobramento e monitoramento da estratégia corporativa, da governança e do desempenho institucional.</t>
        </is>
      </c>
      <c r="I2" s="6" t="inlineStr">
        <is>
          <t xml:space="preserve">Garantir que a atuação da Companhia esteja alinhada à estratégia, com decisões baseadas em evidências.</t>
        </is>
      </c>
      <c r="J2" s="6" t="inlineStr">
        <is>
          <t xml:space="preserve">Plano Estratégico; Plano de Ação Anual; Relatórios de desempenho</t>
        </is>
      </c>
      <c r="K2" s="6" t="inlineStr">
        <is>
          <t xml:space="preserve">Diretoria Executiva; Conselho de Administração; Unidades internas</t>
        </is>
      </c>
      <c r="L2" s="6" t="inlineStr">
        <is>
          <t xml:space="preserve">Ministério supervisor; Órgãos de controle; Sociedade</t>
        </is>
      </c>
      <c r="M2" s="6" t="inlineStr">
        <is>
          <t xml:space="preserve">e-Codevasf; Painéis de BI</t>
        </is>
      </c>
    </row>
    <row r="3">
      <c r="A3" s="8" t="str">
        <f>=B3</f>
        <v>MG-02</v>
      </c>
      <c r="B3" s="4" t="inlineStr">
        <is>
          <t xml:space="preserve">MG-02</t>
        </is>
      </c>
      <c r="C3" s="3" t="inlineStr">
        <is>
          <t xml:space="preserve">Gestão de Riscos, Integridade e Controles</t>
        </is>
      </c>
      <c r="D3" s="4" t="inlineStr">
        <is>
          <t xml:space="preserve">Gerencial</t>
        </is>
      </c>
      <c r="E3" s="4">
        <v>2</v>
      </c>
      <c r="F3" s="4" t="inlineStr">
        <is>
          <t xml:space="preserve">AE/GAG</t>
        </is>
      </c>
      <c r="G3" s="4" t="inlineStr">
        <is>
          <t xml:space="preserve">AE/GPE</t>
        </is>
      </c>
      <c r="H3" s="3" t="inlineStr">
        <is>
          <t xml:space="preserve">Identificação, avaliação e tratamento de riscos corporativos, integridade e controles internos (2ª linha).</t>
        </is>
      </c>
      <c r="I3" s="3" t="inlineStr">
        <is>
          <t xml:space="preserve">Assegurar razoável segurança para o alcance dos objetivos institucionais.</t>
        </is>
      </c>
      <c r="J3" s="3" t="inlineStr">
        <is>
          <t xml:space="preserve">Política de Gestão de Riscos; Matriz de riscos corporativa; Plano de integridade</t>
        </is>
      </c>
      <c r="K3" s="3" t="inlineStr">
        <is>
          <t xml:space="preserve">Alta administração; Gestores de 1ª linha</t>
        </is>
      </c>
      <c r="L3" s="3" t="inlineStr">
        <is>
          <t xml:space="preserve">Auditoria interna; CGU; TCU</t>
        </is>
      </c>
      <c r="M3" s="3" t="inlineStr">
        <is>
          <t xml:space="preserve">e-Codevasf; Sistema de gestão de riscos</t>
        </is>
      </c>
    </row>
    <row r="4">
      <c r="A4" s="8" t="str">
        <f>=B4</f>
        <v>MF-01</v>
      </c>
      <c r="B4" s="7" t="inlineStr">
        <is>
          <t xml:space="preserve">MF-01</t>
        </is>
      </c>
      <c r="C4" s="6" t="inlineStr">
        <is>
          <t xml:space="preserve">Desenvolvimento Territorial e Estruturação Produtiva</t>
        </is>
      </c>
      <c r="D4" s="7" t="inlineStr">
        <is>
          <t xml:space="preserve">Finalístico</t>
        </is>
      </c>
      <c r="E4" s="7">
        <v>3</v>
      </c>
      <c r="F4" s="7" t="inlineStr">
        <is>
          <t xml:space="preserve">AR/GDT</t>
        </is>
      </c>
      <c r="G4" s="7" t="inlineStr">
        <is>
          <t xml:space="preserve">AR/GRB</t>
        </is>
      </c>
      <c r="H4" s="6" t="inlineStr">
        <is>
          <t xml:space="preserve">Apoio a arranjos produtivos, inclusão socioeconômica e estruturação de cadeias produtivas nos vales.</t>
        </is>
      </c>
      <c r="I4" s="6" t="inlineStr">
        <is>
          <t xml:space="preserve">Promover o desenvolvimento regional integrado e sustentável.</t>
        </is>
      </c>
      <c r="J4" s="6" t="inlineStr">
        <is>
          <t xml:space="preserve">Projetos de estruturação produtiva; Convênios e instrumentos de repasse</t>
        </is>
      </c>
      <c r="K4" s="6" t="inlineStr">
        <is>
          <t xml:space="preserve">Produtores rurais; Cooperativas; Municípios</t>
        </is>
      </c>
      <c r="L4" s="6" t="inlineStr">
        <is>
          <t xml:space="preserve">Parlamentares; Entes federados; Entidades parceiras</t>
        </is>
      </c>
      <c r="M4" s="6" t="inlineStr">
        <is>
          <t xml:space="preserve">TransfereGov; e-Codevasf</t>
        </is>
      </c>
    </row>
    <row r="5">
      <c r="A5" s="8" t="str">
        <f>=B5</f>
        <v>MF-02</v>
      </c>
      <c r="B5" s="4" t="inlineStr">
        <is>
          <t xml:space="preserve">MF-02</t>
        </is>
      </c>
      <c r="C5" s="3" t="inlineStr">
        <is>
          <t xml:space="preserve">Gestão de Empreendimentos de Irrigação</t>
        </is>
      </c>
      <c r="D5" s="4" t="inlineStr">
        <is>
          <t xml:space="preserve">Finalístico</t>
        </is>
      </c>
      <c r="E5" s="4">
        <v>4</v>
      </c>
      <c r="F5" s="4" t="inlineStr">
        <is>
          <t xml:space="preserve">AI/GOM</t>
        </is>
      </c>
      <c r="G5" s="4" t="inlineStr">
        <is>
          <t xml:space="preserve">AT/GTI</t>
        </is>
      </c>
      <c r="H5" s="3" t="inlineStr">
        <is>
          <t xml:space="preserve">Implantação, operação, manutenção e transferência de gestão de perímetros públicos de irrigação.</t>
        </is>
      </c>
      <c r="I5" s="3" t="inlineStr">
        <is>
          <t xml:space="preserve">Ampliar a área irrigada produtiva com sustentabilidade hídrica e econômica.</t>
        </is>
      </c>
      <c r="J5" s="3" t="inlineStr">
        <is>
          <t xml:space="preserve">Perímetros em operação; Água distribuída; Relatórios de O&amp;M</t>
        </is>
      </c>
      <c r="K5" s="3" t="inlineStr">
        <is>
          <t xml:space="preserve">Irrigantes; Distritos de irrigação</t>
        </is>
      </c>
      <c r="L5" s="3" t="inlineStr">
        <is>
          <t xml:space="preserve">ANA; Agências estaduais; Associações de usuários</t>
        </is>
      </c>
      <c r="M5" s="3" t="inlineStr">
        <is>
          <t xml:space="preserve">SIG-Irrigação (fictício); e-Codevasf</t>
        </is>
      </c>
    </row>
    <row r="6">
      <c r="A6" s="8" t="str">
        <f>=B6</f>
        <v>MF-03</v>
      </c>
      <c r="B6" s="7" t="inlineStr">
        <is>
          <t xml:space="preserve">MF-03</t>
        </is>
      </c>
      <c r="C6" s="6" t="inlineStr">
        <is>
          <t xml:space="preserve">Revitalização de Bacias Hidrográficas</t>
        </is>
      </c>
      <c r="D6" s="7" t="inlineStr">
        <is>
          <t xml:space="preserve">Finalístico</t>
        </is>
      </c>
      <c r="E6" s="7">
        <v>5</v>
      </c>
      <c r="F6" s="7" t="inlineStr">
        <is>
          <t xml:space="preserve">AR/GRB</t>
        </is>
      </c>
      <c r="G6" s="7" t="inlineStr">
        <is>
          <t xml:space="preserve">AR/GDT</t>
        </is>
      </c>
      <c r="H6" s="6" t="inlineStr">
        <is>
          <t xml:space="preserve">Ações de recuperação hidroambiental, segurança hídrica e uso sustentável dos recursos naturais.</t>
        </is>
      </c>
      <c r="I6" s="6" t="inlineStr">
        <is>
          <t xml:space="preserve">Contribuir para a revitalização das bacias dos rios São Francisco e Parnaíba.</t>
        </is>
      </c>
      <c r="J6" s="6" t="inlineStr">
        <is>
          <t xml:space="preserve">Nascentes recuperadas; Obras hidroambientais; Sistemas de abastecimento</t>
        </is>
      </c>
      <c r="K6" s="6" t="inlineStr">
        <is>
          <t xml:space="preserve">Comunidades ribeirinhas; Municípios</t>
        </is>
      </c>
      <c r="L6" s="6" t="inlineStr">
        <is>
          <t xml:space="preserve">Comitês de bacia; MMA; Órgãos ambientais</t>
        </is>
      </c>
      <c r="M6" s="6" t="inlineStr">
        <is>
          <t xml:space="preserve">e-Codevasf; GeoPortal (fictício)</t>
        </is>
      </c>
    </row>
    <row r="7">
      <c r="A7" s="8" t="str">
        <f>=B7</f>
        <v>MS-01</v>
      </c>
      <c r="B7" s="4" t="inlineStr">
        <is>
          <t xml:space="preserve">MS-01</t>
        </is>
      </c>
      <c r="C7" s="3" t="inlineStr">
        <is>
          <t xml:space="preserve">Gestão de Licitações e Contratos</t>
        </is>
      </c>
      <c r="D7" s="4" t="inlineStr">
        <is>
          <t xml:space="preserve">Suporte</t>
        </is>
      </c>
      <c r="E7" s="4">
        <v>6</v>
      </c>
      <c r="F7" s="4" t="inlineStr">
        <is>
          <t xml:space="preserve">AA/GLC</t>
        </is>
      </c>
      <c r="G7" s="4" t="inlineStr">
        <is>
          <t xml:space="preserve">AT/GTI</t>
        </is>
      </c>
      <c r="H7" s="3" t="inlineStr">
        <is>
          <t xml:space="preserve">Planejamento das contratações, seleção de fornecedores e gestão dos contratos administrativos da Companhia.</t>
        </is>
      </c>
      <c r="I7" s="3" t="inlineStr">
        <is>
          <t xml:space="preserve">Prover contratações tempestivas, vantajosas e conformes à legislação.</t>
        </is>
      </c>
      <c r="J7" s="3" t="inlineStr">
        <is>
          <t xml:space="preserve">Editais publicados; Contratos firmados; Atas de registro de preços</t>
        </is>
      </c>
      <c r="K7" s="3" t="inlineStr">
        <is>
          <t xml:space="preserve">Todas as unidades demandantes</t>
        </is>
      </c>
      <c r="L7" s="3" t="inlineStr">
        <is>
          <t xml:space="preserve">Fornecedores; Assessoria Jurídica; Órgãos de controle; PNCP</t>
        </is>
      </c>
      <c r="M7" s="3" t="inlineStr">
        <is>
          <t xml:space="preserve">Compras.gov.br; PNCP; Painel de Preços; e-Codevasf</t>
        </is>
      </c>
      <c r="O7" s="3" t="inlineStr">
        <is>
          <t xml:space="preserve">Macroprocesso priorizado no ciclo 2026 de mapeamento.</t>
        </is>
      </c>
    </row>
    <row r="8">
      <c r="A8" s="8" t="str">
        <f>=B8</f>
        <v>MS-02</v>
      </c>
      <c r="B8" s="7" t="inlineStr">
        <is>
          <t xml:space="preserve">MS-02</t>
        </is>
      </c>
      <c r="C8" s="6" t="inlineStr">
        <is>
          <t xml:space="preserve">Gestão de Pessoas</t>
        </is>
      </c>
      <c r="D8" s="7" t="inlineStr">
        <is>
          <t xml:space="preserve">Suporte</t>
        </is>
      </c>
      <c r="E8" s="7">
        <v>7</v>
      </c>
      <c r="F8" s="7" t="inlineStr">
        <is>
          <t xml:space="preserve">AG/GGP</t>
        </is>
      </c>
      <c r="G8" s="7" t="inlineStr">
        <is>
          <t xml:space="preserve">AE/GPE</t>
        </is>
      </c>
      <c r="H8" s="6" t="inlineStr">
        <is>
          <t xml:space="preserve">Provimento, desenvolvimento, remuneração e qualidade de vida do corpo funcional.</t>
        </is>
      </c>
      <c r="I8" s="6" t="inlineStr">
        <is>
          <t xml:space="preserve">Assegurar pessoas qualificadas e engajadas para a missão institucional.</t>
        </is>
      </c>
      <c r="J8" s="6" t="inlineStr">
        <is>
          <t xml:space="preserve">Empregados admitidos e capacitados; Folha de pagamento</t>
        </is>
      </c>
      <c r="K8" s="6" t="inlineStr">
        <is>
          <t xml:space="preserve">Empregados; Gestores</t>
        </is>
      </c>
      <c r="L8" s="6" t="inlineStr">
        <is>
          <t xml:space="preserve">Sindicatos; SEST; Ministério supervisor</t>
        </is>
      </c>
      <c r="M8" s="6" t="inlineStr">
        <is>
          <t xml:space="preserve">SIGEP (fictício); e-Codevasf</t>
        </is>
      </c>
    </row>
    <row r="9">
      <c r="A9" s="8" t="str">
        <f>=B9</f>
        <v>MS-03</v>
      </c>
      <c r="B9" s="4" t="inlineStr">
        <is>
          <t xml:space="preserve">MS-03</t>
        </is>
      </c>
      <c r="C9" s="3" t="inlineStr">
        <is>
          <t xml:space="preserve">Gestão de Tecnologia da Informação</t>
        </is>
      </c>
      <c r="D9" s="4" t="inlineStr">
        <is>
          <t xml:space="preserve">Suporte</t>
        </is>
      </c>
      <c r="E9" s="4">
        <v>8</v>
      </c>
      <c r="F9" s="4" t="inlineStr">
        <is>
          <t xml:space="preserve">AT/GTI</t>
        </is>
      </c>
      <c r="G9" s="4" t="inlineStr">
        <is>
          <t xml:space="preserve">AA/GLC</t>
        </is>
      </c>
      <c r="H9" s="3" t="inlineStr">
        <is>
          <t xml:space="preserve">Planejamento, desenvolvimento, sustentação e segurança dos serviços de TI.</t>
        </is>
      </c>
      <c r="I9" s="3" t="inlineStr">
        <is>
          <t xml:space="preserve">Prover soluções digitais seguras que habilitem os processos de negócio.</t>
        </is>
      </c>
      <c r="J9" s="3" t="inlineStr">
        <is>
          <t xml:space="preserve">Sistemas em produção; Serviços de infraestrutura; Suporte ao usuário</t>
        </is>
      </c>
      <c r="K9" s="3" t="inlineStr">
        <is>
          <t xml:space="preserve">Todas as unidades</t>
        </is>
      </c>
      <c r="L9" s="3" t="inlineStr">
        <is>
          <t xml:space="preserve">SGD/MGI; Fornecedores de TI</t>
        </is>
      </c>
      <c r="M9" s="3" t="inlineStr">
        <is>
          <t xml:space="preserve">e-Codevasf; Service Desk</t>
        </is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8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30" customWidth="1"/>
    <col min="37" max="37" width="40" customWidth="1"/>
    <col min="38" max="38" width="30" customWidth="1"/>
    <col min="39" max="39" width="28" customWidth="1"/>
    <col min="40" max="40" width="24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Processo_ECodevasf_Link</t>
        </is>
      </c>
      <c r="AJ1" s="1" t="inlineStr">
        <is>
          <t xml:space="preserve">Imagem_Bizagi</t>
        </is>
      </c>
      <c r="AK1" s="1" t="inlineStr">
        <is>
          <t xml:space="preserve">Competencias_Necessarias</t>
        </is>
      </c>
      <c r="AL1" s="1" t="inlineStr">
        <is>
          <t xml:space="preserve">Fontes_Dados</t>
        </is>
      </c>
      <c r="AM1" s="1" t="inlineStr">
        <is>
          <t xml:space="preserve">Proxima_Acao</t>
        </is>
      </c>
      <c r="AN1" s="1" t="inlineStr">
        <is>
          <t xml:space="preserve">Pendencia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MS-01 › PP-01</v>
      </c>
      <c r="B2" s="7" t="inlineStr">
        <is>
          <t xml:space="preserve">MS-01</t>
        </is>
      </c>
      <c r="C2" s="7" t="inlineStr">
        <is>
          <t xml:space="preserve">PP-01</t>
        </is>
      </c>
      <c r="D2" s="6" t="inlineStr">
        <is>
          <t xml:space="preserve">Planejamento da Contratação</t>
        </is>
      </c>
      <c r="E2" s="6" t="inlineStr">
        <is>
          <t xml:space="preserve">Da identificação da necessidade (DFD) até a aprovação do ETP, TR e pesquisa de preços que instruem o certame.</t>
        </is>
      </c>
      <c r="F2" s="6" t="inlineStr">
        <is>
          <t xml:space="preserve">Instruir as contratações com estudos e artefatos completos, reduzindo retrabalho e impugnações.</t>
        </is>
      </c>
      <c r="G2" s="7" t="inlineStr">
        <is>
          <t xml:space="preserve">AA/GLC</t>
        </is>
      </c>
      <c r="H2" s="7" t="inlineStr">
        <is>
          <t xml:space="preserve">AT/GTI</t>
        </is>
      </c>
      <c r="I2" s="6" t="inlineStr">
        <is>
          <t xml:space="preserve">Carlos Eduardo Lima (UNP)</t>
        </is>
      </c>
      <c r="J2" s="7" t="inlineStr">
        <is>
          <t xml:space="preserve">Alta</t>
        </is>
      </c>
      <c r="K2" s="7" t="inlineStr">
        <is>
          <t xml:space="preserve">Alta</t>
        </is>
      </c>
      <c r="L2" s="7" t="inlineStr">
        <is>
          <t xml:space="preserve">Definido</t>
        </is>
      </c>
      <c r="M2" s="7" t="inlineStr">
        <is>
          <t xml:space="preserve">Concluído</t>
        </is>
      </c>
      <c r="N2" s="9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7" t="inlineStr">
        <is>
          <t xml:space="preserve">05/01/2026</t>
        </is>
      </c>
      <c r="P2" s="7" t="inlineStr">
        <is>
          <t xml:space="preserve">29/05/2026</t>
        </is>
      </c>
      <c r="Q2" s="7" t="inlineStr">
        <is>
          <t xml:space="preserve">18/05/2026</t>
        </is>
      </c>
      <c r="R2" s="7" t="inlineStr">
        <is>
          <t xml:space="preserve">10/07/2026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7" t="inlineStr">
        <is>
          <t xml:space="preserve">Sim</t>
        </is>
      </c>
      <c r="AC2" s="6" t="inlineStr">
        <is>
          <t xml:space="preserve">Áreas demandantes; Painel de Preços; Fornecedores (cotações)</t>
        </is>
      </c>
      <c r="AD2" s="6" t="inlineStr">
        <is>
          <t xml:space="preserve">DFD; Plano de Contratações Anual; Requisitos da área</t>
        </is>
      </c>
      <c r="AE2" s="6" t="inlineStr">
        <is>
          <t xml:space="preserve">ETP aprovado; TR aprovado; Pesquisa de preços validada</t>
        </is>
      </c>
      <c r="AF2" s="6" t="inlineStr">
        <is>
          <t xml:space="preserve">AA/GLC (Seleção do Fornecedor); Assessoria Jurídica</t>
        </is>
      </c>
      <c r="AG2" s="6" t="inlineStr">
        <is>
          <t xml:space="preserve">e-Codevasf; Compras.gov.br; Painel de Preços</t>
        </is>
      </c>
      <c r="AH2" s="7" t="inlineStr">
        <is>
          <t xml:space="preserve">59500.000123/2026-11</t>
        </is>
      </c>
      <c r="AI2" s="6" t="inlineStr">
        <is>
          <t xml:space="preserve">https://e-processo.codevasf.gov.br/sei/controlador.php?acao=procedimento_visualizar&amp;id=59500000123202611</t>
        </is>
      </c>
      <c r="AJ2" s="6" t="inlineStr">
        <is>
          <t xml:space="preserve">https://fluxosti.codevasf.gov.br/incidentes/</t>
        </is>
      </c>
      <c r="AK2" s="6" t="inlineStr">
        <is>
          <t xml:space="preserve">Elaboração de estudos técnicos e termos de referência; Conhecimento da Lei nº 14.133/2021; Pesquisa e análise de preços de mercado</t>
        </is>
      </c>
      <c r="AL2" s="6" t="inlineStr">
        <is>
          <t xml:space="preserve">e-Codevasf; Painel de Preços; PNCP</t>
        </is>
      </c>
      <c r="AM2" s="6" t="inlineStr">
        <is>
          <t xml:space="preserve">Monitorar indicadores do processo e revisar o PRO em 12 meses.</t>
        </is>
      </c>
      <c r="AO2" s="6" t="inlineStr">
        <is>
          <t xml:space="preserve">Vanessa Torres Almeida</t>
        </is>
      </c>
      <c r="AP2" s="7" t="inlineStr">
        <is>
          <t xml:space="preserve">vanessa.almeida@codevasf.gov.br</t>
        </is>
      </c>
      <c r="AQ2" s="7" t="inlineStr">
        <is>
          <t xml:space="preserve">(61) 2028-4521</t>
        </is>
      </c>
      <c r="AR2" s="7" t="inlineStr">
        <is>
          <t xml:space="preserve">AA/GLC</t>
        </is>
      </c>
    </row>
    <row r="3">
      <c r="A3" s="8" t="str">
        <f>=B3&amp;" › "&amp;C3</f>
        <v>MS-01 › PP-02</v>
      </c>
      <c r="B3" s="4" t="inlineStr">
        <is>
          <t xml:space="preserve">MS-01</t>
        </is>
      </c>
      <c r="C3" s="4" t="inlineStr">
        <is>
          <t xml:space="preserve">PP-02</t>
        </is>
      </c>
      <c r="D3" s="3" t="inlineStr">
        <is>
          <t xml:space="preserve">Seleção do Fornecedor</t>
        </is>
      </c>
      <c r="E3" s="3" t="inlineStr">
        <is>
          <t xml:space="preserve">Da divulgação do edital à homologação do resultado, incluindo sessão pública, julgamento e recursos.</t>
        </is>
      </c>
      <c r="F3" s="3" t="inlineStr">
        <is>
          <t xml:space="preserve">Selecionar a proposta mais vantajosa com celeridade e segurança jurídica.</t>
        </is>
      </c>
      <c r="G3" s="4" t="inlineStr">
        <is>
          <t xml:space="preserve">AA/GLC</t>
        </is>
      </c>
      <c r="H3" s="4" t="inlineStr">
        <is>
          <t xml:space="preserve">AE/GAG</t>
        </is>
      </c>
      <c r="I3" s="3" t="inlineStr">
        <is>
          <t xml:space="preserve">Carlos Eduardo Lima (UNP)</t>
        </is>
      </c>
      <c r="J3" s="4" t="inlineStr">
        <is>
          <t xml:space="preserve">Alta</t>
        </is>
      </c>
      <c r="K3" s="4" t="inlineStr">
        <is>
          <t xml:space="preserve">Média</t>
        </is>
      </c>
      <c r="L3" s="4" t="inlineStr">
        <is>
          <t xml:space="preserve">Repetível</t>
        </is>
      </c>
      <c r="M3" s="4" t="inlineStr">
        <is>
          <t xml:space="preserve">Em andamento</t>
        </is>
      </c>
      <c r="N3" s="9">
        <f>=IF(COUNTIF(S3:AB3,"Sim")+COUNTIF(S3:AB3,"Em andamento")+COUNTIF(S3:AB3,"Não")=0,0,(COUNTIF(S3:AB3,"Sim")+COUNTIF(S3:AB3,"Em andamento")*0.5)/(COUNTIF(S3:AB3,"Sim")+COUNTIF(S3:AB3,"Em andamento")+COUNTIF(S3:AB3,"Não")))</f>
        <v>0.45</v>
      </c>
      <c r="O3" s="4" t="inlineStr">
        <is>
          <t xml:space="preserve">01/06/2026</t>
        </is>
      </c>
      <c r="P3" s="4" t="inlineStr">
        <is>
          <t xml:space="preserve">30/09/2026</t>
        </is>
      </c>
      <c r="R3" s="4" t="inlineStr">
        <is>
          <t xml:space="preserve">15/07/2026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Sim</t>
        </is>
      </c>
      <c r="W3" s="4" t="inlineStr">
        <is>
          <t xml:space="preserve">Em andamento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4" t="inlineStr">
        <is>
          <t xml:space="preserve">Não</t>
        </is>
      </c>
      <c r="AC3" s="3" t="inlineStr">
        <is>
          <t xml:space="preserve">P-06.01 (artefatos); Compras.gov.br</t>
        </is>
      </c>
      <c r="AD3" s="3" t="inlineStr">
        <is>
          <t xml:space="preserve">Edital minutado; Parecer jurídico; ETP/TR</t>
        </is>
      </c>
      <c r="AE3" s="3" t="inlineStr">
        <is>
          <t xml:space="preserve">Resultado homologado; Contrato/ata para assinatura</t>
        </is>
      </c>
      <c r="AF3" s="3" t="inlineStr">
        <is>
          <t xml:space="preserve">Unidades demandantes; Fornecedores</t>
        </is>
      </c>
      <c r="AG3" s="3" t="inlineStr">
        <is>
          <t xml:space="preserve">Compras.gov.br; PNCP; e-Codevasf</t>
        </is>
      </c>
      <c r="AH3" s="4" t="inlineStr">
        <is>
          <t xml:space="preserve">59500.000456/2026-22</t>
        </is>
      </c>
      <c r="AI3" s="3" t="inlineStr">
        <is>
          <t xml:space="preserve">https://e-processo.codevasf.gov.br/sei/controlador.php?acao=procedimento_visualizar&amp;id=59500000456202622</t>
        </is>
      </c>
      <c r="AK3" s="3" t="inlineStr">
        <is>
          <t xml:space="preserve">Condução de sessões públicas de licitação; Julgamento de propostas e habilitação; Uso de plataformas de compras governamentais</t>
        </is>
      </c>
      <c r="AL3" s="3" t="inlineStr">
        <is>
          <t xml:space="preserve">Compras.gov.br</t>
        </is>
      </c>
      <c r="AM3" s="3" t="inlineStr">
        <is>
          <t xml:space="preserve">Validar AS-IS com o dono do processo (reunião marcada).</t>
        </is>
      </c>
      <c r="AN3" s="3" t="inlineStr">
        <is>
          <t xml:space="preserve">Pendente retorno da área sobre fluxo de recursos administrativos.</t>
        </is>
      </c>
      <c r="AO3" s="3" t="inlineStr">
        <is>
          <t xml:space="preserve">Vanessa Torres Almeida</t>
        </is>
      </c>
      <c r="AP3" s="4" t="inlineStr">
        <is>
          <t xml:space="preserve">vanessa.almeida@codevasf.gov.br</t>
        </is>
      </c>
      <c r="AQ3" s="4" t="inlineStr">
        <is>
          <t xml:space="preserve">(61) 2028-4521</t>
        </is>
      </c>
      <c r="AR3" s="4" t="inlineStr">
        <is>
          <t xml:space="preserve">AA/GLC</t>
        </is>
      </c>
    </row>
    <row r="4">
      <c r="A4" s="8" t="str">
        <f>=B4&amp;" › "&amp;C4</f>
        <v>MS-01 › PP-03</v>
      </c>
      <c r="B4" s="7" t="inlineStr">
        <is>
          <t xml:space="preserve">MS-01</t>
        </is>
      </c>
      <c r="C4" s="7" t="inlineStr">
        <is>
          <t xml:space="preserve">PP-03</t>
        </is>
      </c>
      <c r="D4" s="6" t="inlineStr">
        <is>
          <t xml:space="preserve">Gestão e Fiscalização Contratual</t>
        </is>
      </c>
      <c r="E4" s="6" t="inlineStr">
        <is>
          <t xml:space="preserve">Da assinatura do contrato ao encerramento, incluindo fiscalização, medições, pagamentos e sanções.</t>
        </is>
      </c>
      <c r="F4" s="6" t="inlineStr">
        <is>
          <t xml:space="preserve">Garantir a entrega do objeto contratado no prazo, custo e qualidade pactuados.</t>
        </is>
      </c>
      <c r="G4" s="7" t="inlineStr">
        <is>
          <t xml:space="preserve">AA/GLC</t>
        </is>
      </c>
      <c r="H4" s="7" t="inlineStr">
        <is>
          <t xml:space="preserve">AT/GTI</t>
        </is>
      </c>
      <c r="I4" s="6" t="inlineStr">
        <is>
          <t xml:space="preserve">Bruna Souza (UNP)</t>
        </is>
      </c>
      <c r="J4" s="7" t="inlineStr">
        <is>
          <t xml:space="preserve">Alta</t>
        </is>
      </c>
      <c r="K4" s="7" t="inlineStr">
        <is>
          <t xml:space="preserve">Alta</t>
        </is>
      </c>
      <c r="L4" s="7" t="inlineStr">
        <is>
          <t xml:space="preserve">Gerenciado</t>
        </is>
      </c>
      <c r="M4" s="7" t="inlineStr">
        <is>
          <t xml:space="preserve">Em andamento</t>
        </is>
      </c>
      <c r="N4" s="9">
        <f>=IF(COUNTIF(S4:AB4,"Sim")+COUNTIF(S4:AB4,"Em andamento")+COUNTIF(S4:AB4,"Não")=0,0,(COUNTIF(S4:AB4,"Sim")+COUNTIF(S4:AB4,"Em andamento")*0.5)/(COUNTIF(S4:AB4,"Sim")+COUNTIF(S4:AB4,"Em andamento")+COUNTIF(S4:AB4,"Não")))</f>
        <v>0.2</v>
      </c>
      <c r="O4" s="7" t="inlineStr">
        <is>
          <t xml:space="preserve">15/06/2026</t>
        </is>
      </c>
      <c r="P4" s="7" t="inlineStr">
        <is>
          <t xml:space="preserve">30/11/2026</t>
        </is>
      </c>
      <c r="R4" s="7" t="inlineStr">
        <is>
          <t xml:space="preserve">20/07/2026</t>
        </is>
      </c>
      <c r="S4" s="7" t="inlineStr">
        <is>
          <t xml:space="preserve">Sim</t>
        </is>
      </c>
      <c r="T4" s="7" t="inlineStr">
        <is>
          <t xml:space="preserve">Sim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7" t="inlineStr">
        <is>
          <t xml:space="preserve">Não</t>
        </is>
      </c>
      <c r="AC4" s="6" t="inlineStr">
        <is>
          <t xml:space="preserve">P-06.02 (contrato); Fornecedores contratados</t>
        </is>
      </c>
      <c r="AD4" s="6" t="inlineStr">
        <is>
          <t xml:space="preserve">Contrato assinado; Cronograma; Garantias</t>
        </is>
      </c>
      <c r="AE4" s="6" t="inlineStr">
        <is>
          <t xml:space="preserve">Objeto recebido; Pagamentos efetuados; Termo de encerramento</t>
        </is>
      </c>
      <c r="AF4" s="6" t="inlineStr">
        <is>
          <t xml:space="preserve">Unidades demandantes; Fornecedores</t>
        </is>
      </c>
      <c r="AG4" s="6" t="inlineStr">
        <is>
          <t xml:space="preserve">e-Codevasf; Compras.gov.br</t>
        </is>
      </c>
      <c r="AH4" s="7" t="inlineStr">
        <is>
          <t xml:space="preserve">59500.000789/2026-33</t>
        </is>
      </c>
      <c r="AI4" s="6" t="inlineStr">
        <is>
          <t xml:space="preserve">https://e-processo.codevasf.gov.br/sei/controlador.php?acao=procedimento_visualizar&amp;id=59500000789202633</t>
        </is>
      </c>
      <c r="AK4" s="6" t="inlineStr">
        <is>
          <t xml:space="preserve">Fiscalização técnica e administrativa de contratos; Gestão de medições e pagamentos; Aplicação de sanções administrativas</t>
        </is>
      </c>
      <c r="AL4" s="6" t="inlineStr">
        <is>
          <t xml:space="preserve">e-Codevasf</t>
        </is>
      </c>
      <c r="AM4" s="6" t="inlineStr">
        <is>
          <t xml:space="preserve">Concluir modelagem AS-IS das medições e pagamentos.</t>
        </is>
      </c>
      <c r="AO4" s="6" t="inlineStr">
        <is>
          <t xml:space="preserve">Vanessa Torres Almeida</t>
        </is>
      </c>
      <c r="AP4" s="7" t="inlineStr">
        <is>
          <t xml:space="preserve">vanessa.almeida@codevasf.gov.br</t>
        </is>
      </c>
      <c r="AQ4" s="7" t="inlineStr">
        <is>
          <t xml:space="preserve">(61) 2028-4521</t>
        </is>
      </c>
      <c r="AR4" s="7" t="inlineStr">
        <is>
          <t xml:space="preserve">AA/GLC</t>
        </is>
      </c>
    </row>
    <row r="5">
      <c r="A5" s="8" t="str">
        <f>=B5&amp;" › "&amp;C5</f>
        <v>MF-02 › PP-01</v>
      </c>
      <c r="B5" s="4" t="inlineStr">
        <is>
          <t xml:space="preserve">MF-02</t>
        </is>
      </c>
      <c r="C5" s="4" t="inlineStr">
        <is>
          <t xml:space="preserve">PP-01</t>
        </is>
      </c>
      <c r="D5" s="3" t="inlineStr">
        <is>
          <t xml:space="preserve">Operação e Manutenção de Perímetros Irrigados</t>
        </is>
      </c>
      <c r="E5" s="3" t="inlineStr">
        <is>
          <t xml:space="preserve">Programação e distribuição de água, manutenção da infraestrutura de uso comum e relacionamento com irrigantes.</t>
        </is>
      </c>
      <c r="F5" s="3" t="inlineStr">
        <is>
          <t xml:space="preserve">Assegurar a distribuição hídrica confiável e a conservação dos ativos.</t>
        </is>
      </c>
      <c r="G5" s="4" t="inlineStr">
        <is>
          <t xml:space="preserve">AI/GOM</t>
        </is>
      </c>
      <c r="H5" s="4" t="inlineStr">
        <is>
          <t xml:space="preserve">AT/GTI</t>
        </is>
      </c>
      <c r="I5" s="3" t="inlineStr">
        <is>
          <t xml:space="preserve">Eduardo Martins (UNP)</t>
        </is>
      </c>
      <c r="J5" s="4" t="inlineStr">
        <is>
          <t xml:space="preserve">Média</t>
        </is>
      </c>
      <c r="K5" s="4" t="inlineStr">
        <is>
          <t xml:space="preserve">Alta</t>
        </is>
      </c>
      <c r="L5" s="4" t="inlineStr">
        <is>
          <t xml:space="preserve">Inicial</t>
        </is>
      </c>
      <c r="M5" s="4" t="inlineStr">
        <is>
          <t xml:space="preserve">Em andamento</t>
        </is>
      </c>
      <c r="N5" s="9">
        <f>=IF(COUNTIF(S5:AB5,"Sim")+COUNTIF(S5:AB5,"Em andamento")+COUNTIF(S5:AB5,"Não")=0,0,(COUNTIF(S5:AB5,"Sim")+COUNTIF(S5:AB5,"Em andamento")*0.5)/(COUNTIF(S5:AB5,"Sim")+COUNTIF(S5:AB5,"Em andamento")+COUNTIF(S5:AB5,"Não")))</f>
        <v>0.3</v>
      </c>
      <c r="O5" s="4" t="inlineStr">
        <is>
          <t xml:space="preserve">04/05/2026</t>
        </is>
      </c>
      <c r="P5" s="4" t="inlineStr">
        <is>
          <t xml:space="preserve">30/10/2026</t>
        </is>
      </c>
      <c r="R5" s="4" t="inlineStr">
        <is>
          <t xml:space="preserve">12/07/2026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Sim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4" t="inlineStr">
        <is>
          <t xml:space="preserve">Não</t>
        </is>
      </c>
      <c r="AC5" s="3" t="inlineStr">
        <is>
          <t xml:space="preserve">ANA (outorgas); Distritos de irrigação</t>
        </is>
      </c>
      <c r="AD5" s="3" t="inlineStr">
        <is>
          <t xml:space="preserve">Outorga de uso; Demanda de irrigação; Plano de cultivo</t>
        </is>
      </c>
      <c r="AE5" s="3" t="inlineStr">
        <is>
          <t xml:space="preserve">Água distribuída; Infraestrutura mantida; Relatórios de O&amp;M</t>
        </is>
      </c>
      <c r="AF5" s="3" t="inlineStr">
        <is>
          <t xml:space="preserve">Irrigantes; Distritos</t>
        </is>
      </c>
      <c r="AG5" s="3" t="inlineStr">
        <is>
          <t xml:space="preserve">SIG-Irrigação (fictício); e-Codevasf</t>
        </is>
      </c>
      <c r="AH5" s="4" t="inlineStr">
        <is>
          <t xml:space="preserve">59500.000901/2026-44</t>
        </is>
      </c>
      <c r="AI5" s="3" t="inlineStr">
        <is>
          <t xml:space="preserve">https://e-processo.codevasf.gov.br/sei/controlador.php?acao=procedimento_visualizar&amp;id=59500000901202644</t>
        </is>
      </c>
      <c r="AK5" s="3" t="inlineStr">
        <is>
          <t xml:space="preserve">Operação de sistemas hidráulicos; Manutenção de infraestrutura de irrigação; Relacionamento com associações de irrigantes</t>
        </is>
      </c>
      <c r="AL5" s="3" t="inlineStr">
        <is>
          <t xml:space="preserve">SIG-Irrigação (fictício)</t>
        </is>
      </c>
      <c r="AM5" s="3" t="inlineStr">
        <is>
          <t xml:space="preserve">Agendar oficina de validação do AS-IS com o distrito.</t>
        </is>
      </c>
      <c r="AO5" s="3" t="inlineStr">
        <is>
          <t xml:space="preserve">Marcelo Andrade Costa</t>
        </is>
      </c>
      <c r="AP5" s="4" t="inlineStr">
        <is>
          <t xml:space="preserve">marcelo.costa@codevasf.gov.br</t>
        </is>
      </c>
      <c r="AQ5" s="4" t="inlineStr">
        <is>
          <t xml:space="preserve">(61) 2028-4710</t>
        </is>
      </c>
      <c r="AR5" s="4" t="inlineStr">
        <is>
          <t xml:space="preserve">AI/GOM</t>
        </is>
      </c>
    </row>
    <row r="6">
      <c r="A6" s="8" t="str">
        <f>=B6&amp;" › "&amp;C6</f>
        <v>MF-03 › PP-01</v>
      </c>
      <c r="B6" s="7" t="inlineStr">
        <is>
          <t xml:space="preserve">MF-03</t>
        </is>
      </c>
      <c r="C6" s="7" t="inlineStr">
        <is>
          <t xml:space="preserve">PP-01</t>
        </is>
      </c>
      <c r="D6" s="6" t="inlineStr">
        <is>
          <t xml:space="preserve">Recuperação de Nascentes e Matas Ciliares</t>
        </is>
      </c>
      <c r="E6" s="6" t="inlineStr">
        <is>
          <t xml:space="preserve">Seleção de áreas, execução de cercamento e plantio, e monitoramento da regeneração.</t>
        </is>
      </c>
      <c r="F6" s="6" t="inlineStr">
        <is>
          <t xml:space="preserve">Recuperar áreas degradadas prioritárias das bacias.</t>
        </is>
      </c>
      <c r="G6" s="7" t="inlineStr">
        <is>
          <t xml:space="preserve">AR/GRB</t>
        </is>
      </c>
      <c r="H6" s="7" t="inlineStr">
        <is>
          <t xml:space="preserve">AR/GDT</t>
        </is>
      </c>
      <c r="I6" s="6" t="inlineStr">
        <is>
          <t xml:space="preserve">Eduardo Martins (UNP)</t>
        </is>
      </c>
      <c r="J6" s="7" t="inlineStr">
        <is>
          <t xml:space="preserve">Média</t>
        </is>
      </c>
      <c r="K6" s="7" t="inlineStr">
        <is>
          <t xml:space="preserve">Média</t>
        </is>
      </c>
      <c r="L6" s="7" t="inlineStr">
        <is>
          <t xml:space="preserve">Inicial</t>
        </is>
      </c>
      <c r="M6" s="7" t="inlineStr">
        <is>
          <t xml:space="preserve">Não iniciado</t>
        </is>
      </c>
      <c r="N6" s="9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P6" s="7" t="inlineStr">
        <is>
          <t xml:space="preserve">31/03/2027</t>
        </is>
      </c>
      <c r="R6" s="7" t="inlineStr">
        <is>
          <t xml:space="preserve">01/07/2026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7" t="inlineStr">
        <is>
          <t xml:space="preserve">Não</t>
        </is>
      </c>
      <c r="AC6" s="6" t="inlineStr">
        <is>
          <t xml:space="preserve">Municípios; Comitês de bacia</t>
        </is>
      </c>
      <c r="AD6" s="6" t="inlineStr">
        <is>
          <t xml:space="preserve">Diagnóstico hidroambiental; Termos de cooperação</t>
        </is>
      </c>
      <c r="AE6" s="6" t="inlineStr">
        <is>
          <t xml:space="preserve">Nascentes recuperadas; Relatórios de monitoramento</t>
        </is>
      </c>
      <c r="AF6" s="6" t="inlineStr">
        <is>
          <t xml:space="preserve">Comunidades; Órgãos ambientais</t>
        </is>
      </c>
      <c r="AG6" s="6" t="inlineStr">
        <is>
          <t xml:space="preserve">e-Codevasf; GeoPortal (fictício)</t>
        </is>
      </c>
      <c r="AK6" s="6" t="inlineStr">
        <is>
          <t xml:space="preserve">Diagnóstico e recuperação de áreas degradadas; Noções de engenharia ambiental; Articulação com comunidades e órgãos ambientais</t>
        </is>
      </c>
      <c r="AM6" s="6" t="inlineStr">
        <is>
          <t xml:space="preserve">Enviar formulário de levantamento à área (previsto ago/2026).</t>
        </is>
      </c>
      <c r="AO6" s="6" t="inlineStr">
        <is>
          <t xml:space="preserve">Luciana Ferreira Dias</t>
        </is>
      </c>
      <c r="AP6" s="7" t="inlineStr">
        <is>
          <t xml:space="preserve">luciana.dias@codevasf.gov.br</t>
        </is>
      </c>
      <c r="AQ6" s="7" t="inlineStr">
        <is>
          <t xml:space="preserve">(61) 2028-4820</t>
        </is>
      </c>
      <c r="AR6" s="7" t="inlineStr">
        <is>
          <t xml:space="preserve">AR/GRB</t>
        </is>
      </c>
    </row>
    <row r="7">
      <c r="A7" s="8" t="str">
        <f>=B7&amp;" › "&amp;C7</f>
        <v>MG-01 › PP-01</v>
      </c>
      <c r="B7" s="4" t="inlineStr">
        <is>
          <t xml:space="preserve">MG-01</t>
        </is>
      </c>
      <c r="C7" s="4" t="inlineStr">
        <is>
          <t xml:space="preserve">PP-01</t>
        </is>
      </c>
      <c r="D7" s="3" t="inlineStr">
        <is>
          <t xml:space="preserve">Formulação e Monitoramento do Planejamento Estratégico</t>
        </is>
      </c>
      <c r="E7" s="3" t="inlineStr">
        <is>
          <t xml:space="preserve">Construção do plano estratégico, desdobramento em planos de ação e monitoramento periódico de resultados.</t>
        </is>
      </c>
      <c r="F7" s="3" t="inlineStr">
        <is>
          <t xml:space="preserve">Manter a estratégia viva, monitorada e comunicada.</t>
        </is>
      </c>
      <c r="G7" s="4" t="inlineStr">
        <is>
          <t xml:space="preserve">AE/GPE</t>
        </is>
      </c>
      <c r="H7" s="4" t="inlineStr">
        <is>
          <t xml:space="preserve">AE/GAG</t>
        </is>
      </c>
      <c r="I7" s="3" t="inlineStr">
        <is>
          <t xml:space="preserve">Gustavo Pereira (UNP)</t>
        </is>
      </c>
      <c r="J7" s="4" t="inlineStr">
        <is>
          <t xml:space="preserve">Alta</t>
        </is>
      </c>
      <c r="K7" s="4" t="inlineStr">
        <is>
          <t xml:space="preserve">Média</t>
        </is>
      </c>
      <c r="L7" s="4" t="inlineStr">
        <is>
          <t xml:space="preserve">Otimizado</t>
        </is>
      </c>
      <c r="M7" s="4" t="inlineStr">
        <is>
          <t xml:space="preserve">Concluído</t>
        </is>
      </c>
      <c r="N7" s="9">
        <f>=IF(COUNTIF(S7:AB7,"Sim")+COUNTIF(S7:AB7,"Em andamento")+COUNTIF(S7:AB7,"Não")=0,0,(COUNTIF(S7:AB7,"Sim")+COUNTIF(S7:AB7,"Em andamento")*0.5)/(COUNTIF(S7:AB7,"Sim")+COUNTIF(S7:AB7,"Em andamento")+COUNTIF(S7:AB7,"Não")))</f>
        <v>1</v>
      </c>
      <c r="O7" s="4" t="inlineStr">
        <is>
          <t xml:space="preserve">01/09/2025</t>
        </is>
      </c>
      <c r="P7" s="4" t="inlineStr">
        <is>
          <t xml:space="preserve">27/02/2026</t>
        </is>
      </c>
      <c r="Q7" s="4" t="inlineStr">
        <is>
          <t xml:space="preserve">20/02/2026</t>
        </is>
      </c>
      <c r="R7" s="4" t="inlineStr">
        <is>
          <t xml:space="preserve">30/06/2026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4" t="inlineStr">
        <is>
          <t xml:space="preserve">Sim</t>
        </is>
      </c>
      <c r="AC7" s="3" t="inlineStr">
        <is>
          <t xml:space="preserve">Diretoria; Unidades</t>
        </is>
      </c>
      <c r="AD7" s="3" t="inlineStr">
        <is>
          <t xml:space="preserve">Diretrizes de governo; Diagnóstico institucional</t>
        </is>
      </c>
      <c r="AE7" s="3" t="inlineStr">
        <is>
          <t xml:space="preserve">Plano Estratégico; Painel de indicadores; RAG</t>
        </is>
      </c>
      <c r="AF7" s="3" t="inlineStr">
        <is>
          <t xml:space="preserve">Diretoria Executiva; Conselhos</t>
        </is>
      </c>
      <c r="AG7" s="3" t="inlineStr">
        <is>
          <t xml:space="preserve">e-Codevasf; Painéis de BI</t>
        </is>
      </c>
      <c r="AH7" s="4" t="inlineStr">
        <is>
          <t xml:space="preserve">59500.000015/2025-77</t>
        </is>
      </c>
      <c r="AI7" s="3" t="inlineStr">
        <is>
          <t xml:space="preserve">https://e-processo.codevasf.gov.br/sei/controlador.php?acao=procedimento_visualizar&amp;id=59500000015202577</t>
        </is>
      </c>
      <c r="AK7" s="3" t="inlineStr">
        <is>
          <t xml:space="preserve">Planejamento estratégico e gestão por indicadores; Facilitação de oficinas; Análise de dados institucionais</t>
        </is>
      </c>
      <c r="AM7" s="3" t="inlineStr">
        <is>
          <t xml:space="preserve">Ciclo de monitoramento trimestral (próximo: set/2026).</t>
        </is>
      </c>
      <c r="AO7" s="3" t="inlineStr">
        <is>
          <t xml:space="preserve">Patrícia Moreira Lopes</t>
        </is>
      </c>
      <c r="AP7" s="4" t="inlineStr">
        <is>
          <t xml:space="preserve">patricia.lopes@codevasf.gov.br</t>
        </is>
      </c>
      <c r="AQ7" s="4" t="inlineStr">
        <is>
          <t xml:space="preserve">(61) 2028-4430</t>
        </is>
      </c>
      <c r="AR7" s="4" t="inlineStr">
        <is>
          <t xml:space="preserve">AE/GPE</t>
        </is>
      </c>
    </row>
    <row r="8">
      <c r="A8" s="8" t="str">
        <f>=B8&amp;" › "&amp;C8</f>
        <v>MS-02 › PP-01</v>
      </c>
      <c r="B8" s="7" t="inlineStr">
        <is>
          <t xml:space="preserve">MS-02</t>
        </is>
      </c>
      <c r="C8" s="7" t="inlineStr">
        <is>
          <t xml:space="preserve">PP-01</t>
        </is>
      </c>
      <c r="D8" s="6" t="inlineStr">
        <is>
          <t xml:space="preserve">Admissão e Integração de Empregados</t>
        </is>
      </c>
      <c r="E8" s="6" t="inlineStr">
        <is>
          <t xml:space="preserve">Da homologação do concurso à integração do novo empregado, incluindo exames, posse e ambientação.</t>
        </is>
      </c>
      <c r="F8" s="6" t="inlineStr">
        <is>
          <t xml:space="preserve">Admitir e integrar novos empregados com agilidade e conformidade.</t>
        </is>
      </c>
      <c r="G8" s="7" t="inlineStr">
        <is>
          <t xml:space="preserve">AG/GGP</t>
        </is>
      </c>
      <c r="H8" s="7" t="inlineStr">
        <is>
          <t xml:space="preserve">AE/GAG</t>
        </is>
      </c>
      <c r="I8" s="6" t="inlineStr">
        <is>
          <t xml:space="preserve">Bruna Souza (UNP)</t>
        </is>
      </c>
      <c r="J8" s="7" t="inlineStr">
        <is>
          <t xml:space="preserve">Baixa</t>
        </is>
      </c>
      <c r="K8" s="7" t="inlineStr">
        <is>
          <t xml:space="preserve">Baixa</t>
        </is>
      </c>
      <c r="L8" s="7" t="inlineStr">
        <is>
          <t xml:space="preserve">Inicial</t>
        </is>
      </c>
      <c r="M8" s="7" t="inlineStr">
        <is>
          <t xml:space="preserve">Não iniciado</t>
        </is>
      </c>
      <c r="N8" s="9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P8" s="7" t="inlineStr">
        <is>
          <t xml:space="preserve">30/06/2027</t>
        </is>
      </c>
      <c r="R8" s="7" t="inlineStr">
        <is>
          <t xml:space="preserve">15/06/2026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7" t="inlineStr">
        <is>
          <t xml:space="preserve">Não</t>
        </is>
      </c>
      <c r="AC8" s="6" t="inlineStr">
        <is>
          <t xml:space="preserve">Banca do concurso; Candidatos</t>
        </is>
      </c>
      <c r="AD8" s="6" t="inlineStr">
        <is>
          <t xml:space="preserve">Resultado homologado; Documentação do candidato</t>
        </is>
      </c>
      <c r="AE8" s="6" t="inlineStr">
        <is>
          <t xml:space="preserve">Empregado admitido e integrado</t>
        </is>
      </c>
      <c r="AF8" s="6" t="inlineStr">
        <is>
          <t xml:space="preserve">Novos empregados; Unidades de lotação</t>
        </is>
      </c>
      <c r="AG8" s="6" t="inlineStr">
        <is>
          <t xml:space="preserve">SIGEP (fictício); e-Codevasf</t>
        </is>
      </c>
      <c r="AK8" s="6" t="inlineStr">
        <is>
          <t xml:space="preserve">Rotinas de admissão e legislação trabalhista (CLT); Condução de processos de integração; Uso de sistemas de gestão de pessoas</t>
        </is>
      </c>
      <c r="AM8" s="6" t="inlineStr">
        <is>
          <t xml:space="preserve">Aguardando priorização no ciclo 2027.</t>
        </is>
      </c>
      <c r="AO8" s="6" t="inlineStr">
        <is>
          <t xml:space="preserve">Rodrigo Nascimento Farias</t>
        </is>
      </c>
      <c r="AP8" s="7" t="inlineStr">
        <is>
          <t xml:space="preserve">rodrigo.farias@codevasf.gov.br</t>
        </is>
      </c>
      <c r="AQ8" s="7" t="inlineStr">
        <is>
          <t xml:space="preserve">(61) 2028-4900</t>
        </is>
      </c>
      <c r="AR8" s="7" t="inlineStr">
        <is>
          <t xml:space="preserve">AG/GGP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300">
      <formula1>Siglas!$A$2:$A$421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7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MS-01 › PP-01 › SP-01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6" t="inlineStr">
        <is>
          <t xml:space="preserve">Estudo Técnico Preliminar (ETP)</t>
        </is>
      </c>
      <c r="F2" s="7" t="inlineStr">
        <is>
          <t xml:space="preserve">PP-01</t>
        </is>
      </c>
      <c r="G2" s="7">
        <v>1</v>
      </c>
      <c r="H2" s="6" t="inlineStr">
        <is>
          <t xml:space="preserve">Caracterização da necessidade, análise de soluções de mercado e demonstração da viabilidade da contratação.</t>
        </is>
      </c>
      <c r="I2" s="6" t="inlineStr">
        <is>
          <t xml:space="preserve">Fundamentar tecnicamente a melhor solução para a necessidade.</t>
        </is>
      </c>
      <c r="J2" s="7" t="inlineStr">
        <is>
          <t xml:space="preserve">AA/GLC</t>
        </is>
      </c>
      <c r="K2" s="7" t="inlineStr">
        <is>
          <t xml:space="preserve">AE/GAG</t>
        </is>
      </c>
      <c r="N2" s="6" t="inlineStr">
        <is>
          <t xml:space="preserve">DFD; Levantamento de soluções de mercado</t>
        </is>
      </c>
      <c r="O2" s="6" t="inlineStr">
        <is>
          <t xml:space="preserve">ETP aprovado no e-Codevasf</t>
        </is>
      </c>
      <c r="P2" s="6" t="inlineStr">
        <is>
          <t xml:space="preserve">e-Codevasf; Compras.gov.br</t>
        </is>
      </c>
      <c r="Q2" s="6" t="inlineStr">
        <is>
          <t xml:space="preserve">e-Codevasf</t>
        </is>
      </c>
    </row>
    <row r="3">
      <c r="A3" s="8" t="str">
        <f>=B3&amp;" › "&amp;C3&amp;" › "&amp;D3</f>
        <v>MS-01 › PP-01 › SP-02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SP-02</t>
        </is>
      </c>
      <c r="E3" s="3" t="inlineStr">
        <is>
          <t xml:space="preserve">Termo de Referência (TR)</t>
        </is>
      </c>
      <c r="F3" s="4" t="inlineStr">
        <is>
          <t xml:space="preserve">PP-01</t>
        </is>
      </c>
      <c r="G3" s="4">
        <v>2</v>
      </c>
      <c r="H3" s="3" t="inlineStr">
        <is>
          <t xml:space="preserve">Definição do objeto, requisitos, modelo de execução e gestão contratual, e critérios de julgamento.</t>
        </is>
      </c>
      <c r="I3" s="3" t="inlineStr">
        <is>
          <t xml:space="preserve">Especificar com precisão o objeto e as condições da contratação.</t>
        </is>
      </c>
      <c r="J3" s="4" t="inlineStr">
        <is>
          <t xml:space="preserve">AA/GLC</t>
        </is>
      </c>
      <c r="K3" s="4" t="inlineStr">
        <is>
          <t xml:space="preserve">AE/GAG</t>
        </is>
      </c>
      <c r="N3" s="3" t="inlineStr">
        <is>
          <t xml:space="preserve">ETP aprovado; Modelos padronizados de TR</t>
        </is>
      </c>
      <c r="O3" s="3" t="inlineStr">
        <is>
          <t xml:space="preserve">TR aprovado e validado juridicamente</t>
        </is>
      </c>
      <c r="P3" s="3" t="inlineStr">
        <is>
          <t xml:space="preserve">e-Codevasf</t>
        </is>
      </c>
    </row>
    <row r="4">
      <c r="A4" s="8" t="str">
        <f>=B4&amp;" › "&amp;C4&amp;" › "&amp;D4</f>
        <v>MS-01 › PP-01 › SP-03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SP-03</t>
        </is>
      </c>
      <c r="E4" s="6" t="inlineStr">
        <is>
          <t xml:space="preserve">Pesquisa de Preços</t>
        </is>
      </c>
      <c r="F4" s="7" t="inlineStr">
        <is>
          <t xml:space="preserve">PP-01</t>
        </is>
      </c>
      <c r="G4" s="7">
        <v>3</v>
      </c>
      <c r="H4" s="6" t="inlineStr">
        <is>
          <t xml:space="preserve">Levantamento de preços em fontes admitidas (Painel de Preços, PNCP, cotações) e consolidação do valor estimado.</t>
        </is>
      </c>
      <c r="I4" s="6" t="inlineStr">
        <is>
          <t xml:space="preserve">Estimar o valor da contratação conforme a IN SEGES nº 65/2021.</t>
        </is>
      </c>
      <c r="J4" s="7" t="inlineStr">
        <is>
          <t xml:space="preserve">AA/GLC</t>
        </is>
      </c>
      <c r="K4" s="7" t="inlineStr">
        <is>
          <t xml:space="preserve">AT/GTI</t>
        </is>
      </c>
      <c r="N4" s="6" t="inlineStr">
        <is>
          <t xml:space="preserve">TR validado; Fontes de preços admitidas</t>
        </is>
      </c>
      <c r="O4" s="6" t="inlineStr">
        <is>
          <t xml:space="preserve">Relatório de pesquisa de preços; Mapa comparativo</t>
        </is>
      </c>
      <c r="P4" s="6" t="inlineStr">
        <is>
          <t xml:space="preserve">Painel de Preços; PNCP; e-Codevasf</t>
        </is>
      </c>
      <c r="Q4" s="6" t="inlineStr">
        <is>
          <t xml:space="preserve">Painel de Preços; PNCP</t>
        </is>
      </c>
    </row>
    <row r="5">
      <c r="A5" s="8" t="str">
        <f>=B5&amp;" › "&amp;C5&amp;" › "&amp;D5</f>
        <v>MS-01 › PP-01 › SP-03 › SP-03.01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SP-03.01</t>
        </is>
      </c>
      <c r="E5" s="3" t="inlineStr">
        <is>
          <t xml:space="preserve">Tratamento de Preços Inexequíveis ou Excessivos</t>
        </is>
      </c>
      <c r="F5" s="4" t="inlineStr">
        <is>
          <t xml:space="preserve">SP-03</t>
        </is>
      </c>
      <c r="G5" s="4">
        <v>1</v>
      </c>
      <c r="H5" s="3" t="inlineStr">
        <is>
          <t xml:space="preserve">Identificação e exclusão de valores discrepantes coletados na pesquisa, com justificativa técnica registrada.</t>
        </is>
      </c>
      <c r="I5" s="3" t="inlineStr">
        <is>
          <t xml:space="preserve">Evitar que outliers de preço distorçam o valor estimado da contratação.</t>
        </is>
      </c>
      <c r="J5" s="4" t="inlineStr">
        <is>
          <t xml:space="preserve">AA/GLC</t>
        </is>
      </c>
      <c r="K5" s="4" t="inlineStr">
        <is>
          <t xml:space="preserve">AT/GTI</t>
        </is>
      </c>
      <c r="L5" s="4" t="inlineStr">
        <is>
          <t xml:space="preserve">Sim</t>
        </is>
      </c>
      <c r="M5" s="3" t="inlineStr">
        <is>
          <t xml:space="preserve">MS-01 › PP-02; MF-02 › PP-01</t>
        </is>
      </c>
      <c r="N5" s="3" t="inlineStr">
        <is>
          <t xml:space="preserve">Amostra de preços coletados na pesquisa</t>
        </is>
      </c>
      <c r="O5" s="3" t="inlineStr">
        <is>
          <t xml:space="preserve">Valores discrepantes identificados e justificados</t>
        </is>
      </c>
      <c r="P5" s="3" t="inlineStr">
        <is>
          <t xml:space="preserve">Planilha padrão; e-Codevasf</t>
        </is>
      </c>
    </row>
    <row r="6">
      <c r="A6" s="8" t="str">
        <f>=B6&amp;" › "&amp;C6&amp;" › "&amp;D6</f>
        <v>MS-01 › PP-02 › SP-01</v>
      </c>
      <c r="B6" s="7" t="inlineStr">
        <is>
          <t xml:space="preserve">MS-01</t>
        </is>
      </c>
      <c r="C6" s="7" t="inlineStr">
        <is>
          <t xml:space="preserve">PP-02</t>
        </is>
      </c>
      <c r="D6" s="7" t="inlineStr">
        <is>
          <t xml:space="preserve">SP-01</t>
        </is>
      </c>
      <c r="E6" s="6" t="inlineStr">
        <is>
          <t xml:space="preserve">Condução da Sessão Pública</t>
        </is>
      </c>
      <c r="F6" s="7" t="inlineStr">
        <is>
          <t xml:space="preserve">PP-02</t>
        </is>
      </c>
      <c r="G6" s="7">
        <v>1</v>
      </c>
      <c r="H6" s="6" t="inlineStr">
        <is>
          <t xml:space="preserve">Abertura da sessão no sistema, fase de lances, julgamento, habilitação e registro em ata.</t>
        </is>
      </c>
      <c r="I6" s="6" t="inlineStr">
        <is>
          <t xml:space="preserve">Conduzir o certame com transparência e celeridade.</t>
        </is>
      </c>
      <c r="J6" s="7" t="inlineStr">
        <is>
          <t xml:space="preserve">AA/GLC</t>
        </is>
      </c>
      <c r="K6" s="7" t="inlineStr">
        <is>
          <t xml:space="preserve">AE/GAG</t>
        </is>
      </c>
      <c r="N6" s="6" t="inlineStr">
        <is>
          <t xml:space="preserve">Edital publicado; Propostas dos licitantes</t>
        </is>
      </c>
      <c r="O6" s="6" t="inlineStr">
        <is>
          <t xml:space="preserve">Ata da sessão; Resultado por item</t>
        </is>
      </c>
      <c r="P6" s="6" t="inlineStr">
        <is>
          <t xml:space="preserve">Compras.gov.br</t>
        </is>
      </c>
    </row>
    <row r="7">
      <c r="A7" s="8" t="str">
        <f>=B7&amp;" › "&amp;C7&amp;" › "&amp;D7</f>
        <v>MF-02 › PP-01 › SP-01</v>
      </c>
      <c r="B7" s="4" t="inlineStr">
        <is>
          <t xml:space="preserve">MF-02</t>
        </is>
      </c>
      <c r="C7" s="4" t="inlineStr">
        <is>
          <t xml:space="preserve">PP-01</t>
        </is>
      </c>
      <c r="D7" s="4" t="inlineStr">
        <is>
          <t xml:space="preserve">SP-01</t>
        </is>
      </c>
      <c r="E7" s="3" t="inlineStr">
        <is>
          <t xml:space="preserve">Distribuição de Água aos Irrigantes</t>
        </is>
      </c>
      <c r="F7" s="4" t="inlineStr">
        <is>
          <t xml:space="preserve">PP-01</t>
        </is>
      </c>
      <c r="G7" s="4">
        <v>1</v>
      </c>
      <c r="H7" s="3" t="inlineStr">
        <is>
          <t xml:space="preserve">Programação semanal, operação de comportas e bombas, e registro de volumes distribuídos.</t>
        </is>
      </c>
      <c r="I7" s="3" t="inlineStr">
        <is>
          <t xml:space="preserve">Entregar a água programada com eficiência e equidade.</t>
        </is>
      </c>
      <c r="J7" s="4" t="inlineStr">
        <is>
          <t xml:space="preserve">AI/GOM</t>
        </is>
      </c>
      <c r="K7" s="4" t="inlineStr">
        <is>
          <t xml:space="preserve">AT/GTI</t>
        </is>
      </c>
      <c r="N7" s="3" t="inlineStr">
        <is>
          <t xml:space="preserve">Outorga de uso; Demanda de irrigação</t>
        </is>
      </c>
      <c r="O7" s="3" t="inlineStr">
        <is>
          <t xml:space="preserve">Programação hídrica executada; Registros de volume</t>
        </is>
      </c>
      <c r="P7" s="3" t="inlineStr">
        <is>
          <t xml:space="preserve">SIG-Irrigação (fictício)</t>
        </is>
      </c>
    </row>
  </sheetData>
  <autoFilter ref="A1:R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1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MS-01 › PP-01 › SP-01 › AT-01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6" t="inlineStr">
        <is>
          <t xml:space="preserve">Formalizar a necessidade (DFD)</t>
        </is>
      </c>
      <c r="G2" s="7" t="inlineStr">
        <is>
          <t xml:space="preserve">SP-01</t>
        </is>
      </c>
      <c r="H2" s="7">
        <v>1</v>
      </c>
      <c r="I2" s="7" t="inlineStr">
        <is>
          <t xml:space="preserve">Agregação de Valor</t>
        </is>
      </c>
      <c r="J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2" s="6" t="inlineStr">
        <is>
          <t xml:space="preserve">Necessidade identificada; Plano de Contratações Anual</t>
        </is>
      </c>
      <c r="L2" s="6" t="inlineStr">
        <is>
          <t xml:space="preserve">DFD assinado no e-Codevasf</t>
        </is>
      </c>
      <c r="M2" s="6" t="inlineStr">
        <is>
          <t xml:space="preserve">e-Codevasf</t>
        </is>
      </c>
    </row>
    <row r="3">
      <c r="A3" s="8" t="str">
        <f>=B3&amp;" › "&amp;C3&amp;IF(D3="","","  › "&amp;D3)&amp;" › "&amp;E3</f>
        <v>MS-01 › PP-01 › SP-01 › AT-02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AT-02</t>
        </is>
      </c>
      <c r="F3" s="3" t="inlineStr">
        <is>
          <t xml:space="preserve">Levantar soluções de mercado</t>
        </is>
      </c>
      <c r="G3" s="4" t="inlineStr">
        <is>
          <t xml:space="preserve">SP-01</t>
        </is>
      </c>
      <c r="H3" s="4">
        <v>2</v>
      </c>
      <c r="J3" s="3" t="inlineStr">
        <is>
          <t xml:space="preserve">A equipe de planejamento pesquisa catálogos, contratações similares no PNCP e alternativas de mercado que atendam à necessidade formalizada no DFD.</t>
        </is>
      </c>
      <c r="K3" s="3" t="inlineStr">
        <is>
          <t xml:space="preserve">DFD; Catálogos; Contratações similares (PNCP)</t>
        </is>
      </c>
      <c r="L3" s="3" t="inlineStr">
        <is>
          <t xml:space="preserve">Levantamento de soluções documentado</t>
        </is>
      </c>
      <c r="M3" s="3" t="inlineStr">
        <is>
          <t xml:space="preserve">PNCP; Compras.gov.br</t>
        </is>
      </c>
    </row>
    <row r="4">
      <c r="A4" s="8" t="str">
        <f>=B4&amp;" › "&amp;C4&amp;IF(D4="","","  › "&amp;D4)&amp;" › "&amp;E4</f>
        <v>MS-01 › PP-01 › SP-01 › AT-03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AT-03</t>
        </is>
      </c>
      <c r="F4" s="6" t="inlineStr">
        <is>
          <t xml:space="preserve">Estimar quantidades e resultados</t>
        </is>
      </c>
      <c r="G4" s="7" t="inlineStr">
        <is>
          <t xml:space="preserve">SP-01</t>
        </is>
      </c>
      <c r="H4" s="7">
        <v>3</v>
      </c>
      <c r="J4" s="6" t="inlineStr">
        <is>
          <t xml:space="preserve">A equipe de planejamento estima quantitativos e resultados pretendidos com base no levantamento de soluções e em séries históricas de consumo.</t>
        </is>
      </c>
      <c r="K4" s="6" t="inlineStr">
        <is>
          <t xml:space="preserve">Levantamento de soluções; Séries históricas</t>
        </is>
      </c>
      <c r="L4" s="6" t="inlineStr">
        <is>
          <t xml:space="preserve">Memória de cálculo de quantitativos</t>
        </is>
      </c>
      <c r="M4" s="6" t="inlineStr">
        <is>
          <t xml:space="preserve">e-Codevasf</t>
        </is>
      </c>
    </row>
    <row r="5">
      <c r="A5" s="8" t="str">
        <f>=B5&amp;" › "&amp;C5&amp;IF(D5="","","  › "&amp;D5)&amp;" › "&amp;E5</f>
        <v>MS-01 › PP-01 › SP-01 › AT-04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SP-01</t>
        </is>
      </c>
      <c r="E5" s="4" t="inlineStr">
        <is>
          <t xml:space="preserve">AT-04</t>
        </is>
      </c>
      <c r="F5" s="3" t="inlineStr">
        <is>
          <t xml:space="preserve">Elaborar e aprovar o ETP</t>
        </is>
      </c>
      <c r="G5" s="4" t="inlineStr">
        <is>
          <t xml:space="preserve">SP-01</t>
        </is>
      </c>
      <c r="H5" s="4">
        <v>4</v>
      </c>
      <c r="I5" s="4" t="inlineStr">
        <is>
          <t xml:space="preserve">Controle</t>
        </is>
      </c>
      <c r="J5" s="3" t="inlineStr">
        <is>
          <t xml:space="preserve">A equipe de planejamento consolida os levantamentos no Estudo Técnico Preliminar (ETP) e o submete à aprovação da autoridade competente.</t>
        </is>
      </c>
      <c r="K5" s="3" t="inlineStr">
        <is>
          <t xml:space="preserve">Levantamentos e memórias anteriores</t>
        </is>
      </c>
      <c r="L5" s="3" t="inlineStr">
        <is>
          <t xml:space="preserve">ETP aprovado</t>
        </is>
      </c>
      <c r="M5" s="3" t="inlineStr">
        <is>
          <t xml:space="preserve">e-Codevasf; Compras.gov.br</t>
        </is>
      </c>
    </row>
    <row r="6">
      <c r="A6" s="8" t="str">
        <f>=B6&amp;" › "&amp;C6&amp;IF(D6="","","  › "&amp;D6)&amp;" › "&amp;E6</f>
        <v>MS-01 › PP-01 › SP-02 › AT-01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SP-02</t>
        </is>
      </c>
      <c r="E6" s="7" t="inlineStr">
        <is>
          <t xml:space="preserve">AT-01</t>
        </is>
      </c>
      <c r="F6" s="6" t="inlineStr">
        <is>
          <t xml:space="preserve">Redigir o Termo de Referência</t>
        </is>
      </c>
      <c r="G6" s="7" t="inlineStr">
        <is>
          <t xml:space="preserve">SP-02</t>
        </is>
      </c>
      <c r="H6" s="7">
        <v>1</v>
      </c>
      <c r="J6" s="6" t="inlineStr">
        <is>
          <t xml:space="preserve">A equipe de planejamento redige a minuta do Termo de Referência a partir do ETP aprovado, utilizando os modelos padronizados da Empresa.</t>
        </is>
      </c>
      <c r="K6" s="6" t="inlineStr">
        <is>
          <t xml:space="preserve">ETP aprovado; Modelos padronizados</t>
        </is>
      </c>
      <c r="L6" s="6" t="inlineStr">
        <is>
          <t xml:space="preserve">Minuta de TR</t>
        </is>
      </c>
      <c r="M6" s="6" t="inlineStr">
        <is>
          <t xml:space="preserve">e-Codevasf</t>
        </is>
      </c>
    </row>
    <row r="7">
      <c r="A7" s="8" t="str">
        <f>=B7&amp;" › "&amp;C7&amp;IF(D7="","","  › "&amp;D7)&amp;" › "&amp;E7</f>
        <v>MS-01 › PP-01 › SP-02 › AT-02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SP-02</t>
        </is>
      </c>
      <c r="E7" s="4" t="inlineStr">
        <is>
          <t xml:space="preserve">AT-02</t>
        </is>
      </c>
      <c r="F7" s="3" t="inlineStr">
        <is>
          <t xml:space="preserve">Validar o TR com a Assessoria Jurídica</t>
        </is>
      </c>
      <c r="G7" s="4" t="inlineStr">
        <is>
          <t xml:space="preserve">SP-02</t>
        </is>
      </c>
      <c r="H7" s="4">
        <v>2</v>
      </c>
      <c r="I7" s="4" t="inlineStr">
        <is>
          <t xml:space="preserve">Controle</t>
        </is>
      </c>
      <c r="J7" s="3" t="inlineStr">
        <is>
          <t xml:space="preserve">A Assessoria Jurídica analisa a minuta do Termo de Referência e emite parecer sobre sua conformidade legal antes da publicação do edital.</t>
        </is>
      </c>
      <c r="K7" s="3" t="inlineStr">
        <is>
          <t xml:space="preserve">Minuta de TR</t>
        </is>
      </c>
      <c r="L7" s="3" t="inlineStr">
        <is>
          <t xml:space="preserve">TR validado; Parecer jurídico</t>
        </is>
      </c>
      <c r="M7" s="3" t="inlineStr">
        <is>
          <t xml:space="preserve">e-Codevasf</t>
        </is>
      </c>
    </row>
    <row r="8">
      <c r="A8" s="8" t="str">
        <f>=B8&amp;" › "&amp;C8&amp;IF(D8="","","  › "&amp;D8)&amp;" › "&amp;E8</f>
        <v>MS-01 › PP-01 › SP-03 › AT-01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6" t="inlineStr">
        <is>
          <t xml:space="preserve">Realizar a pesquisa de preços</t>
        </is>
      </c>
      <c r="G8" s="7" t="inlineStr">
        <is>
          <t xml:space="preserve">SP-03</t>
        </is>
      </c>
      <c r="H8" s="7">
        <v>1</v>
      </c>
      <c r="I8" s="7" t="inlineStr">
        <is>
          <t xml:space="preserve">Agregação de Valor</t>
        </is>
      </c>
      <c r="J8" s="6" t="inlineStr">
        <is>
          <t xml:space="preserve">A equipe de planejamento coleta preços em ao menos três fontes distintas (Painel de Preços, PNCP e contratações similares) para compor a estimativa de valor.</t>
        </is>
      </c>
      <c r="K8" s="6" t="inlineStr">
        <is>
          <t xml:space="preserve">TR validado; Fontes de preços</t>
        </is>
      </c>
      <c r="L8" s="6" t="inlineStr">
        <is>
          <t xml:space="preserve">Relatório de pesquisa de preços</t>
        </is>
      </c>
      <c r="M8" s="6" t="inlineStr">
        <is>
          <t xml:space="preserve">Painel de Preços; PNCP</t>
        </is>
      </c>
    </row>
    <row r="9">
      <c r="A9" s="8" t="str">
        <f>=B9&amp;" › "&amp;C9&amp;IF(D9="","","  › "&amp;D9)&amp;" › "&amp;E9</f>
        <v>MS-01 › PP-01 › SP-03 › AT-02</v>
      </c>
      <c r="B9" s="4" t="inlineStr">
        <is>
          <t xml:space="preserve">MS-01</t>
        </is>
      </c>
      <c r="C9" s="4" t="inlineStr">
        <is>
          <t xml:space="preserve">PP-01</t>
        </is>
      </c>
      <c r="D9" s="4" t="inlineStr">
        <is>
          <t xml:space="preserve">SP-03</t>
        </is>
      </c>
      <c r="E9" s="4" t="inlineStr">
        <is>
          <t xml:space="preserve">AT-02</t>
        </is>
      </c>
      <c r="F9" s="3" t="inlineStr">
        <is>
          <t xml:space="preserve">Consolidar o valor estimado</t>
        </is>
      </c>
      <c r="G9" s="4" t="inlineStr">
        <is>
          <t xml:space="preserve">SP-03</t>
        </is>
      </c>
      <c r="H9" s="4">
        <v>2</v>
      </c>
      <c r="J9" s="3" t="inlineStr">
        <is>
          <t xml:space="preserve">A equipe de planejamento consolida os preços coletados e tratados estatisticamente em um valor estimado único para a contratação.</t>
        </is>
      </c>
      <c r="K9" s="3" t="inlineStr">
        <is>
          <t xml:space="preserve">Relatório de pesquisa</t>
        </is>
      </c>
      <c r="L9" s="3" t="inlineStr">
        <is>
          <t xml:space="preserve">Valor estimado consolidado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MS-01 › PP-01 › SP-03 › SP-03.01 › AT-01</v>
      </c>
      <c r="B10" s="7" t="inlineStr">
        <is>
          <t xml:space="preserve">MS-01</t>
        </is>
      </c>
      <c r="C10" s="7" t="inlineStr">
        <is>
          <t xml:space="preserve">PP-01</t>
        </is>
      </c>
      <c r="D10" s="7" t="inlineStr">
        <is>
          <t xml:space="preserve">SP-03.01</t>
        </is>
      </c>
      <c r="E10" s="7" t="inlineStr">
        <is>
          <t xml:space="preserve">AT-01</t>
        </is>
      </c>
      <c r="F10" s="6" t="inlineStr">
        <is>
          <t xml:space="preserve">Aplicar critério de exclusão de valores discrepantes</t>
        </is>
      </c>
      <c r="G10" s="7" t="inlineStr">
        <is>
          <t xml:space="preserve">SP-03.01</t>
        </is>
      </c>
      <c r="H10" s="7">
        <v>1</v>
      </c>
      <c r="J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K10" s="6" t="inlineStr">
        <is>
          <t xml:space="preserve">Amostra de preços coletados</t>
        </is>
      </c>
      <c r="L10" s="6" t="inlineStr">
        <is>
          <t xml:space="preserve">Amostra tratada; Justificativa de exclusão</t>
        </is>
      </c>
      <c r="M10" s="6" t="inlineStr">
        <is>
          <t xml:space="preserve">Planilha padrão</t>
        </is>
      </c>
    </row>
    <row r="11">
      <c r="A11" s="8" t="str">
        <f>=B11&amp;" › "&amp;C11&amp;IF(D11="","","  › "&amp;D11)&amp;" › "&amp;E11</f>
        <v>MS-01 › PP-02 › SP-01 › AT-01</v>
      </c>
      <c r="B11" s="4" t="inlineStr">
        <is>
          <t xml:space="preserve">MS-01</t>
        </is>
      </c>
      <c r="C11" s="4" t="inlineStr">
        <is>
          <t xml:space="preserve">PP-02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3" t="inlineStr">
        <is>
          <t xml:space="preserve">Publicar o edital</t>
        </is>
      </c>
      <c r="G11" s="4" t="inlineStr">
        <is>
          <t xml:space="preserve">SP-01</t>
        </is>
      </c>
      <c r="H11" s="4">
        <v>1</v>
      </c>
      <c r="I11" s="4" t="inlineStr">
        <is>
          <t xml:space="preserve">Transferência</t>
        </is>
      </c>
      <c r="J11" s="3" t="inlineStr">
        <is>
          <t xml:space="preserve">A área responsável publica o edital aprovado e o parecer jurídico no Compras.gov.br e no PNCP, abrindo o certame.</t>
        </is>
      </c>
      <c r="K11" s="3" t="inlineStr">
        <is>
          <t xml:space="preserve">Edital aprovado; Parecer jurídico</t>
        </is>
      </c>
      <c r="L11" s="3" t="inlineStr">
        <is>
          <t xml:space="preserve">Edital publicado (PNCP)</t>
        </is>
      </c>
      <c r="M11" s="3" t="inlineStr">
        <is>
          <t xml:space="preserve">Compras.gov.br; PNCP</t>
        </is>
      </c>
    </row>
    <row r="12">
      <c r="A12" s="8" t="str">
        <f>=B12&amp;" › "&amp;C12&amp;IF(D12="","","  › "&amp;D12)&amp;" › "&amp;E12</f>
        <v>MS-01 › PP-02 › SP-01 › AT-02</v>
      </c>
      <c r="B12" s="7" t="inlineStr">
        <is>
          <t xml:space="preserve">MS-01</t>
        </is>
      </c>
      <c r="C12" s="7" t="inlineStr">
        <is>
          <t xml:space="preserve">PP-02</t>
        </is>
      </c>
      <c r="D12" s="7" t="inlineStr">
        <is>
          <t xml:space="preserve">SP-01</t>
        </is>
      </c>
      <c r="E12" s="7" t="inlineStr">
        <is>
          <t xml:space="preserve">AT-02</t>
        </is>
      </c>
      <c r="F12" s="6" t="inlineStr">
        <is>
          <t xml:space="preserve">Conduzir a sessão e julgar propostas</t>
        </is>
      </c>
      <c r="G12" s="7" t="inlineStr">
        <is>
          <t xml:space="preserve">SP-01</t>
        </is>
      </c>
      <c r="H12" s="7">
        <v>2</v>
      </c>
      <c r="J12" s="6" t="inlineStr">
        <is>
          <t xml:space="preserve">O agente de contratação conduz a sessão pública, analisa as propostas recebidas e registra o resultado do julgamento em ata.</t>
        </is>
      </c>
      <c r="K12" s="6" t="inlineStr">
        <is>
          <t xml:space="preserve">Edital publicado; Propostas</t>
        </is>
      </c>
      <c r="L12" s="6" t="inlineStr">
        <is>
          <t xml:space="preserve">Ata da sessão; Resultado do julgamento</t>
        </is>
      </c>
      <c r="M12" s="6" t="inlineStr">
        <is>
          <t xml:space="preserve">Compras.gov.br</t>
        </is>
      </c>
    </row>
    <row r="13">
      <c r="A13" s="8" t="str">
        <f>=B13&amp;" › "&amp;C13&amp;IF(D13="","","  › "&amp;D13)&amp;" › "&amp;E13</f>
        <v>MF-02 › PP-01 › SP-01 › AT-01</v>
      </c>
      <c r="B13" s="4" t="inlineStr">
        <is>
          <t xml:space="preserve">MF-02</t>
        </is>
      </c>
      <c r="C13" s="4" t="inlineStr">
        <is>
          <t xml:space="preserve">PP-01</t>
        </is>
      </c>
      <c r="D13" s="4" t="inlineStr">
        <is>
          <t xml:space="preserve">SP-01</t>
        </is>
      </c>
      <c r="E13" s="4" t="inlineStr">
        <is>
          <t xml:space="preserve">AT-01</t>
        </is>
      </c>
      <c r="F13" s="3" t="inlineStr">
        <is>
          <t xml:space="preserve">Programar a distribuição hídrica</t>
        </is>
      </c>
      <c r="G13" s="4" t="inlineStr">
        <is>
          <t xml:space="preserve">SP-01</t>
        </is>
      </c>
      <c r="H13" s="4">
        <v>1</v>
      </c>
      <c r="I13" s="4" t="inlineStr">
        <is>
          <t xml:space="preserve">Agregação de Valor</t>
        </is>
      </c>
      <c r="J13" s="3" t="inlineStr">
        <is>
          <t xml:space="preserve">A equipe de operação do perímetro programa semanalmente a distribuição de água com base no plano de cultivo e na disponibilidade hídrica.</t>
        </is>
      </c>
      <c r="K13" s="3" t="inlineStr">
        <is>
          <t xml:space="preserve">Plano de cultivo; Disponibilidade hídrica</t>
        </is>
      </c>
      <c r="L13" s="3" t="inlineStr">
        <is>
          <t xml:space="preserve">Programação semanal aprovada</t>
        </is>
      </c>
      <c r="M13" s="3" t="inlineStr">
        <is>
          <t xml:space="preserve">SIG-Irrigação (fictício)</t>
        </is>
      </c>
    </row>
    <row r="14">
      <c r="A14" s="8" t="str">
        <f>=B14&amp;" › "&amp;C14&amp;IF(D14="","","  › "&amp;D14)&amp;" › "&amp;E14</f>
        <v>MF-02 › PP-01 › SP-01 › AT-02</v>
      </c>
      <c r="B14" s="7" t="inlineStr">
        <is>
          <t xml:space="preserve">MF-02</t>
        </is>
      </c>
      <c r="C14" s="7" t="inlineStr">
        <is>
          <t xml:space="preserve">PP-01</t>
        </is>
      </c>
      <c r="D14" s="7" t="inlineStr">
        <is>
          <t xml:space="preserve">SP-01</t>
        </is>
      </c>
      <c r="E14" s="7" t="inlineStr">
        <is>
          <t xml:space="preserve">AT-02</t>
        </is>
      </c>
      <c r="F14" s="6" t="inlineStr">
        <is>
          <t xml:space="preserve">Operar e registrar a distribuição</t>
        </is>
      </c>
      <c r="G14" s="7" t="inlineStr">
        <is>
          <t xml:space="preserve">SP-01</t>
        </is>
      </c>
      <c r="H14" s="7">
        <v>2</v>
      </c>
      <c r="I14" s="7" t="inlineStr">
        <is>
          <t xml:space="preserve">Agregação de Valor</t>
        </is>
      </c>
      <c r="J14" s="6" t="inlineStr">
        <is>
          <t xml:space="preserve">A equipe de operação executa a distribuição programada e registra volumes e ocorrências no sistema de gestão da irrigação.</t>
        </is>
      </c>
      <c r="K14" s="6" t="inlineStr">
        <is>
          <t xml:space="preserve">Programação semanal</t>
        </is>
      </c>
      <c r="L14" s="6" t="inlineStr">
        <is>
          <t xml:space="preserve">Volumes registrados; Ocorrências</t>
        </is>
      </c>
      <c r="M14" s="6" t="inlineStr">
        <is>
          <t xml:space="preserve">SIG-Irrigação (fictício)</t>
        </is>
      </c>
    </row>
    <row r="15">
      <c r="A15" s="8" t="str">
        <f>=B15&amp;" › "&amp;C15&amp;IF(D15="","","  › "&amp;D15)&amp;" › "&amp;E15</f>
        <v>MS-01 › PP-03 › AT-01</v>
      </c>
      <c r="B15" s="4" t="inlineStr">
        <is>
          <t xml:space="preserve">MS-01</t>
        </is>
      </c>
      <c r="C15" s="4" t="inlineStr">
        <is>
          <t xml:space="preserve">PP-03</t>
        </is>
      </c>
      <c r="E15" s="4" t="inlineStr">
        <is>
          <t xml:space="preserve">AT-01</t>
        </is>
      </c>
      <c r="F15" s="3" t="inlineStr">
        <is>
          <t xml:space="preserve">Designar fiscais e gestor do contrato</t>
        </is>
      </c>
      <c r="G15" s="4" t="inlineStr">
        <is>
          <t xml:space="preserve">PP-03</t>
        </is>
      </c>
      <c r="H15" s="4">
        <v>1</v>
      </c>
      <c r="I15" s="4" t="inlineStr">
        <is>
          <t xml:space="preserve">Controle</t>
        </is>
      </c>
      <c r="J15" s="3" t="inlineStr">
        <is>
          <t xml:space="preserve">Formalizar a designação do fiscal técnico, do fiscal administrativo e do gestor do contrato, com ciência dos designados.</t>
        </is>
      </c>
      <c r="K15" s="3" t="inlineStr">
        <is>
          <t xml:space="preserve">Contrato assinado; Minuta de portaria de designação</t>
        </is>
      </c>
      <c r="L15" s="3" t="inlineStr">
        <is>
          <t xml:space="preserve">Portaria de designação publicada</t>
        </is>
      </c>
      <c r="M15" s="3" t="inlineStr">
        <is>
          <t xml:space="preserve">e-Codevasf</t>
        </is>
      </c>
    </row>
    <row r="16">
      <c r="A16" s="8" t="str">
        <f>=B16&amp;" › "&amp;C16&amp;IF(D16="","","  › "&amp;D16)&amp;" › "&amp;E16</f>
        <v>MS-01 › PP-03 › AT-02</v>
      </c>
      <c r="B16" s="7" t="inlineStr">
        <is>
          <t xml:space="preserve">MS-01</t>
        </is>
      </c>
      <c r="C16" s="7" t="inlineStr">
        <is>
          <t xml:space="preserve">PP-03</t>
        </is>
      </c>
      <c r="E16" s="7" t="inlineStr">
        <is>
          <t xml:space="preserve">AT-02</t>
        </is>
      </c>
      <c r="F16" s="6" t="inlineStr">
        <is>
          <t xml:space="preserve">Registrar medição e atestar a execução</t>
        </is>
      </c>
      <c r="G16" s="7" t="inlineStr">
        <is>
          <t xml:space="preserve">PP-03</t>
        </is>
      </c>
      <c r="H16" s="7">
        <v>2</v>
      </c>
      <c r="I16" s="7" t="inlineStr">
        <is>
          <t xml:space="preserve">Agregação de Valor</t>
        </is>
      </c>
      <c r="J16" s="6" t="inlineStr">
        <is>
          <t xml:space="preserve">Conferir o objeto entregue no período, registrar a medição e atestar a nota fiscal para pagamento.</t>
        </is>
      </c>
      <c r="K16" s="6" t="inlineStr">
        <is>
          <t xml:space="preserve">Relatório de execução; Nota fiscal</t>
        </is>
      </c>
      <c r="L16" s="6" t="inlineStr">
        <is>
          <t xml:space="preserve">Medição registrada; Nota fiscal atestada</t>
        </is>
      </c>
      <c r="M16" s="6" t="inlineStr">
        <is>
          <t xml:space="preserve">e-Codevasf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Listas!$I$2:$I$4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Subprocessos!$D$2:$D$7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1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MS-01 › PP-01 › SP-01 › AT-01 › TR-01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7" t="inlineStr">
        <is>
          <t xml:space="preserve">TR-01</t>
        </is>
      </c>
      <c r="G2" s="6" t="inlineStr">
        <is>
          <t xml:space="preserve">Reunir informações da demanda</t>
        </is>
      </c>
      <c r="H2" s="7">
        <v>1</v>
      </c>
      <c r="I2" s="7" t="inlineStr">
        <is>
          <t xml:space="preserve">Manual</t>
        </is>
      </c>
      <c r="J2" s="7">
        <v>4</v>
      </c>
    </row>
    <row r="3">
      <c r="A3" s="8" t="str">
        <f>=B3&amp;" › "&amp;C3&amp;IF(D3="","","  › "&amp;D3)&amp;" › "&amp;E3&amp;" › "&amp;F3</f>
        <v>MS-01 › PP-01 › SP-01 › AT-01 › TR-02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AT-01</t>
        </is>
      </c>
      <c r="F3" s="4" t="inlineStr">
        <is>
          <t xml:space="preserve">TR-02</t>
        </is>
      </c>
      <c r="G3" s="3" t="inlineStr">
        <is>
          <t xml:space="preserve">Preencher o formulário DFD no e-Codevasf</t>
        </is>
      </c>
      <c r="H3" s="4">
        <v>2</v>
      </c>
      <c r="I3" s="4" t="inlineStr">
        <is>
          <t xml:space="preserve">Manual</t>
        </is>
      </c>
      <c r="J3" s="4">
        <v>4</v>
      </c>
      <c r="K3" s="3" t="inlineStr">
        <is>
          <t xml:space="preserve">Modelo DOC-006/DOC-012.</t>
        </is>
      </c>
    </row>
    <row r="4">
      <c r="A4" s="8" t="str">
        <f>=B4&amp;" › "&amp;C4&amp;IF(D4="","","  › "&amp;D4)&amp;" › "&amp;E4&amp;" › "&amp;F4</f>
        <v>MS-01 › PP-01 › SP-01 › AT-01 › TR-03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AT-01</t>
        </is>
      </c>
      <c r="F4" s="7" t="inlineStr">
        <is>
          <t xml:space="preserve">TR-03</t>
        </is>
      </c>
      <c r="G4" s="6" t="inlineStr">
        <is>
          <t xml:space="preserve">Colher assinatura eletrônica do gestor</t>
        </is>
      </c>
      <c r="H4" s="7">
        <v>3</v>
      </c>
      <c r="I4" s="7" t="inlineStr">
        <is>
          <t xml:space="preserve">Manual</t>
        </is>
      </c>
      <c r="J4" s="7">
        <v>8</v>
      </c>
    </row>
    <row r="5">
      <c r="A5" s="8" t="str">
        <f>=B5&amp;" › "&amp;C5&amp;IF(D5="","","  › "&amp;D5)&amp;" › "&amp;E5&amp;" › "&amp;F5</f>
        <v>MS-01 › PP-01 › SP-03 › AT-01 › TR-01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</t>
        </is>
      </c>
      <c r="E5" s="4" t="inlineStr">
        <is>
          <t xml:space="preserve">AT-01</t>
        </is>
      </c>
      <c r="F5" s="4" t="inlineStr">
        <is>
          <t xml:space="preserve">TR-01</t>
        </is>
      </c>
      <c r="G5" s="3" t="inlineStr">
        <is>
          <t xml:space="preserve">Consultar o Painel de Preços</t>
        </is>
      </c>
      <c r="H5" s="4">
        <v>1</v>
      </c>
      <c r="I5" s="4" t="inlineStr">
        <is>
          <t xml:space="preserve">Manual</t>
        </is>
      </c>
      <c r="J5" s="4">
        <v>4</v>
      </c>
    </row>
    <row r="6">
      <c r="A6" s="8" t="str">
        <f>=B6&amp;" › "&amp;C6&amp;IF(D6="","","  › "&amp;D6)&amp;" › "&amp;E6&amp;" › "&amp;F6</f>
        <v>MS-01 › PP-01 › SP-03 › AT-01 › TR-02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SP-03</t>
        </is>
      </c>
      <c r="E6" s="7" t="inlineStr">
        <is>
          <t xml:space="preserve">AT-01</t>
        </is>
      </c>
      <c r="F6" s="7" t="inlineStr">
        <is>
          <t xml:space="preserve">TR-02</t>
        </is>
      </c>
      <c r="G6" s="6" t="inlineStr">
        <is>
          <t xml:space="preserve">Consultar contratações no PNCP</t>
        </is>
      </c>
      <c r="H6" s="7">
        <v>2</v>
      </c>
      <c r="I6" s="7" t="inlineStr">
        <is>
          <t xml:space="preserve">Manual</t>
        </is>
      </c>
      <c r="J6" s="7">
        <v>4</v>
      </c>
    </row>
    <row r="7">
      <c r="A7" s="8" t="str">
        <f>=B7&amp;" › "&amp;C7&amp;IF(D7="","","  › "&amp;D7)&amp;" › "&amp;E7&amp;" › "&amp;F7</f>
        <v>MS-01 › PP-01 › SP-03 › AT-01 › TR-03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SP-03</t>
        </is>
      </c>
      <c r="E7" s="4" t="inlineStr">
        <is>
          <t xml:space="preserve">AT-01</t>
        </is>
      </c>
      <c r="F7" s="4" t="inlineStr">
        <is>
          <t xml:space="preserve">TR-03</t>
        </is>
      </c>
      <c r="G7" s="3" t="inlineStr">
        <is>
          <t xml:space="preserve">Registrar cotações de fornecedores</t>
        </is>
      </c>
      <c r="H7" s="4">
        <v>3</v>
      </c>
      <c r="I7" s="4" t="inlineStr">
        <is>
          <t xml:space="preserve">Manual</t>
        </is>
      </c>
      <c r="J7" s="4">
        <v>24</v>
      </c>
      <c r="K7" s="3" t="inlineStr">
        <is>
          <t xml:space="preserve">Mínimo de 3 fontes (IN 65/2021).</t>
        </is>
      </c>
    </row>
    <row r="8">
      <c r="A8" s="8" t="str">
        <f>=B8&amp;" › "&amp;C8&amp;IF(D8="","","  › "&amp;D8)&amp;" › "&amp;E8&amp;" › "&amp;F8</f>
        <v>MS-01 › PP-01 › SP-03 › AT-01 › TR-04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7" t="inlineStr">
        <is>
          <t xml:space="preserve">TR-04</t>
        </is>
      </c>
      <c r="G8" s="6" t="inlineStr">
        <is>
          <t xml:space="preserve">Aplicar tratamento estatístico</t>
        </is>
      </c>
      <c r="H8" s="7">
        <v>4</v>
      </c>
      <c r="I8" s="7" t="inlineStr">
        <is>
          <t xml:space="preserve">Regra de negócio</t>
        </is>
      </c>
      <c r="J8" s="7">
        <v>4</v>
      </c>
    </row>
    <row r="9">
      <c r="A9" s="8" t="str">
        <f>=B9&amp;" › "&amp;C9&amp;IF(D9="","","  › "&amp;D9)&amp;" › "&amp;E9&amp;" › "&amp;F9</f>
        <v>MS-01 › PP-02 › SP-01 › AT-01 › TR-01</v>
      </c>
      <c r="B9" s="4" t="inlineStr">
        <is>
          <t xml:space="preserve">MS-01</t>
        </is>
      </c>
      <c r="C9" s="4" t="inlineStr">
        <is>
          <t xml:space="preserve">PP-02</t>
        </is>
      </c>
      <c r="D9" s="4" t="inlineStr">
        <is>
          <t xml:space="preserve">SP-01</t>
        </is>
      </c>
      <c r="E9" s="4" t="inlineStr">
        <is>
          <t xml:space="preserve">AT-01</t>
        </is>
      </c>
      <c r="F9" s="4" t="inlineStr">
        <is>
          <t xml:space="preserve">TR-01</t>
        </is>
      </c>
      <c r="G9" s="3" t="inlineStr">
        <is>
          <t xml:space="preserve">Cadastrar o edital no Compras.gov.br</t>
        </is>
      </c>
      <c r="H9" s="4">
        <v>1</v>
      </c>
      <c r="I9" s="4" t="inlineStr">
        <is>
          <t xml:space="preserve">Manual</t>
        </is>
      </c>
      <c r="J9" s="4">
        <v>4</v>
      </c>
    </row>
    <row r="10">
      <c r="A10" s="8" t="str">
        <f>=B10&amp;" › "&amp;C10&amp;IF(D10="","","  › "&amp;D10)&amp;" › "&amp;E10&amp;" › "&amp;F10</f>
        <v>MS-01 › PP-02 › SP-01 › AT-01 › TR-02</v>
      </c>
      <c r="B10" s="7" t="inlineStr">
        <is>
          <t xml:space="preserve">MS-01</t>
        </is>
      </c>
      <c r="C10" s="7" t="inlineStr">
        <is>
          <t xml:space="preserve">PP-02</t>
        </is>
      </c>
      <c r="D10" s="7" t="inlineStr">
        <is>
          <t xml:space="preserve">SP-01</t>
        </is>
      </c>
      <c r="E10" s="7" t="inlineStr">
        <is>
          <t xml:space="preserve">AT-01</t>
        </is>
      </c>
      <c r="F10" s="7" t="inlineStr">
        <is>
          <t xml:space="preserve">TR-02</t>
        </is>
      </c>
      <c r="G10" s="6" t="inlineStr">
        <is>
          <t xml:space="preserve">Publicar o aviso no PNCP</t>
        </is>
      </c>
      <c r="H10" s="7">
        <v>2</v>
      </c>
      <c r="I10" s="7" t="inlineStr">
        <is>
          <t xml:space="preserve">Automatizada</t>
        </is>
      </c>
      <c r="J10" s="7">
        <v>0</v>
      </c>
    </row>
    <row r="11">
      <c r="A11" s="8" t="str">
        <f>=B11&amp;" › "&amp;C11&amp;IF(D11="","","  › "&amp;D11)&amp;" › "&amp;E11&amp;" › "&amp;F11</f>
        <v>MF-02 › PP-01 › SP-01 › AT-01 › TR-01</v>
      </c>
      <c r="B11" s="4" t="inlineStr">
        <is>
          <t xml:space="preserve">MF-02</t>
        </is>
      </c>
      <c r="C11" s="4" t="inlineStr">
        <is>
          <t xml:space="preserve">PP-01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4" t="inlineStr">
        <is>
          <t xml:space="preserve">TR-01</t>
        </is>
      </c>
      <c r="G11" s="3" t="inlineStr">
        <is>
          <t xml:space="preserve">Consolidar demandas semanais dos lotes</t>
        </is>
      </c>
      <c r="H11" s="4">
        <v>1</v>
      </c>
      <c r="I11" s="4" t="inlineStr">
        <is>
          <t xml:space="preserve">Manual</t>
        </is>
      </c>
      <c r="J11" s="4">
        <v>8</v>
      </c>
    </row>
    <row r="12">
      <c r="A12" s="8" t="str">
        <f>=B12&amp;" › "&amp;C12&amp;IF(D12="","","  › "&amp;D12)&amp;" › "&amp;E12&amp;" › "&amp;F12</f>
        <v>MS-01 › PP-03 › AT-02 › TR-01</v>
      </c>
      <c r="B12" s="7" t="inlineStr">
        <is>
          <t xml:space="preserve">MS-01</t>
        </is>
      </c>
      <c r="C12" s="7" t="inlineStr">
        <is>
          <t xml:space="preserve">PP-03</t>
        </is>
      </c>
      <c r="E12" s="7" t="inlineStr">
        <is>
          <t xml:space="preserve">AT-02</t>
        </is>
      </c>
      <c r="F12" s="7" t="inlineStr">
        <is>
          <t xml:space="preserve">TR-01</t>
        </is>
      </c>
      <c r="G12" s="6" t="inlineStr">
        <is>
          <t xml:space="preserve">Conferir o objeto entregue</t>
        </is>
      </c>
      <c r="H12" s="7">
        <v>1</v>
      </c>
      <c r="I12" s="7" t="inlineStr">
        <is>
          <t xml:space="preserve">Manual</t>
        </is>
      </c>
      <c r="J12" s="7">
        <v>8</v>
      </c>
    </row>
    <row r="13">
      <c r="A13" s="8" t="str">
        <f>=B13&amp;" › "&amp;C13&amp;IF(D13="","","  › "&amp;D13)&amp;" › "&amp;E13&amp;" › "&amp;F13</f>
        <v>MS-01 › PP-03 › AT-02 › TR-02</v>
      </c>
      <c r="B13" s="4" t="inlineStr">
        <is>
          <t xml:space="preserve">MS-01</t>
        </is>
      </c>
      <c r="C13" s="4" t="inlineStr">
        <is>
          <t xml:space="preserve">PP-03</t>
        </is>
      </c>
      <c r="E13" s="4" t="inlineStr">
        <is>
          <t xml:space="preserve">AT-02</t>
        </is>
      </c>
      <c r="F13" s="4" t="inlineStr">
        <is>
          <t xml:space="preserve">TR-02</t>
        </is>
      </c>
      <c r="G13" s="3" t="inlineStr">
        <is>
          <t xml:space="preserve">Registrar a medição no processo</t>
        </is>
      </c>
      <c r="H13" s="4">
        <v>2</v>
      </c>
      <c r="I13" s="4" t="inlineStr">
        <is>
          <t xml:space="preserve">Manual</t>
        </is>
      </c>
      <c r="J13" s="4">
        <v>4</v>
      </c>
    </row>
    <row r="14">
      <c r="A14" s="8" t="str">
        <f>=B14&amp;" › "&amp;C14&amp;IF(D14="","","  › "&amp;D14)&amp;" › "&amp;E14&amp;" › "&amp;F14</f>
        <v>MS-01 › PP-03 › AT-02 › TR-03</v>
      </c>
      <c r="B14" s="7" t="inlineStr">
        <is>
          <t xml:space="preserve">MS-01</t>
        </is>
      </c>
      <c r="C14" s="7" t="inlineStr">
        <is>
          <t xml:space="preserve">PP-03</t>
        </is>
      </c>
      <c r="E14" s="7" t="inlineStr">
        <is>
          <t xml:space="preserve">AT-02</t>
        </is>
      </c>
      <c r="F14" s="7" t="inlineStr">
        <is>
          <t xml:space="preserve">TR-03</t>
        </is>
      </c>
      <c r="G14" s="6" t="inlineStr">
        <is>
          <t xml:space="preserve">Atestar a nota fiscal</t>
        </is>
      </c>
      <c r="H14" s="7">
        <v>3</v>
      </c>
      <c r="I14" s="7" t="inlineStr">
        <is>
          <t xml:space="preserve">Manual</t>
        </is>
      </c>
      <c r="J14" s="7">
        <v>4</v>
      </c>
      <c r="K14" s="6" t="inlineStr">
        <is>
          <t xml:space="preserve">O prazo de pagamento conta a partir do ateste.</t>
        </is>
      </c>
    </row>
  </sheetData>
  <autoFilter ref="A1:K1"/>
  <dataValidations count="5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Listas!$J$2:$J$4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Subprocessos!$D$2:$D$7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Atividades!$E$2:$E$16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=IF(ISNUMBER(SEARCH("TR-",E2)),"Tarefa",IF(ISNUMBER(SEARCH("AT-",E2)),"Atividade",IF(ISNUMBER(SEARCH("SP-",E2)),"Subprocesso",IF(ISNUMBER(SEARCH("PP-",E2)),"Processo",IF(OR(LEFT(E2,2)="MG",LEFT(E2,2)="MF",LEFT(E2,2)="MS"),"Macroprocesso","")))))</f>
        <v>Processo</v>
      </c>
      <c r="E2" s="6" t="inlineStr">
        <is>
          <t xml:space="preserve">MS-01 › 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=IF(ISNUMBER(SEARCH("TR-",E3)),"Tarefa",IF(ISNUMBER(SEARCH("AT-",E3)),"Atividade",IF(ISNUMBER(SEARCH("SP-",E3)),"Subprocesso",IF(ISNUMBER(SEARCH("PP-",E3)),"Processo",IF(OR(LEFT(E3,2)="MG",LEFT(E3,2)="MF",LEFT(E3,2)="MS"),"Macroprocesso","")))))</f>
        <v>Processo</v>
      </c>
      <c r="E3" s="3" t="inlineStr">
        <is>
          <t xml:space="preserve">MS-01 › 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=IF(ISNUMBER(SEARCH("TR-",E4)),"Tarefa",IF(ISNUMBER(SEARCH("AT-",E4)),"Atividade",IF(ISNUMBER(SEARCH("SP-",E4)),"Subprocesso",IF(ISNUMBER(SEARCH("PP-",E4)),"Processo",IF(OR(LEFT(E4,2)="MG",LEFT(E4,2)="MF",LEFT(E4,2)="MS"),"Macroprocesso","")))))</f>
        <v>Processo</v>
      </c>
      <c r="E4" s="6" t="inlineStr">
        <is>
          <t xml:space="preserve">MS-01 › 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=IF(ISNUMBER(SEARCH("TR-",E5)),"Tarefa",IF(ISNUMBER(SEARCH("AT-",E5)),"Atividade",IF(ISNUMBER(SEARCH("SP-",E5)),"Subprocesso",IF(ISNUMBER(SEARCH("PP-",E5)),"Processo",IF(OR(LEFT(E5,2)="MG",LEFT(E5,2)="MF",LEFT(E5,2)="MS"),"Macroprocesso","")))))</f>
        <v>Processo</v>
      </c>
      <c r="E5" s="3" t="inlineStr">
        <is>
          <t xml:space="preserve">MS-01 › 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=IF(ISNUMBER(SEARCH("TR-",E6)),"Tarefa",IF(ISNUMBER(SEARCH("AT-",E6)),"Atividade",IF(ISNUMBER(SEARCH("SP-",E6)),"Subprocesso",IF(ISNUMBER(SEARCH("PP-",E6)),"Processo",IF(OR(LEFT(E6,2)="MG",LEFT(E6,2)="MF",LEFT(E6,2)="MS"),"Macroprocesso","")))))</f>
        <v>Subprocesso</v>
      </c>
      <c r="E6" s="6" t="inlineStr">
        <is>
          <t xml:space="preserve">MS-01 › PP-01; MS-01 › PP-01 ›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=IF(ISNUMBER(SEARCH("TR-",E7)),"Tarefa",IF(ISNUMBER(SEARCH("AT-",E7)),"Atividade",IF(ISNUMBER(SEARCH("SP-",E7)),"Subprocesso",IF(ISNUMBER(SEARCH("PP-",E7)),"Processo",IF(OR(LEFT(E7,2)="MG",LEFT(E7,2)="MF",LEFT(E7,2)="MS"),"Macroprocesso","")))))</f>
        <v>Subprocesso</v>
      </c>
      <c r="E7" s="3" t="inlineStr">
        <is>
          <t xml:space="preserve">MS-01 › PP-01 › 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=IF(ISNUMBER(SEARCH("TR-",E8)),"Tarefa",IF(ISNUMBER(SEARCH("AT-",E8)),"Atividade",IF(ISNUMBER(SEARCH("SP-",E8)),"Subprocesso",IF(ISNUMBER(SEARCH("PP-",E8)),"Processo",IF(OR(LEFT(E8,2)="MG",LEFT(E8,2)="MF",LEFT(E8,2)="MS"),"Macroprocesso","")))))</f>
        <v>Subprocesso</v>
      </c>
      <c r="E8" s="6" t="inlineStr">
        <is>
          <t xml:space="preserve">MS-01 › PP-01 › SP-03; MS-01 › PP-01 › SP-01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=IF(ISNUMBER(SEARCH("TR-",E9)),"Tarefa",IF(ISNUMBER(SEARCH("AT-",E9)),"Atividade",IF(ISNUMBER(SEARCH("SP-",E9)),"Subprocesso",IF(ISNUMBER(SEARCH("PP-",E9)),"Processo",IF(OR(LEFT(E9,2)="MG",LEFT(E9,2)="MF",LEFT(E9,2)="MS"),"Macroprocesso","")))))</f>
        <v>Macroprocesso</v>
      </c>
      <c r="E9" s="3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=IF(ISNUMBER(SEARCH("TR-",E10)),"Tarefa",IF(ISNUMBER(SEARCH("AT-",E10)),"Atividade",IF(ISNUMBER(SEARCH("SP-",E10)),"Subprocesso",IF(ISNUMBER(SEARCH("PP-",E10)),"Processo",IF(OR(LEFT(E10,2)="MG",LEFT(E10,2)="MF",LEFT(E10,2)="MS"),"Macroprocesso","")))))</f>
        <v>Processo</v>
      </c>
      <c r="E10" s="6" t="inlineStr">
        <is>
          <t xml:space="preserve">MS-01 › PP-01; MS-01 ›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=IF(ISNUMBER(SEARCH("TR-",E11)),"Tarefa",IF(ISNUMBER(SEARCH("AT-",E11)),"Atividade",IF(ISNUMBER(SEARCH("SP-",E11)),"Subprocesso",IF(ISNUMBER(SEARCH("PP-",E11)),"Processo",IF(OR(LEFT(E11,2)="MG",LEFT(E11,2)="MF",LEFT(E11,2)="MS"),"Macroprocesso","")))))</f>
        <v>Processo</v>
      </c>
      <c r="E11" s="3" t="inlineStr">
        <is>
          <t xml:space="preserve">MS-01 › 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=IF(ISNUMBER(SEARCH("TR-",E12)),"Tarefa",IF(ISNUMBER(SEARCH("AT-",E12)),"Atividade",IF(ISNUMBER(SEARCH("SP-",E12)),"Subprocesso",IF(ISNUMBER(SEARCH("PP-",E12)),"Processo",IF(OR(LEFT(E12,2)="MG",LEFT(E12,2)="MF",LEFT(E12,2)="MS"),"Macroprocesso","")))))</f>
        <v>Processo</v>
      </c>
      <c r="E12" s="6" t="inlineStr">
        <is>
          <t xml:space="preserve">MS-01 › PP-01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=IF(ISNUMBER(SEARCH("TR-",E13)),"Tarefa",IF(ISNUMBER(SEARCH("AT-",E13)),"Atividade",IF(ISNUMBER(SEARCH("SP-",E13)),"Subprocesso",IF(ISNUMBER(SEARCH("PP-",E13)),"Processo",IF(OR(LEFT(E13,2)="MG",LEFT(E13,2)="MF",LEFT(E13,2)="MS"),"Macroprocesso","")))))</f>
        <v>Atividade</v>
      </c>
      <c r="E13" s="3" t="inlineStr">
        <is>
          <t xml:space="preserve">MS-01 › PP-01 › SP-01 › 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=IF(ISNUMBER(SEARCH("TR-",E14)),"Tarefa",IF(ISNUMBER(SEARCH("AT-",E14)),"Atividade",IF(ISNUMBER(SEARCH("SP-",E14)),"Subprocesso",IF(ISNUMBER(SEARCH("PP-",E14)),"Processo",IF(OR(LEFT(E14,2)="MG",LEFT(E14,2)="MF",LEFT(E14,2)="MS"),"Macroprocesso","")))))</f>
        <v>Processo</v>
      </c>
      <c r="E14" s="6" t="inlineStr">
        <is>
          <t xml:space="preserve">MS-01 › PP-01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=IF(ISNUMBER(SEARCH("TR-",E15)),"Tarefa",IF(ISNUMBER(SEARCH("AT-",E15)),"Atividade",IF(ISNUMBER(SEARCH("SP-",E15)),"Subprocesso",IF(ISNUMBER(SEARCH("PP-",E15)),"Processo",IF(OR(LEFT(E15,2)="MG",LEFT(E15,2)="MF",LEFT(E15,2)="MS"),"Macroprocesso","")))))</f>
        <v>Processo</v>
      </c>
      <c r="E15" s="3" t="inlineStr">
        <is>
          <t xml:space="preserve">MS-01 › 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=IF(ISNUMBER(SEARCH("TR-",E16)),"Tarefa",IF(ISNUMBER(SEARCH("AT-",E16)),"Atividade",IF(ISNUMBER(SEARCH("SP-",E16)),"Subprocesso",IF(ISNUMBER(SEARCH("PP-",E16)),"Processo",IF(OR(LEFT(E16,2)="MG",LEFT(E16,2)="MF",LEFT(E16,2)="MS"),"Macroprocesso","")))))</f>
        <v>Processo</v>
      </c>
      <c r="E16" s="6" t="inlineStr">
        <is>
          <t xml:space="preserve">MS-01 › 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=IF(ISNUMBER(SEARCH("TR-",E17)),"Tarefa",IF(ISNUMBER(SEARCH("AT-",E17)),"Atividade",IF(ISNUMBER(SEARCH("SP-",E17)),"Subprocesso",IF(ISNUMBER(SEARCH("PP-",E17)),"Processo",IF(OR(LEFT(E17,2)="MG",LEFT(E17,2)="MF",LEFT(E17,2)="MS"),"Macroprocesso","")))))</f>
        <v>Macroprocesso</v>
      </c>
      <c r="E17" s="3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=IF(ISNUMBER(SEARCH("TR-",E18)),"Tarefa",IF(ISNUMBER(SEARCH("AT-",E18)),"Atividade",IF(ISNUMBER(SEARCH("SP-",E18)),"Subprocesso",IF(ISNUMBER(SEARCH("PP-",E18)),"Processo",IF(OR(LEFT(E18,2)="MG",LEFT(E18,2)="MF",LEFT(E18,2)="MS"),"Macroprocesso","")))))</f>
        <v>Macroprocesso</v>
      </c>
      <c r="E18" s="6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=IF(ISNUMBER(SEARCH("TR-",E19)),"Tarefa",IF(ISNUMBER(SEARCH("AT-",E19)),"Atividade",IF(ISNUMBER(SEARCH("SP-",E19)),"Subprocesso",IF(ISNUMBER(SEARCH("PP-",E19)),"Processo",IF(OR(LEFT(E19,2)="MG",LEFT(E19,2)="MF",LEFT(E19,2)="MS"),"Macroprocesso","")))))</f>
        <v>Macroprocesso</v>
      </c>
      <c r="E19" s="3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=IF(ISNUMBER(SEARCH("TR-",E20)),"Tarefa",IF(ISNUMBER(SEARCH("AT-",E20)),"Atividade",IF(ISNUMBER(SEARCH("SP-",E20)),"Subprocesso",IF(ISNUMBER(SEARCH("PP-",E20)),"Processo",IF(OR(LEFT(E20,2)="MG",LEFT(E20,2)="MF",LEFT(E20,2)="MS"),"Macroprocesso","")))))</f>
        <v>Macroprocesso</v>
      </c>
      <c r="E20" s="6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=IF(ISNUMBER(SEARCH("TR-",E21)),"Tarefa",IF(ISNUMBER(SEARCH("AT-",E21)),"Atividade",IF(ISNUMBER(SEARCH("SP-",E21)),"Subprocesso",IF(ISNUMBER(SEARCH("PP-",E21)),"Processo",IF(OR(LEFT(E21,2)="MG",LEFT(E21,2)="MF",LEFT(E21,2)="MS"),"Macroprocesso","")))))</f>
        <v>Macroprocesso</v>
      </c>
      <c r="E21" s="3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=IF(ISNUMBER(SEARCH("TR-",E22)),"Tarefa",IF(ISNUMBER(SEARCH("AT-",E22)),"Atividade",IF(ISNUMBER(SEARCH("SP-",E22)),"Subprocesso",IF(ISNUMBER(SEARCH("PP-",E22)),"Processo",IF(OR(LEFT(E22,2)="MG",LEFT(E22,2)="MF",LEFT(E22,2)="MS"),"Macroprocesso","")))))</f>
        <v>Macroprocesso</v>
      </c>
      <c r="E22" s="6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=IF(ISNUMBER(SEARCH("TR-",E23)),"Tarefa",IF(ISNUMBER(SEARCH("AT-",E23)),"Atividade",IF(ISNUMBER(SEARCH("SP-",E23)),"Subprocesso",IF(ISNUMBER(SEARCH("PP-",E23)),"Processo",IF(OR(LEFT(E23,2)="MG",LEFT(E23,2)="MF",LEFT(E23,2)="MS"),"Macroprocesso","")))))</f>
        <v>Macroprocesso</v>
      </c>
      <c r="E23" s="3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Listas!$K$2:$K$12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Listas!$L$2:$L$5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Subprocesso</v>
      </c>
      <c r="C5" s="3" t="inlineStr">
        <is>
          <t xml:space="preserve">MS-01 › PP-01 › 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Processo</v>
      </c>
      <c r="C6" s="6" t="inlineStr">
        <is>
          <t xml:space="preserve">MS-01 › PP-01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MS-01 › 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Macroprocesso</v>
      </c>
      <c r="C8" s="6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Atividade</v>
      </c>
      <c r="C9" s="3" t="inlineStr">
        <is>
          <t xml:space="preserve">MS-01 › PP-01 › SP-01 › AT-01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Listas!$M$2:$M$7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Listas!$O$2:$O$4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N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  <col min="14" max="14" width="4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Criterios_Desempenho</t>
        </is>
      </c>
      <c r="H1" s="1" t="inlineStr">
        <is>
          <t xml:space="preserve">Unidade</t>
        </is>
      </c>
      <c r="I1" s="1" t="inlineStr">
        <is>
          <t xml:space="preserve">Polaridade</t>
        </is>
      </c>
      <c r="J1" s="1" t="inlineStr">
        <is>
          <t xml:space="preserve">Meta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Observacoes</t>
        </is>
      </c>
      <c r="N1" s="1" t="inlineStr">
        <is>
          <t xml:space="preserve">Formula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G2" s="6" t="inlineStr">
        <is>
          <t xml:space="preserve">Verde: ≤ 120 dias · Amarelo: 121–150 dias · Vermelho: &gt; 150 dias</t>
        </is>
      </c>
      <c r="H2" s="7" t="inlineStr">
        <is>
          <t xml:space="preserve">dias</t>
        </is>
      </c>
      <c r="I2" s="7" t="inlineStr">
        <is>
          <t xml:space="preserve">Menor melhor</t>
        </is>
      </c>
      <c r="J2" s="7">
        <v>120</v>
      </c>
      <c r="K2" s="7" t="inlineStr">
        <is>
          <t xml:space="preserve">Trimestral</t>
        </is>
      </c>
      <c r="L2" s="6" t="inlineStr">
        <is>
          <t xml:space="preserve">Compras.gov.br</t>
        </is>
      </c>
      <c r="N2" s="6" t="inlineStr">
        <is>
          <t xml:space="preserve">Σ(Data_Homologação − Data_DFD) / nº de processos concluídos no período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G3" s="3" t="inlineStr">
        <is>
          <t xml:space="preserve">Verde: ≤ 30 dias · Amarelo: 31–45 dias · Vermelho: &gt; 45 dias</t>
        </is>
      </c>
      <c r="H3" s="4" t="inlineStr">
        <is>
          <t xml:space="preserve">dias</t>
        </is>
      </c>
      <c r="I3" s="4" t="inlineStr">
        <is>
          <t xml:space="preserve">Menor melhor</t>
        </is>
      </c>
      <c r="J3" s="4">
        <v>30</v>
      </c>
      <c r="K3" s="4" t="inlineStr">
        <is>
          <t xml:space="preserve">Mensal</t>
        </is>
      </c>
      <c r="L3" s="3" t="inlineStr">
        <is>
          <t xml:space="preserve">e-Codevasf</t>
        </is>
      </c>
      <c r="N3" s="3" t="inlineStr">
        <is>
          <t xml:space="preserve">Σ(Data_Aprovação_ETP − Data_DFD) / nº de ETPs aprovados no período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Processo</v>
      </c>
      <c r="D4" s="6" t="inlineStr">
        <is>
          <t xml:space="preserve">MS-01 › 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G4" s="6" t="inlineStr">
        <is>
          <t xml:space="preserve">Verde: ≤ 1 impugnação por edital · Amarelo: 1,1–2 · Vermelho: &gt; 2</t>
        </is>
      </c>
      <c r="H4" s="7" t="inlineStr">
        <is>
          <t xml:space="preserve">nº</t>
        </is>
      </c>
      <c r="I4" s="7" t="inlineStr">
        <is>
          <t xml:space="preserve">Menor melhor</t>
        </is>
      </c>
      <c r="J4" s="7">
        <v>1</v>
      </c>
      <c r="K4" s="7" t="inlineStr">
        <is>
          <t xml:space="preserve">Trimestral</t>
        </is>
      </c>
      <c r="L4" s="6" t="inlineStr">
        <is>
          <t xml:space="preserve">Compras.gov.br</t>
        </is>
      </c>
      <c r="N4" s="6" t="inlineStr">
        <is>
          <t xml:space="preserve">nº de impugnações recebidas / nº de editais publicados no período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Processo</v>
      </c>
      <c r="D5" s="3" t="inlineStr">
        <is>
          <t xml:space="preserve">MS-01 › 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G5" s="3" t="inlineStr">
        <is>
          <t xml:space="preserve">Verde: = 100% · Amarelo: 90–99% · Vermelho: &lt; 90%</t>
        </is>
      </c>
      <c r="H5" s="4" t="inlineStr">
        <is>
          <t xml:space="preserve">%</t>
        </is>
      </c>
      <c r="I5" s="4" t="inlineStr">
        <is>
          <t xml:space="preserve">Maior melhor</t>
        </is>
      </c>
      <c r="J5" s="4">
        <v>100</v>
      </c>
      <c r="K5" s="4" t="inlineStr">
        <is>
          <t xml:space="preserve">Mensal</t>
        </is>
      </c>
      <c r="L5" s="3" t="inlineStr">
        <is>
          <t xml:space="preserve">e-Codevasf</t>
        </is>
      </c>
      <c r="N5" s="3" t="inlineStr">
        <is>
          <t xml:space="preserve">(nº de contratos vigentes com fiscal designado / nº total de contratos vigentes) × 100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Processo</v>
      </c>
      <c r="D6" s="6" t="inlineStr">
        <is>
          <t xml:space="preserve">MS-01 › PP-01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G6" s="6" t="inlineStr">
        <is>
          <t xml:space="preserve">Verde: ≥ 75% · Amarelo: 65–74% · Vermelho: &lt; 65%</t>
        </is>
      </c>
      <c r="H6" s="7" t="inlineStr">
        <is>
          <t xml:space="preserve">%</t>
        </is>
      </c>
      <c r="I6" s="7" t="inlineStr">
        <is>
          <t xml:space="preserve">Maior melhor</t>
        </is>
      </c>
      <c r="J6" s="7">
        <v>75</v>
      </c>
      <c r="K6" s="7" t="inlineStr">
        <is>
          <t xml:space="preserve">Mensal</t>
        </is>
      </c>
      <c r="L6" s="6" t="inlineStr">
        <is>
          <t xml:space="preserve">SIG-Irrigação (fictício)</t>
        </is>
      </c>
      <c r="N6" s="6" t="inlineStr">
        <is>
          <t xml:space="preserve">(volume faturado / volume captado no perímetro) × 100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Macroprocesso</v>
      </c>
      <c r="D7" s="3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G7" s="3" t="inlineStr">
        <is>
          <t xml:space="preserve">Verde: ≥ 95% · Amarelo: 80–94% · Vermelho: &lt; 80%</t>
        </is>
      </c>
      <c r="H7" s="4" t="inlineStr">
        <is>
          <t xml:space="preserve">%</t>
        </is>
      </c>
      <c r="I7" s="4" t="inlineStr">
        <is>
          <t xml:space="preserve">Maior melhor</t>
        </is>
      </c>
      <c r="J7" s="4">
        <v>100</v>
      </c>
      <c r="K7" s="4" t="inlineStr">
        <is>
          <t xml:space="preserve">Trimestral</t>
        </is>
      </c>
      <c r="L7" s="3" t="inlineStr">
        <is>
          <t xml:space="preserve">Painel de Processos</t>
        </is>
      </c>
      <c r="N7" s="3" t="inlineStr">
        <is>
          <t xml:space="preserve">(nº de processos com marco M9 = Sim / nº total de processos do macroprocesso) × 100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Processo</v>
      </c>
      <c r="D8" s="6" t="inlineStr">
        <is>
          <t xml:space="preserve">MS-01 › PP-01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G8" s="6" t="inlineStr">
        <is>
          <t xml:space="preserve">Verde: ≥ 95% · Amarelo: 80–94% · Vermelho: &lt; 80%</t>
        </is>
      </c>
      <c r="H8" s="7" t="inlineStr">
        <is>
          <t xml:space="preserve">%</t>
        </is>
      </c>
      <c r="I8" s="7" t="inlineStr">
        <is>
          <t xml:space="preserve">Maior melhor</t>
        </is>
      </c>
      <c r="J8" s="7">
        <v>95</v>
      </c>
      <c r="K8" s="7" t="inlineStr">
        <is>
          <t xml:space="preserve">Trimestral</t>
        </is>
      </c>
      <c r="L8" s="6" t="inlineStr">
        <is>
          <t xml:space="preserve">Painéis de BI</t>
        </is>
      </c>
      <c r="N8" s="6" t="inlineStr">
        <is>
          <t xml:space="preserve">(nº de ações do plano com status atualizado no ciclo / nº total de ações previstas) × 100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Subprocesso</v>
      </c>
      <c r="D9" s="3" t="inlineStr">
        <is>
          <t xml:space="preserve">MS-01 › PP-01 › 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G9" s="3" t="inlineStr">
        <is>
          <t xml:space="preserve">Verde: = 100% · Amarelo: 90–99% · Vermelho: &lt; 90%</t>
        </is>
      </c>
      <c r="H9" s="4" t="inlineStr">
        <is>
          <t xml:space="preserve">%</t>
        </is>
      </c>
      <c r="I9" s="4" t="inlineStr">
        <is>
          <t xml:space="preserve">Maior melhor</t>
        </is>
      </c>
      <c r="J9" s="4">
        <v>100</v>
      </c>
      <c r="K9" s="4" t="inlineStr">
        <is>
          <t xml:space="preserve">Mensal</t>
        </is>
      </c>
      <c r="L9" s="3" t="inlineStr">
        <is>
          <t xml:space="preserve">e-Codevasf</t>
        </is>
      </c>
      <c r="N9" s="3" t="inlineStr">
        <is>
          <t xml:space="preserve">(nº de pesquisas com 3 ou mais fontes admitidas / nº total de pesquisas realizadas) × 100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Macroprocesso</v>
      </c>
      <c r="D10" s="6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G10" s="6" t="inlineStr">
        <is>
          <t xml:space="preserve">Verde: ≥ 120 · Amarelo: 90–119 · Vermelho: &lt; 90</t>
        </is>
      </c>
      <c r="H10" s="7" t="inlineStr">
        <is>
          <t xml:space="preserve">nº</t>
        </is>
      </c>
      <c r="I10" s="7" t="inlineStr">
        <is>
          <t xml:space="preserve">Maior melhor</t>
        </is>
      </c>
      <c r="J10" s="7">
        <v>120</v>
      </c>
      <c r="K10" s="7" t="inlineStr">
        <is>
          <t xml:space="preserve">Anual</t>
        </is>
      </c>
      <c r="L10" s="6" t="inlineStr">
        <is>
          <t xml:space="preserve">GeoPortal (fictício)</t>
        </is>
      </c>
      <c r="N10" s="6" t="inlineStr">
        <is>
          <t xml:space="preserve">Σ (nascentes com recuperação concluída no exercício)</t>
        </is>
      </c>
    </row>
    <row r="11">
      <c r="A11" s="4" t="inlineStr">
        <is>
          <t xml:space="preserve">IND-010</t>
        </is>
      </c>
      <c r="B11" s="3" t="inlineStr">
        <is>
          <t xml:space="preserve">SLA — Tempo de resposta ao demandante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Processo</v>
      </c>
      <c r="D11" s="3" t="inlineStr">
        <is>
          <t xml:space="preserve">MS-01 › PP-01</t>
        </is>
      </c>
      <c r="E11" s="4" t="inlineStr">
        <is>
          <t xml:space="preserve">SLA</t>
        </is>
      </c>
      <c r="F11" s="3" t="inlineStr">
        <is>
          <t xml:space="preserve">Dias úteis entre o recebimento do DFD e o retorno inicial à área demandante.</t>
        </is>
      </c>
      <c r="G11" s="3" t="inlineStr">
        <is>
          <t xml:space="preserve">Verde: ≤ 5 dias úteis · Amarelo: 6–8 dias úteis · Vermelho: &gt; 8 dias úteis</t>
        </is>
      </c>
      <c r="H11" s="4" t="inlineStr">
        <is>
          <t xml:space="preserve">dias úteis</t>
        </is>
      </c>
      <c r="I11" s="4" t="inlineStr">
        <is>
          <t xml:space="preserve">Menor melhor</t>
        </is>
      </c>
      <c r="J11" s="4">
        <v>5</v>
      </c>
      <c r="K11" s="4" t="inlineStr">
        <is>
          <t xml:space="preserve">Mensal</t>
        </is>
      </c>
      <c r="L11" s="3" t="inlineStr">
        <is>
          <t xml:space="preserve">e-Codevasf</t>
        </is>
      </c>
      <c r="M11" s="3" t="inlineStr">
        <is>
          <t xml:space="preserve">Acordado com as áreas demandantes em 2026.</t>
        </is>
      </c>
      <c r="N11" s="3" t="inlineStr">
        <is>
          <t xml:space="preserve">Data_do_retorno_inicial − Data_de_recebimento_do_DFD, em dias úteis (média do período)</t>
        </is>
      </c>
    </row>
    <row r="12">
      <c r="A12" s="7" t="inlineStr">
        <is>
          <t xml:space="preserve">IND-011</t>
        </is>
      </c>
      <c r="B12" s="6" t="inlineStr">
        <is>
          <t xml:space="preserve">ROI — Automatização da pesquisa de preços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Processo</v>
      </c>
      <c r="D12" s="6" t="inlineStr">
        <is>
          <t xml:space="preserve">MS-01 › PP-01</t>
        </is>
      </c>
      <c r="E12" s="7" t="inlineStr">
        <is>
          <t xml:space="preserve">ROI</t>
        </is>
      </c>
      <c r="F12" s="6" t="inlineStr">
        <is>
          <t xml:space="preserve">(Economia de horas de trabalho convertida em custo − custo da ferramenta) / custo da ferramenta.</t>
        </is>
      </c>
      <c r="G12" s="6" t="inlineStr">
        <is>
          <t xml:space="preserve">Verde: ≥ 150% · Amarelo: 100–149% · Vermelho: &lt; 100%</t>
        </is>
      </c>
      <c r="H12" s="7" t="inlineStr">
        <is>
          <t xml:space="preserve">%</t>
        </is>
      </c>
      <c r="I12" s="7" t="inlineStr">
        <is>
          <t xml:space="preserve">Maior melhor</t>
        </is>
      </c>
      <c r="J12" s="7">
        <v>150</v>
      </c>
      <c r="K12" s="7" t="inlineStr">
        <is>
          <t xml:space="preserve">Anual</t>
        </is>
      </c>
      <c r="L12" s="6" t="inlineStr">
        <is>
          <t xml:space="preserve">AE/GPE</t>
        </is>
      </c>
      <c r="M12" s="6" t="inlineStr">
        <is>
          <t xml:space="preserve">Estimativa fictícia para demonstração.</t>
        </is>
      </c>
      <c r="N12" s="6" t="inlineStr">
        <is>
          <t xml:space="preserve">((Economia_de_horas × custo/hora) − Custo_da_ferramenta) / Custo_da_ferramenta × 100</t>
        </is>
      </c>
    </row>
  </sheetData>
  <autoFilter ref="A1:M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Listas!$S$2:$S$6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Listas!$Y$2:$Y$4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IND-010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IND-010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IND-011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Processo</v>
      </c>
      <c r="C5" s="3" t="inlineStr">
        <is>
          <t xml:space="preserve">MS-01 › 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Subprocesso</v>
      </c>
      <c r="C6" s="6" t="inlineStr">
        <is>
          <t xml:space="preserve">MS-01 › PP-01 › 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Subprocesso</v>
      </c>
      <c r="C7" s="3" t="inlineStr">
        <is>
          <t xml:space="preserve">MS-01 › PP-01 › 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Processo</v>
      </c>
      <c r="C8" s="6" t="inlineStr">
        <is>
          <t xml:space="preserve">MS-01 › PP-02</t>
        </is>
      </c>
      <c r="D8" s="6" t="inlineStr">
        <is>
          <t xml:space="preserve">Gestor do processo</t>
        </is>
      </c>
      <c r="E8" s="7" t="inlineStr">
        <is>
          <t xml:space="preserve">Aprova (A)</t>
        </is>
      </c>
      <c r="F8" s="6" t="inlineStr">
        <is>
          <t xml:space="preserve">Gerente de Licitações</t>
        </is>
      </c>
    </row>
    <row r="9">
      <c r="A9" s="4" t="inlineStr">
        <is>
          <t xml:space="preserve">PAP-008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Processo</v>
      </c>
      <c r="C9" s="3" t="inlineStr">
        <is>
          <t xml:space="preserve">MS-01 › PP-03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MF-02 › PP-01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Operação</t>
        </is>
      </c>
    </row>
    <row r="11">
      <c r="A11" s="4" t="inlineStr">
        <is>
          <t xml:space="preserve">PAP-010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MF-03 › PP-01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Revitalização</t>
        </is>
      </c>
    </row>
    <row r="12">
      <c r="A12" s="7" t="inlineStr">
        <is>
          <t xml:space="preserve">PAP-011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Processo</v>
      </c>
      <c r="C12" s="6" t="inlineStr">
        <is>
          <t xml:space="preserve">MG-01 › PP-01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Planejamento</t>
        </is>
      </c>
    </row>
    <row r="13">
      <c r="A13" s="4" t="inlineStr">
        <is>
          <t xml:space="preserve">PAP-012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Processo</v>
      </c>
      <c r="C13" s="3" t="inlineStr">
        <is>
          <t xml:space="preserve">MS-02 › PP-01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6" t="inlineStr">
        <is>
          <t xml:space="preserve">MS-01 › PP-01 › 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Atividade</v>
      </c>
      <c r="D5" s="3" t="inlineStr">
        <is>
          <t xml:space="preserve">MS-01 › PP-01 › SP-01 › AT-02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Listas!$Q$2:$Q$5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MS-01 › 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MS-01 › PP-01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MS-01 › PP-01; MS-01 › 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Listas!$W$2:$W$7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Y12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  <col min="25" max="25" width="18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  <c r="Y1" s="1" t="inlineStr">
        <is>
          <t xml:space="preserve">Categoria_Metrica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Procedimento (PRO)</t>
        </is>
      </c>
      <c r="L2" s="6" t="inlineStr">
        <is>
          <t xml:space="preserve">Vigente</t>
        </is>
      </c>
      <c r="M2" s="6" t="inlineStr">
        <is>
          <t xml:space="preserve">Operacional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  <c r="Y2" s="6" t="inlineStr">
        <is>
          <t xml:space="preserve">Processo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3" t="inlineStr">
        <is>
          <t xml:space="preserve">Manual</t>
        </is>
      </c>
      <c r="L3" s="3" t="inlineStr">
        <is>
          <t xml:space="preserve">Em elaboração</t>
        </is>
      </c>
      <c r="M3" s="3" t="inlineStr">
        <is>
          <t xml:space="preserve">Legal/Conformidade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  <c r="Y3" s="3" t="inlineStr">
        <is>
          <t xml:space="preserve">SLA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Norma interna</t>
        </is>
      </c>
      <c r="L4" s="6" t="inlineStr">
        <is>
          <t xml:space="preserve">Em revisão</t>
        </is>
      </c>
      <c r="M4" s="6" t="inlineStr">
        <is>
          <t xml:space="preserve">Pessoas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  <c r="Y4" s="6" t="inlineStr">
        <is>
          <t xml:space="preserve">ROI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3" t="inlineStr">
        <is>
          <t xml:space="preserve">Legislação externa</t>
        </is>
      </c>
      <c r="L5" s="3" t="inlineStr">
        <is>
          <t xml:space="preserve">Revogado</t>
        </is>
      </c>
      <c r="M5" s="3" t="inlineStr">
        <is>
          <t xml:space="preserve">Tecnologia da Informação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Formulário/Modelo</t>
        </is>
      </c>
      <c r="M6" s="6" t="inlineStr">
        <is>
          <t xml:space="preserve">Financeiro/Orçamentário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3" t="inlineStr">
        <is>
          <t xml:space="preserve">Ata de reunião</t>
        </is>
      </c>
      <c r="M7" s="3" t="inlineStr">
        <is>
          <t xml:space="preserve">Imagem/Reputação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K8" s="6" t="inlineStr">
        <is>
          <t xml:space="preserve">Diagrama BPMN</t>
        </is>
      </c>
    </row>
    <row r="9">
      <c r="K9" s="3" t="inlineStr">
        <is>
          <t xml:space="preserve">Checklist</t>
        </is>
      </c>
    </row>
    <row r="10">
      <c r="K10" s="6" t="inlineStr">
        <is>
          <t xml:space="preserve">Relatório</t>
        </is>
      </c>
    </row>
    <row r="11">
      <c r="K11" s="3" t="inlineStr">
        <is>
          <t xml:space="preserve">Plano</t>
        </is>
      </c>
    </row>
    <row r="12">
      <c r="K12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68821"/>
  </sheetPr>
  <dimension ref="A1:G11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2" customWidth="1"/>
    <col min="3" max="3" width="7" customWidth="1"/>
    <col min="4" max="4" width="26" customWidth="1"/>
    <col min="5" max="5" width="30" customWidth="1"/>
    <col min="6" max="6" width="16" customWidth="1"/>
    <col min="7" max="7" width="14" customWidth="1"/>
  </cols>
  <sheetData>
    <row r="1">
      <c r="A1" s="1" t="inlineStr">
        <is>
          <t xml:space="preserve">ID</t>
        </is>
      </c>
      <c r="B1" s="1" t="inlineStr">
        <is>
          <t xml:space="preserve">Processo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Email</t>
        </is>
      </c>
      <c r="F1" s="1" t="inlineStr">
        <is>
          <t xml:space="preserve">Telefone</t>
        </is>
      </c>
      <c r="G1" s="1" t="inlineStr">
        <is>
          <t xml:space="preserve">Area</t>
        </is>
      </c>
    </row>
    <row r="2">
      <c r="A2" s="7" t="inlineStr">
        <is>
          <t xml:space="preserve">EQP-001</t>
        </is>
      </c>
      <c r="B2" s="7" t="inlineStr">
        <is>
          <t xml:space="preserve">MS-01 › PP-01</t>
        </is>
      </c>
      <c r="C2" s="7">
        <v>1</v>
      </c>
      <c r="D2" s="6" t="inlineStr">
        <is>
          <t xml:space="preserve">Vanessa Torres Almeida</t>
        </is>
      </c>
      <c r="E2" s="6" t="inlineStr">
        <is>
          <t xml:space="preserve">vanessa.almeida@codevasf.gov.br</t>
        </is>
      </c>
      <c r="F2" s="7" t="inlineStr">
        <is>
          <t xml:space="preserve">(61) 2028-4521</t>
        </is>
      </c>
      <c r="G2" s="7" t="inlineStr">
        <is>
          <t xml:space="preserve">AA/GLC</t>
        </is>
      </c>
    </row>
    <row r="3">
      <c r="A3" s="4" t="inlineStr">
        <is>
          <t xml:space="preserve">EQP-002</t>
        </is>
      </c>
      <c r="B3" s="4" t="inlineStr">
        <is>
          <t xml:space="preserve">MS-01 › PP-01</t>
        </is>
      </c>
      <c r="C3" s="4">
        <v>2</v>
      </c>
      <c r="D3" s="3" t="inlineStr">
        <is>
          <t xml:space="preserve">Carlos Eduardo Lima</t>
        </is>
      </c>
      <c r="E3" s="3" t="inlineStr">
        <is>
          <t xml:space="preserve">carlos.lima@codevasf.gov.br</t>
        </is>
      </c>
      <c r="F3" s="4" t="inlineStr">
        <is>
          <t xml:space="preserve">(61) 2028-4408</t>
        </is>
      </c>
      <c r="G3" s="4" t="inlineStr">
        <is>
          <t xml:space="preserve">AE/GPE/UNP</t>
        </is>
      </c>
    </row>
    <row r="4">
      <c r="A4" s="7" t="inlineStr">
        <is>
          <t xml:space="preserve">EQP-003</t>
        </is>
      </c>
      <c r="B4" s="7" t="inlineStr">
        <is>
          <t xml:space="preserve">MS-01 › PP-01</t>
        </is>
      </c>
      <c r="C4" s="7">
        <v>3</v>
      </c>
      <c r="D4" s="6" t="inlineStr">
        <is>
          <t xml:space="preserve">Fernanda Ribeiro Alves</t>
        </is>
      </c>
      <c r="E4" s="6" t="inlineStr">
        <is>
          <t xml:space="preserve">fernanda.alves@codevasf.gov.br</t>
        </is>
      </c>
      <c r="F4" s="7" t="inlineStr">
        <is>
          <t xml:space="preserve">(61) 2028-4635</t>
        </is>
      </c>
      <c r="G4" s="7" t="inlineStr">
        <is>
          <t xml:space="preserve">AR/GDT</t>
        </is>
      </c>
    </row>
    <row r="5">
      <c r="A5" s="4" t="inlineStr">
        <is>
          <t xml:space="preserve">EQP-004</t>
        </is>
      </c>
      <c r="B5" s="4" t="inlineStr">
        <is>
          <t xml:space="preserve">MS-01 › PP-01</t>
        </is>
      </c>
      <c r="C5" s="4">
        <v>4</v>
      </c>
      <c r="D5" s="3" t="inlineStr">
        <is>
          <t xml:space="preserve">Thiago Menezes Barbosa</t>
        </is>
      </c>
      <c r="E5" s="3" t="inlineStr">
        <is>
          <t xml:space="preserve">thiago.barbosa@codevasf.gov.br</t>
        </is>
      </c>
      <c r="F5" s="4" t="inlineStr">
        <is>
          <t xml:space="preserve">(61) 2028-4712</t>
        </is>
      </c>
      <c r="G5" s="4" t="inlineStr">
        <is>
          <t xml:space="preserve">AT/GTI</t>
        </is>
      </c>
    </row>
    <row r="6">
      <c r="A6" s="7" t="inlineStr">
        <is>
          <t xml:space="preserve">EQP-005</t>
        </is>
      </c>
      <c r="B6" s="7" t="inlineStr">
        <is>
          <t xml:space="preserve">MS-01 › PP-02</t>
        </is>
      </c>
      <c r="C6" s="7">
        <v>1</v>
      </c>
      <c r="D6" s="6" t="inlineStr">
        <is>
          <t xml:space="preserve">Vanessa Torres Almeida</t>
        </is>
      </c>
      <c r="E6" s="6" t="inlineStr">
        <is>
          <t xml:space="preserve">vanessa.almeida@codevasf.gov.br</t>
        </is>
      </c>
      <c r="F6" s="7" t="inlineStr">
        <is>
          <t xml:space="preserve">(61) 2028-4521</t>
        </is>
      </c>
      <c r="G6" s="7" t="inlineStr">
        <is>
          <t xml:space="preserve">AA/GLC</t>
        </is>
      </c>
    </row>
    <row r="7">
      <c r="A7" s="4" t="inlineStr">
        <is>
          <t xml:space="preserve">EQP-006</t>
        </is>
      </c>
      <c r="B7" s="4" t="inlineStr">
        <is>
          <t xml:space="preserve">MS-01 › PP-02</t>
        </is>
      </c>
      <c r="C7" s="4">
        <v>2</v>
      </c>
      <c r="D7" s="3" t="inlineStr">
        <is>
          <t xml:space="preserve">Carlos Eduardo Lima</t>
        </is>
      </c>
      <c r="E7" s="3" t="inlineStr">
        <is>
          <t xml:space="preserve">carlos.lima@codevasf.gov.br</t>
        </is>
      </c>
      <c r="F7" s="4" t="inlineStr">
        <is>
          <t xml:space="preserve">(61) 2028-4408</t>
        </is>
      </c>
      <c r="G7" s="4" t="inlineStr">
        <is>
          <t xml:space="preserve">AE/GPE/UNP</t>
        </is>
      </c>
    </row>
    <row r="8">
      <c r="A8" s="7" t="inlineStr">
        <is>
          <t xml:space="preserve">EQP-007</t>
        </is>
      </c>
      <c r="B8" s="7" t="inlineStr">
        <is>
          <t xml:space="preserve">MS-01 › PP-02</t>
        </is>
      </c>
      <c r="C8" s="7">
        <v>3</v>
      </c>
      <c r="D8" s="6" t="inlineStr">
        <is>
          <t xml:space="preserve">Juliana Campos Teixeira</t>
        </is>
      </c>
      <c r="E8" s="6" t="inlineStr">
        <is>
          <t xml:space="preserve">juliana.teixeira@codevasf.gov.br</t>
        </is>
      </c>
      <c r="F8" s="7" t="inlineStr">
        <is>
          <t xml:space="preserve">(61) 2028-4550</t>
        </is>
      </c>
      <c r="G8" s="7" t="inlineStr">
        <is>
          <t xml:space="preserve">AE/GAG</t>
        </is>
      </c>
    </row>
    <row r="9">
      <c r="A9" s="4" t="inlineStr">
        <is>
          <t xml:space="preserve">EQP-008</t>
        </is>
      </c>
      <c r="B9" s="4" t="inlineStr">
        <is>
          <t xml:space="preserve">MF-02 › PP-01</t>
        </is>
      </c>
      <c r="C9" s="4">
        <v>1</v>
      </c>
      <c r="D9" s="3" t="inlineStr">
        <is>
          <t xml:space="preserve">Marcelo Andrade Costa</t>
        </is>
      </c>
      <c r="E9" s="3" t="inlineStr">
        <is>
          <t xml:space="preserve">marcelo.costa@codevasf.gov.br</t>
        </is>
      </c>
      <c r="F9" s="4" t="inlineStr">
        <is>
          <t xml:space="preserve">(61) 2028-4710</t>
        </is>
      </c>
      <c r="G9" s="4" t="inlineStr">
        <is>
          <t xml:space="preserve">AI/GOM</t>
        </is>
      </c>
    </row>
    <row r="10">
      <c r="A10" s="7" t="inlineStr">
        <is>
          <t xml:space="preserve">EQP-009</t>
        </is>
      </c>
      <c r="B10" s="7" t="inlineStr">
        <is>
          <t xml:space="preserve">MF-02 › PP-01</t>
        </is>
      </c>
      <c r="C10" s="7">
        <v>2</v>
      </c>
      <c r="D10" s="6" t="inlineStr">
        <is>
          <t xml:space="preserve">Eduardo Martins</t>
        </is>
      </c>
      <c r="E10" s="6" t="inlineStr">
        <is>
          <t xml:space="preserve">eduardo.martins@codevasf.gov.br</t>
        </is>
      </c>
      <c r="F10" s="7" t="inlineStr">
        <is>
          <t xml:space="preserve">(61) 2028-4412</t>
        </is>
      </c>
      <c r="G10" s="7" t="inlineStr">
        <is>
          <t xml:space="preserve">AE/GPE/UNP</t>
        </is>
      </c>
    </row>
    <row r="11">
      <c r="A11" s="4" t="inlineStr">
        <is>
          <t xml:space="preserve">EQP-010</t>
        </is>
      </c>
      <c r="B11" s="4" t="inlineStr">
        <is>
          <t xml:space="preserve">MF-02 › PP-01</t>
        </is>
      </c>
      <c r="C11" s="4">
        <v>3</v>
      </c>
      <c r="D11" s="3" t="inlineStr">
        <is>
          <t xml:space="preserve">Sérgio Aguiar Nogueira</t>
        </is>
      </c>
      <c r="E11" s="3" t="inlineStr">
        <is>
          <t xml:space="preserve">sergio.nogueira@codevasf.gov.br</t>
        </is>
      </c>
      <c r="F11" s="4" t="inlineStr">
        <is>
          <t xml:space="preserve">(87) 3866-4120</t>
        </is>
      </c>
      <c r="G11" s="4" t="inlineStr">
        <is>
          <t xml:space="preserve">AI/GOM</t>
        </is>
      </c>
    </row>
  </sheetData>
  <autoFilter ref="A1:G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Processos!$A$2:$A$8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