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Macroprocessos" sheetId="2" state="visible" r:id="rId4"/>
    <sheet name="Processos" sheetId="3" state="visible" r:id="rId5"/>
    <sheet name="Subprocessos" sheetId="4" state="visible" r:id="rId6"/>
    <sheet name="Atividades" sheetId="5" state="visible" r:id="rId7"/>
    <sheet name="Documentos" sheetId="6" state="visible" r:id="rId8"/>
    <sheet name="Riscos" sheetId="7" state="visible" r:id="rId9"/>
    <sheet name="Indicadores" sheetId="8" state="visible" r:id="rId10"/>
    <sheet name="Diario_Mapeamento" sheetId="9" state="visible" r:id="rId11"/>
    <sheet name="Listas" sheetId="10" state="visible" r:id="rId12"/>
  </sheets>
  <definedNames>
    <definedName function="false" hidden="true" localSheetId="4" name="_xlnm._FilterDatabase" vbProcedure="false">Atividades!$A$1:$K$1</definedName>
    <definedName function="false" hidden="true" localSheetId="8" name="_xlnm._FilterDatabase" vbProcedure="false">Diario_Mapeamento!$A$1:$L$1</definedName>
    <definedName function="false" hidden="true" localSheetId="5" name="_xlnm._FilterDatabase" vbProcedure="false">Documentos!$A$1:$J$1</definedName>
    <definedName function="false" hidden="true" localSheetId="7" name="_xlnm._FilterDatabase" vbProcedure="false">Indicadores!$A$1:$M$1</definedName>
    <definedName function="false" hidden="true" localSheetId="1" name="_xlnm._FilterDatabase" vbProcedure="false">Macroprocessos!$A$1:$O$1</definedName>
    <definedName function="false" hidden="true" localSheetId="2" name="_xlnm._FilterDatabase" vbProcedure="false">Processos!$A$1:$AJ$1</definedName>
    <definedName function="false" hidden="true" localSheetId="6" name="_xlnm._FilterDatabase" vbProcedure="false">Riscos!$A$1:$M$1</definedName>
    <definedName function="false" hidden="true" localSheetId="3" name="_xlnm._FilterDatabase" vbProcedure="false">Subprocessos!$A$1:$K$1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<sst xmlns="http://schemas.openxmlformats.org/spreadsheetml/2006/main" count="1154" uniqueCount="719">
  <si>
    <t xml:space="preserve">Painel de Processos — Base de Dados (DADOS FICTÍCIOS)</t>
  </si>
  <si>
    <t xml:space="preserve">Fonte única de dados do painel publicado no GitHub Pages. Preencha as abas e o site refletirá o conteúdo.</t>
  </si>
  <si>
    <t xml:space="preserve">ATENÇÃO: todos os nomes, números, normativos internos e resultados são FICTÍCIOS, criados apenas para demonstração do painel.</t>
  </si>
  <si>
    <t xml:space="preserve">Como o painel usa esta planilha</t>
  </si>
  <si>
    <t xml:space="preserve">1. Publicação</t>
  </si>
  <si>
    <t xml:space="preserve">Salve este arquivo em data/painel-processos-dados.xlsx no repositório. O site lê a planilha diretamente no navegador (SheetJS).</t>
  </si>
  <si>
    <t xml:space="preserve">2. Fallback</t>
  </si>
  <si>
    <t xml:space="preserve">Opcionalmente, gere js/dados.js com o script scripts/planilha_para_js.py (usado quando o site é aberto sem servidor/offline).</t>
  </si>
  <si>
    <t xml:space="preserve">3. Vínculos</t>
  </si>
  <si>
    <t xml:space="preserve">Os relacionamentos usam os CÓDIGOS: Processos→Macroprocesso, Subprocessos→Processo, Atividades→Subprocesso; Documentos/Riscos/Indicadores usam Vinculo_Nivel + Vinculo_Codigo; o Diário usa o código do Processo.</t>
  </si>
  <si>
    <t xml:space="preserve">Convenções de preenchimento</t>
  </si>
  <si>
    <t xml:space="preserve">Listas na célula</t>
  </si>
  <si>
    <t xml:space="preserve">Separe múltiplos itens com ponto e vírgula ( ; ). Ex.: 'SEI; Compras.gov.br; PNCP'.</t>
  </si>
  <si>
    <t xml:space="preserve">Evidências (Diário)</t>
  </si>
  <si>
    <t xml:space="preserve">Formato Nome|URL, separando várias com ';'. Ex.: 'Ata|https://...;Diagrama|img/diagramas/x.svg'.</t>
  </si>
  <si>
    <t xml:space="preserve">Percentual</t>
  </si>
  <si>
    <t xml:space="preserve">Na aba Processos, use percentual (0% a 100%).</t>
  </si>
  <si>
    <t xml:space="preserve">Datas</t>
  </si>
  <si>
    <t xml:space="preserve">Formato dd/mm/aaaa.</t>
  </si>
  <si>
    <t xml:space="preserve">Imagens Bizagi</t>
  </si>
  <si>
    <t xml:space="preserve">Informe caminho relativo no repositório (img/diagramas/...) ou URL completa.</t>
  </si>
  <si>
    <t xml:space="preserve">Células de fórmula</t>
  </si>
  <si>
    <t xml:space="preserve">Colunas com fundo cinza (Riscos: Nivel_PxI e Classificacao; Indicadores: Situacao) são CALCULADAS — não digite valores; ao inserir linhas, copie a fórmula da linha acima.</t>
  </si>
  <si>
    <t xml:space="preserve">Validação de dados</t>
  </si>
  <si>
    <t xml:space="preserve">Campos com lista suspensa buscam os valores na aba 'Listas' (edite lá para incluir novas opções).</t>
  </si>
  <si>
    <t xml:space="preserve">Dicionário de abas</t>
  </si>
  <si>
    <t xml:space="preserve">Macroprocessos</t>
  </si>
  <si>
    <t xml:space="preserve">1º nível da cadeia de valor (CBOK: processos primários/finalísticos, de suporte e gerenciais).</t>
  </si>
  <si>
    <t xml:space="preserve">Processos</t>
  </si>
  <si>
    <t xml:space="preserve">2º nível, com ficha completa: SIPOC (fornecedores, entradas, saídas, clientes), status e marcos do mapeamento (M1–M9), fase do ciclo BPM e dados do projeto.</t>
  </si>
  <si>
    <t xml:space="preserve">Subprocessos</t>
  </si>
  <si>
    <t xml:space="preserve">3º nível, vinculado ao processo.</t>
  </si>
  <si>
    <t xml:space="preserve">Atividades</t>
  </si>
  <si>
    <t xml:space="preserve">4º nível (CBOK: atividades/tarefas), com entradas, saídas, ator, sistemas e prazos.</t>
  </si>
  <si>
    <t xml:space="preserve">Documentos</t>
  </si>
  <si>
    <t xml:space="preserve">Repositório: POPs, manuais, atas, diagramas BPMN (Bizagi), relatórios — vinculados a qualquer nível.</t>
  </si>
  <si>
    <t xml:space="preserve">Riscos</t>
  </si>
  <si>
    <t xml:space="preserve">Riscos vinculados a qualquer nível; nível = Probabilidade × Impacto (matriz 5×5).</t>
  </si>
  <si>
    <t xml:space="preserve">Indicadores</t>
  </si>
  <si>
    <t xml:space="preserve">Indicadores de desempenho por nível, com meta, resultado e situação calculada.</t>
  </si>
  <si>
    <t xml:space="preserve">Diario_Mapeamento</t>
  </si>
  <si>
    <t xml:space="preserve">Registro rastreável do trabalho: reuniões, oficinas, entrevistas, decisões, entregas e marcos, com entradas, saídas/entregáveis e evidências (CBOK 4.0; PMBOK).</t>
  </si>
  <si>
    <t xml:space="preserve">Listas</t>
  </si>
  <si>
    <t xml:space="preserve">Domínios das listas suspensas (validação de dados).</t>
  </si>
  <si>
    <t xml:space="preserve">Conteúdo atual (calculado)</t>
  </si>
  <si>
    <t xml:space="preserve">Registros do diário</t>
  </si>
  <si>
    <t xml:space="preserve">Referências metodológicas</t>
  </si>
  <si>
    <t xml:space="preserve">BPM CBOK 4.0</t>
  </si>
  <si>
    <t xml:space="preserve">Hierarquia e tipos de processos, ciclo de vida BPM (5 fases), papéis (dono do processo), SIPOC, indicadores e repositório de processos (ABPMP, 2019).</t>
  </si>
  <si>
    <t xml:space="preserve">PMBOK</t>
  </si>
  <si>
    <t xml:space="preserve">Gestão do projeto de mapeamento: termo de abertura, escopo, partes interessadas, riscos do projeto, entregáveis e lições aprendidas (PMI).</t>
  </si>
  <si>
    <t xml:space="preserve">Codigo</t>
  </si>
  <si>
    <t xml:space="preserve">Nome</t>
  </si>
  <si>
    <t xml:space="preserve">Categoria</t>
  </si>
  <si>
    <t xml:space="preserve">Ordem</t>
  </si>
  <si>
    <t xml:space="preserve">Descricao</t>
  </si>
  <si>
    <t xml:space="preserve">Objetivo</t>
  </si>
  <si>
    <t xml:space="preserve">Unidade_Responsavel</t>
  </si>
  <si>
    <t xml:space="preserve">Dono_Processo</t>
  </si>
  <si>
    <t xml:space="preserve">Entregas</t>
  </si>
  <si>
    <t xml:space="preserve">Clientes_Beneficiarios</t>
  </si>
  <si>
    <t xml:space="preserve">Partes_Interessadas</t>
  </si>
  <si>
    <t xml:space="preserve">Sistemas</t>
  </si>
  <si>
    <t xml:space="preserve">Normativos_Aplicaveis</t>
  </si>
  <si>
    <t xml:space="preserve">Imagem_Bizagi</t>
  </si>
  <si>
    <t xml:space="preserve">Observacoes</t>
  </si>
  <si>
    <t xml:space="preserve">MP-01</t>
  </si>
  <si>
    <t xml:space="preserve">Gestão Estratégica e Governança</t>
  </si>
  <si>
    <t xml:space="preserve">Gerencial</t>
  </si>
  <si>
    <t xml:space="preserve">Formulação, desdobramento e monitoramento da estratégia corporativa, da governança e do desempenho institucional.</t>
  </si>
  <si>
    <t xml:space="preserve">Garantir que a atuação da Companhia esteja alinhada à estratégia, com decisões baseadas em evidências.</t>
  </si>
  <si>
    <t xml:space="preserve">AE/GPE</t>
  </si>
  <si>
    <t xml:space="preserve">Helena Castro — Gerente de Planejamento</t>
  </si>
  <si>
    <t xml:space="preserve">Plano Estratégico; Plano de Ação Anual; Relatórios de desempenho</t>
  </si>
  <si>
    <t xml:space="preserve">Diretoria Executiva; Conselho de Administração; Unidades internas</t>
  </si>
  <si>
    <t xml:space="preserve">Ministério supervisor; Órgãos de controle; Sociedade</t>
  </si>
  <si>
    <t xml:space="preserve">e-Codevasf; SEI; Painéis de BI</t>
  </si>
  <si>
    <t xml:space="preserve">Estatuto Social; Regimento Interno; Lei nº 13.303/2016</t>
  </si>
  <si>
    <t xml:space="preserve">img/diagramas/mp-01.svg</t>
  </si>
  <si>
    <t xml:space="preserve">MP-02</t>
  </si>
  <si>
    <t xml:space="preserve">Gestão de Riscos, Integridade e Controles</t>
  </si>
  <si>
    <t xml:space="preserve">Identificação, avaliação e tratamento de riscos corporativos, integridade e controles internos (2ª linha).</t>
  </si>
  <si>
    <t xml:space="preserve">Assegurar razoável segurança para o alcance dos objetivos institucionais.</t>
  </si>
  <si>
    <t xml:space="preserve">AE/GAG</t>
  </si>
  <si>
    <t xml:space="preserve">Fernanda Alves — Gerente de Governança</t>
  </si>
  <si>
    <t xml:space="preserve">Política de Gestão de Riscos; Matriz de riscos corporativa; Plano de integridade</t>
  </si>
  <si>
    <t xml:space="preserve">Alta administração; Gestores de 1ª linha</t>
  </si>
  <si>
    <t xml:space="preserve">Auditoria interna; CGU; TCU</t>
  </si>
  <si>
    <t xml:space="preserve">SEI; Sistema de gestão de riscos</t>
  </si>
  <si>
    <t xml:space="preserve">Política de Gestão de Riscos (fictícia); IN Conjunta MP/CGU nº 01/2016</t>
  </si>
  <si>
    <t xml:space="preserve">img/diagramas/mp-02.svg</t>
  </si>
  <si>
    <t xml:space="preserve">MP-03</t>
  </si>
  <si>
    <t xml:space="preserve">Desenvolvimento Territorial e Estruturação Produtiva</t>
  </si>
  <si>
    <t xml:space="preserve">Finalístico</t>
  </si>
  <si>
    <t xml:space="preserve">Apoio a arranjos produtivos, inclusão socioeconômica e estruturação de cadeias produtivas nos vales.</t>
  </si>
  <si>
    <t xml:space="preserve">Promover o desenvolvimento regional integrado e sustentável.</t>
  </si>
  <si>
    <t xml:space="preserve">AR/GDT</t>
  </si>
  <si>
    <t xml:space="preserve">Eduardo Martins — Gerente de Desenvolvimento</t>
  </si>
  <si>
    <t xml:space="preserve">Projetos de estruturação produtiva; Convênios e instrumentos de repasse</t>
  </si>
  <si>
    <t xml:space="preserve">Produtores rurais; Cooperativas; Municípios</t>
  </si>
  <si>
    <t xml:space="preserve">Parlamentares; Entes federados; Entidades parceiras</t>
  </si>
  <si>
    <t xml:space="preserve">TransfereGov; SEI</t>
  </si>
  <si>
    <t xml:space="preserve">Lei nº 14.133/2021; Portarias de transferências voluntárias</t>
  </si>
  <si>
    <t xml:space="preserve">img/diagramas/mp-03.svg</t>
  </si>
  <si>
    <t xml:space="preserve">MP-04</t>
  </si>
  <si>
    <t xml:space="preserve">Gestão de Empreendimentos de Irrigação</t>
  </si>
  <si>
    <t xml:space="preserve">Implantação, operação, manutenção e transferência de gestão de perímetros públicos de irrigação.</t>
  </si>
  <si>
    <t xml:space="preserve">Ampliar a área irrigada produtiva com sustentabilidade hídrica e econômica.</t>
  </si>
  <si>
    <t xml:space="preserve">AI/GOM</t>
  </si>
  <si>
    <t xml:space="preserve">Marcos Vinícius — Gerente de Operação</t>
  </si>
  <si>
    <t xml:space="preserve">Perímetros em operação; Água distribuída; Relatórios de O&amp;M</t>
  </si>
  <si>
    <t xml:space="preserve">Irrigantes; Distritos de irrigação</t>
  </si>
  <si>
    <t xml:space="preserve">ANA; Agências estaduais; Associações de usuários</t>
  </si>
  <si>
    <t xml:space="preserve">SIG-Irrigação (fictício); SEI</t>
  </si>
  <si>
    <t xml:space="preserve">Lei nº 12.787/2013 (Política Nacional de Irrigação)</t>
  </si>
  <si>
    <t xml:space="preserve">img/diagramas/mp-04.svg</t>
  </si>
  <si>
    <t xml:space="preserve">MP-05</t>
  </si>
  <si>
    <t xml:space="preserve">Revitalização de Bacias Hidrográficas</t>
  </si>
  <si>
    <t xml:space="preserve">Ações de recuperação hidroambiental, segurança hídrica e uso sustentável dos recursos naturais.</t>
  </si>
  <si>
    <t xml:space="preserve">Contribuir para a revitalização das bacias dos rios São Francisco e Parnaíba.</t>
  </si>
  <si>
    <t xml:space="preserve">AR/GRB</t>
  </si>
  <si>
    <t xml:space="preserve">Luciana Prado — Gerente de Revitalização</t>
  </si>
  <si>
    <t xml:space="preserve">Nascentes recuperadas; Obras hidroambientais; Sistemas de abastecimento</t>
  </si>
  <si>
    <t xml:space="preserve">Comunidades ribeirinhas; Municípios</t>
  </si>
  <si>
    <t xml:space="preserve">Comitês de bacia; MMA; Órgãos ambientais</t>
  </si>
  <si>
    <t xml:space="preserve">SEI; GeoPortal (fictício)</t>
  </si>
  <si>
    <t xml:space="preserve">Legislação ambiental aplicável</t>
  </si>
  <si>
    <t xml:space="preserve">img/diagramas/mp-05.svg</t>
  </si>
  <si>
    <t xml:space="preserve">MP-06</t>
  </si>
  <si>
    <t xml:space="preserve">Gestão de Licitações e Contratos</t>
  </si>
  <si>
    <t xml:space="preserve">Suporte</t>
  </si>
  <si>
    <t xml:space="preserve">Planejamento das contratações, seleção de fornecedores e gestão dos contratos administrativos da Companhia.</t>
  </si>
  <si>
    <t xml:space="preserve">Prover contratações tempestivas, vantajosas e conformes à legislação.</t>
  </si>
  <si>
    <t xml:space="preserve">AA/GLC</t>
  </si>
  <si>
    <t xml:space="preserve">Ricardo Nogueira — Gerente de Licitações</t>
  </si>
  <si>
    <t xml:space="preserve">Editais publicados; Contratos firmados; Atas de registro de preços</t>
  </si>
  <si>
    <t xml:space="preserve">Todas as unidades demandantes</t>
  </si>
  <si>
    <t xml:space="preserve">Fornecedores; Assessoria Jurídica; Órgãos de controle; PNCP</t>
  </si>
  <si>
    <t xml:space="preserve">Compras.gov.br; PNCP; Painel de Preços; SEI</t>
  </si>
  <si>
    <t xml:space="preserve">Lei nº 14.133/2021; Lei nº 13.303/2016; IN SEGES nº 65/2021; NI-027/2024 (fictícia)</t>
  </si>
  <si>
    <t xml:space="preserve">img/diagramas/mp-06.svg</t>
  </si>
  <si>
    <t xml:space="preserve">Macroprocesso priorizado no ciclo 2026 de mapeamento.</t>
  </si>
  <si>
    <t xml:space="preserve">MP-07</t>
  </si>
  <si>
    <t xml:space="preserve">Gestão de Pessoas</t>
  </si>
  <si>
    <t xml:space="preserve">Provimento, desenvolvimento, remuneração e qualidade de vida do corpo funcional.</t>
  </si>
  <si>
    <t xml:space="preserve">Assegurar pessoas qualificadas e engajadas para a missão institucional.</t>
  </si>
  <si>
    <t xml:space="preserve">AG/GGP</t>
  </si>
  <si>
    <t xml:space="preserve">Patrícia Ramos — Gerente de Pessoas</t>
  </si>
  <si>
    <t xml:space="preserve">Empregados admitidos e capacitados; Folha de pagamento</t>
  </si>
  <si>
    <t xml:space="preserve">Empregados; Gestores</t>
  </si>
  <si>
    <t xml:space="preserve">Sindicatos; SEST; Ministério supervisor</t>
  </si>
  <si>
    <t xml:space="preserve">SIGEP (fictício); SEI</t>
  </si>
  <si>
    <t xml:space="preserve">CLT; Normas internas de pessoal</t>
  </si>
  <si>
    <t xml:space="preserve">img/diagramas/mp-07.svg</t>
  </si>
  <si>
    <t xml:space="preserve">MP-08</t>
  </si>
  <si>
    <t xml:space="preserve">Gestão de Tecnologia da Informação</t>
  </si>
  <si>
    <t xml:space="preserve">Planejamento, desenvolvimento, sustentação e segurança dos serviços de TI.</t>
  </si>
  <si>
    <t xml:space="preserve">Prover soluções digitais seguras que habilitem os processos de negócio.</t>
  </si>
  <si>
    <t xml:space="preserve">AT/GTI</t>
  </si>
  <si>
    <t xml:space="preserve">Daniela Ribeiro — Gerente de TI</t>
  </si>
  <si>
    <t xml:space="preserve">Sistemas em produção; Serviços de infraestrutura; Suporte ao usuário</t>
  </si>
  <si>
    <t xml:space="preserve">Todas as unidades</t>
  </si>
  <si>
    <t xml:space="preserve">SGD/MGI; Fornecedores de TI</t>
  </si>
  <si>
    <t xml:space="preserve">e-Codevasf; Service Desk</t>
  </si>
  <si>
    <t xml:space="preserve">IN SGD nº 94/2022; Política de Segurança da Informação (fictícia)</t>
  </si>
  <si>
    <t xml:space="preserve">img/diagramas/mp-08.svg</t>
  </si>
  <si>
    <t xml:space="preserve">Macroprocesso</t>
  </si>
  <si>
    <t xml:space="preserve">Area_Responsavel</t>
  </si>
  <si>
    <t xml:space="preserve">Interlocutor</t>
  </si>
  <si>
    <t xml:space="preserve">Prioridade</t>
  </si>
  <si>
    <t xml:space="preserve">Complexidade</t>
  </si>
  <si>
    <t xml:space="preserve">Status_Mapeamento</t>
  </si>
  <si>
    <t xml:space="preserve">Fase_Ciclo_BPM</t>
  </si>
  <si>
    <t xml:space="preserve">Inicio_Mapeamento</t>
  </si>
  <si>
    <t xml:space="preserve">Prazo_Previsto</t>
  </si>
  <si>
    <t xml:space="preserve">Data_Conclusao</t>
  </si>
  <si>
    <t xml:space="preserve">Fornecedores</t>
  </si>
  <si>
    <t xml:space="preserve">Entradas</t>
  </si>
  <si>
    <t xml:space="preserve">Saidas</t>
  </si>
  <si>
    <t xml:space="preserve">Clientes</t>
  </si>
  <si>
    <t xml:space="preserve">Normativos_Relacionados</t>
  </si>
  <si>
    <t xml:space="preserve">Processo_SEI</t>
  </si>
  <si>
    <t xml:space="preserve">M1_Formulario_Enviado</t>
  </si>
  <si>
    <t xml:space="preserve">M2_Formulario_Retornado</t>
  </si>
  <si>
    <t xml:space="preserve">M3_Reuniao_Contextualizacao</t>
  </si>
  <si>
    <t xml:space="preserve">M4_ASIS_Modelado</t>
  </si>
  <si>
    <t xml:space="preserve">M5_ASIS_Validado</t>
  </si>
  <si>
    <t xml:space="preserve">M6_Normativos_Identificados</t>
  </si>
  <si>
    <t xml:space="preserve">M7_TOBE_Elaborado</t>
  </si>
  <si>
    <t xml:space="preserve">M8_TOBE_Validado</t>
  </si>
  <si>
    <t xml:space="preserve">M9_Publicado_Repositorio</t>
  </si>
  <si>
    <t xml:space="preserve">Proxima_Acao</t>
  </si>
  <si>
    <t xml:space="preserve">Pendencia</t>
  </si>
  <si>
    <t xml:space="preserve">Ultima_Atualizacao</t>
  </si>
  <si>
    <t xml:space="preserve">P-06.01</t>
  </si>
  <si>
    <t xml:space="preserve">Planejamento da Contratação</t>
  </si>
  <si>
    <t xml:space="preserve">Da identificação da necessidade (DFD) até a aprovação do ETP, TR e pesquisa de preços que instruem o certame.</t>
  </si>
  <si>
    <t xml:space="preserve">Instruir as contratações com estudos e artefatos completos, reduzindo retrabalho e impugnações.</t>
  </si>
  <si>
    <t xml:space="preserve">Ricardo Nogueira</t>
  </si>
  <si>
    <t xml:space="preserve">Carlos Eduardo Lima (UNP)</t>
  </si>
  <si>
    <t xml:space="preserve">Alta</t>
  </si>
  <si>
    <t xml:space="preserve">Concluído</t>
  </si>
  <si>
    <t xml:space="preserve">5. Medir o sucesso</t>
  </si>
  <si>
    <t xml:space="preserve">Áreas demandantes; Painel de Preços; Fornecedores (cotações)</t>
  </si>
  <si>
    <t xml:space="preserve">DFD; Plano de Contratações Anual; Requisitos da área</t>
  </si>
  <si>
    <t xml:space="preserve">ETP aprovado; TR aprovado; Pesquisa de preços validada</t>
  </si>
  <si>
    <t xml:space="preserve">AA/GLC (Seleção do Fornecedor); Assessoria Jurídica</t>
  </si>
  <si>
    <t xml:space="preserve">SEI; Compras.gov.br; Painel de Preços</t>
  </si>
  <si>
    <t xml:space="preserve">Lei nº 14.133/2021; IN SEGES nº 65/2021; NI-027/2024 (fictícia)</t>
  </si>
  <si>
    <t xml:space="preserve">59500.000123/2026-11</t>
  </si>
  <si>
    <t xml:space="preserve">img/diagramas/p-06-01.svg</t>
  </si>
  <si>
    <t xml:space="preserve">Sim</t>
  </si>
  <si>
    <t xml:space="preserve">Monitorar indicadores do processo e revisar POP em 12 meses.</t>
  </si>
  <si>
    <t xml:space="preserve">P-06.02</t>
  </si>
  <si>
    <t xml:space="preserve">Seleção do Fornecedor</t>
  </si>
  <si>
    <t xml:space="preserve">Da divulgação do edital à homologação do resultado, incluindo sessão pública, julgamento e recursos.</t>
  </si>
  <si>
    <t xml:space="preserve">Selecionar a proposta mais vantajosa com celeridade e segurança jurídica.</t>
  </si>
  <si>
    <t xml:space="preserve">Média</t>
  </si>
  <si>
    <t xml:space="preserve">Em andamento</t>
  </si>
  <si>
    <t xml:space="preserve">2. Arquitetar mudanças</t>
  </si>
  <si>
    <t xml:space="preserve">P-06.01 (artefatos); Compras.gov.br</t>
  </si>
  <si>
    <t xml:space="preserve">Edital minutado; Parecer jurídico; ETP/TR</t>
  </si>
  <si>
    <t xml:space="preserve">Resultado homologado; Contrato/ata para assinatura</t>
  </si>
  <si>
    <t xml:space="preserve">Unidades demandantes; Fornecedores</t>
  </si>
  <si>
    <t xml:space="preserve">Compras.gov.br; PNCP; SEI</t>
  </si>
  <si>
    <t xml:space="preserve">Lei nº 14.133/2021; NI-027/2024 (fictícia)</t>
  </si>
  <si>
    <t xml:space="preserve">59500.000456/2026-22</t>
  </si>
  <si>
    <t xml:space="preserve">img/diagramas/p-06-02.svg</t>
  </si>
  <si>
    <t xml:space="preserve">Não</t>
  </si>
  <si>
    <t xml:space="preserve">Validar AS-IS com o dono do processo (reunião marcada).</t>
  </si>
  <si>
    <t xml:space="preserve">Pendente retorno da área sobre fluxo de recursos administrativos.</t>
  </si>
  <si>
    <t xml:space="preserve">P-06.03</t>
  </si>
  <si>
    <t xml:space="preserve">Gestão e Fiscalização Contratual</t>
  </si>
  <si>
    <t xml:space="preserve">Da assinatura do contrato ao encerramento, incluindo fiscalização, medições, pagamentos e sanções.</t>
  </si>
  <si>
    <t xml:space="preserve">Garantir a entrega do objeto contratado no prazo, custo e qualidade pactuados.</t>
  </si>
  <si>
    <t xml:space="preserve">Bruna Souza (UNP)</t>
  </si>
  <si>
    <t xml:space="preserve">P-06.02 (contrato); Fornecedores contratados</t>
  </si>
  <si>
    <t xml:space="preserve">Contrato assinado; Cronograma; Garantias</t>
  </si>
  <si>
    <t xml:space="preserve">Objeto recebido; Pagamentos efetuados; Termo de encerramento</t>
  </si>
  <si>
    <t xml:space="preserve">SEI; Compras.gov.br</t>
  </si>
  <si>
    <t xml:space="preserve">Lei nº 14.133/2021; Manual de Fiscalização (fictício)</t>
  </si>
  <si>
    <t xml:space="preserve">59500.000789/2026-33</t>
  </si>
  <si>
    <t xml:space="preserve">img/diagramas/p-06-03.svg</t>
  </si>
  <si>
    <t xml:space="preserve">Concluir modelagem AS-IS das medições e pagamentos.</t>
  </si>
  <si>
    <t xml:space="preserve">P-04.01</t>
  </si>
  <si>
    <t xml:space="preserve">Operação e Manutenção de Perímetros Irrigados</t>
  </si>
  <si>
    <t xml:space="preserve">Programação e distribuição de água, manutenção da infraestrutura de uso comum e relacionamento com irrigantes.</t>
  </si>
  <si>
    <t xml:space="preserve">Assegurar a distribuição hídrica confiável e a conservação dos ativos.</t>
  </si>
  <si>
    <t xml:space="preserve">Marcos Vinícius</t>
  </si>
  <si>
    <t xml:space="preserve">Eduardo Martins (UNP)</t>
  </si>
  <si>
    <t xml:space="preserve">ANA (outorgas); Distritos de irrigação</t>
  </si>
  <si>
    <t xml:space="preserve">Outorga de uso; Demanda de irrigação; Plano de cultivo</t>
  </si>
  <si>
    <t xml:space="preserve">Água distribuída; Infraestrutura mantida; Relatórios de O&amp;M</t>
  </si>
  <si>
    <t xml:space="preserve">Irrigantes; Distritos</t>
  </si>
  <si>
    <t xml:space="preserve">Lei nº 12.787/2013</t>
  </si>
  <si>
    <t xml:space="preserve">59500.000901/2026-44</t>
  </si>
  <si>
    <t xml:space="preserve">img/diagramas/p-04-01.svg</t>
  </si>
  <si>
    <t xml:space="preserve">Agendar oficina de validação do AS-IS com o distrito.</t>
  </si>
  <si>
    <t xml:space="preserve">P-05.01</t>
  </si>
  <si>
    <t xml:space="preserve">Recuperação de Nascentes e Matas Ciliares</t>
  </si>
  <si>
    <t xml:space="preserve">Seleção de áreas, execução de cercamento e plantio, e monitoramento da regeneração.</t>
  </si>
  <si>
    <t xml:space="preserve">Recuperar áreas degradadas prioritárias das bacias.</t>
  </si>
  <si>
    <t xml:space="preserve">Luciana Prado</t>
  </si>
  <si>
    <t xml:space="preserve">Não iniciado</t>
  </si>
  <si>
    <t xml:space="preserve">1. Alinhamento à estratégia e metas</t>
  </si>
  <si>
    <t xml:space="preserve">Municípios; Comitês de bacia</t>
  </si>
  <si>
    <t xml:space="preserve">Diagnóstico hidroambiental; Termos de cooperação</t>
  </si>
  <si>
    <t xml:space="preserve">Nascentes recuperadas; Relatórios de monitoramento</t>
  </si>
  <si>
    <t xml:space="preserve">Comunidades; Órgãos ambientais</t>
  </si>
  <si>
    <t xml:space="preserve">img/diagramas/p-05-01.svg</t>
  </si>
  <si>
    <t xml:space="preserve">Enviar formulário de levantamento à área (previsto ago/2026).</t>
  </si>
  <si>
    <t xml:space="preserve">P-01.01</t>
  </si>
  <si>
    <t xml:space="preserve">Formulação e Monitoramento do Planejamento Estratégico</t>
  </si>
  <si>
    <t xml:space="preserve">Construção do plano estratégico, desdobramento em planos de ação e monitoramento periódico de resultados.</t>
  </si>
  <si>
    <t xml:space="preserve">Manter a estratégia viva, monitorada e comunicada.</t>
  </si>
  <si>
    <t xml:space="preserve">Helena Castro</t>
  </si>
  <si>
    <t xml:space="preserve">Gustavo Pereira (UNP)</t>
  </si>
  <si>
    <t xml:space="preserve">Diretoria; Unidades</t>
  </si>
  <si>
    <t xml:space="preserve">Diretrizes de governo; Diagnóstico institucional</t>
  </si>
  <si>
    <t xml:space="preserve">Plano Estratégico; Painel de indicadores; RAG</t>
  </si>
  <si>
    <t xml:space="preserve">Diretoria Executiva; Conselhos</t>
  </si>
  <si>
    <t xml:space="preserve">e-Codevasf; Painéis de BI</t>
  </si>
  <si>
    <t xml:space="preserve">Lei nº 13.303/2016</t>
  </si>
  <si>
    <t xml:space="preserve">59500.000015/2025-77</t>
  </si>
  <si>
    <t xml:space="preserve">img/diagramas/p-01-01.svg</t>
  </si>
  <si>
    <t xml:space="preserve">Ciclo de monitoramento trimestral (próximo: set/2026).</t>
  </si>
  <si>
    <t xml:space="preserve">P-07.01</t>
  </si>
  <si>
    <t xml:space="preserve">Admissão e Integração de Empregados</t>
  </si>
  <si>
    <t xml:space="preserve">Da homologação do concurso à integração do novo empregado, incluindo exames, posse e ambientação.</t>
  </si>
  <si>
    <t xml:space="preserve">Admitir e integrar novos empregados com agilidade e conformidade.</t>
  </si>
  <si>
    <t xml:space="preserve">Patrícia Ramos</t>
  </si>
  <si>
    <t xml:space="preserve">Baixa</t>
  </si>
  <si>
    <t xml:space="preserve">Banca do concurso; Candidatos</t>
  </si>
  <si>
    <t xml:space="preserve">Resultado homologado; Documentação do candidato</t>
  </si>
  <si>
    <t xml:space="preserve">Empregado admitido e integrado</t>
  </si>
  <si>
    <t xml:space="preserve">Novos empregados; Unidades de lotação</t>
  </si>
  <si>
    <t xml:space="preserve">img/diagramas/p-07-01.svg</t>
  </si>
  <si>
    <t xml:space="preserve">Aguardando priorização no ciclo 2027.</t>
  </si>
  <si>
    <t xml:space="preserve">Processo</t>
  </si>
  <si>
    <t xml:space="preserve">Dono</t>
  </si>
  <si>
    <t xml:space="preserve">SP-06.01.01</t>
  </si>
  <si>
    <t xml:space="preserve">Estudo Técnico Preliminar (ETP)</t>
  </si>
  <si>
    <t xml:space="preserve">Caracterização da necessidade, análise de soluções de mercado e demonstração da viabilidade da contratação.</t>
  </si>
  <si>
    <t xml:space="preserve">Fundamentar tecnicamente a melhor solução para a necessidade.</t>
  </si>
  <si>
    <t xml:space="preserve">ETP aprovado no SEI</t>
  </si>
  <si>
    <t xml:space="preserve">img/diagramas/sp-06-01-01.svg</t>
  </si>
  <si>
    <t xml:space="preserve">SP-06.01.02</t>
  </si>
  <si>
    <t xml:space="preserve">Termo de Referência (TR)</t>
  </si>
  <si>
    <t xml:space="preserve">Definição do objeto, requisitos, modelo de execução e gestão contratual, e critérios de julgamento.</t>
  </si>
  <si>
    <t xml:space="preserve">Especificar com precisão o objeto e as condições da contratação.</t>
  </si>
  <si>
    <t xml:space="preserve">TR aprovado e validado juridicamente</t>
  </si>
  <si>
    <t xml:space="preserve">SEI</t>
  </si>
  <si>
    <t xml:space="preserve">img/diagramas/sp-06-01-02.svg</t>
  </si>
  <si>
    <t xml:space="preserve">SP-06.01.03</t>
  </si>
  <si>
    <t xml:space="preserve">Pesquisa de Preços</t>
  </si>
  <si>
    <t xml:space="preserve">Levantamento de preços em fontes admitidas (Painel de Preços, PNCP, cotações) e consolidação do valor estimado.</t>
  </si>
  <si>
    <t xml:space="preserve">Estimar o valor da contratação conforme a IN SEGES nº 65/2021.</t>
  </si>
  <si>
    <t xml:space="preserve">Relatório de pesquisa de preços; Mapa comparativo</t>
  </si>
  <si>
    <t xml:space="preserve">Painel de Preços; PNCP; SEI</t>
  </si>
  <si>
    <t xml:space="preserve">img/diagramas/sp-06-01-03.svg</t>
  </si>
  <si>
    <t xml:space="preserve">SP-06.02.01</t>
  </si>
  <si>
    <t xml:space="preserve">Condução da Sessão Pública</t>
  </si>
  <si>
    <t xml:space="preserve">Abertura da sessão no sistema, fase de lances, julgamento, habilitação e registro em ata.</t>
  </si>
  <si>
    <t xml:space="preserve">Conduzir o certame com transparência e celeridade.</t>
  </si>
  <si>
    <t xml:space="preserve">Ata da sessão; Resultado por item</t>
  </si>
  <si>
    <t xml:space="preserve">Compras.gov.br</t>
  </si>
  <si>
    <t xml:space="preserve">img/diagramas/sp-06-02-01.svg</t>
  </si>
  <si>
    <t xml:space="preserve">SP-04.01.01</t>
  </si>
  <si>
    <t xml:space="preserve">Distribuição de Água aos Irrigantes</t>
  </si>
  <si>
    <t xml:space="preserve">Programação semanal, operação de comportas e bombas, e registro de volumes distribuídos.</t>
  </si>
  <si>
    <t xml:space="preserve">Entregar a água programada com eficiência e equidade.</t>
  </si>
  <si>
    <t xml:space="preserve">Programação hídrica executada; Registros de volume</t>
  </si>
  <si>
    <t xml:space="preserve">SIG-Irrigação (fictício)</t>
  </si>
  <si>
    <t xml:space="preserve">img/diagramas/sp-04-01-01.svg</t>
  </si>
  <si>
    <t xml:space="preserve">Subprocesso</t>
  </si>
  <si>
    <t xml:space="preserve">Responsavel_Ator</t>
  </si>
  <si>
    <t xml:space="preserve">Prazo_Padrao</t>
  </si>
  <si>
    <t xml:space="preserve">Base_Normativa</t>
  </si>
  <si>
    <t xml:space="preserve">A-06.01.01.01</t>
  </si>
  <si>
    <t xml:space="preserve">Formalizar a necessidade (DFD)</t>
  </si>
  <si>
    <t xml:space="preserve">Registrar o Documento de Formalização da Demanda com justificativa, quantitativos e alinhamento ao PCA.</t>
  </si>
  <si>
    <t xml:space="preserve">Área demandante</t>
  </si>
  <si>
    <t xml:space="preserve">Necessidade identificada; Plano de Contratações Anual</t>
  </si>
  <si>
    <t xml:space="preserve">DFD assinado no SEI</t>
  </si>
  <si>
    <t xml:space="preserve">5 dias úteis</t>
  </si>
  <si>
    <t xml:space="preserve">NI-027/2024 (fictícia)</t>
  </si>
  <si>
    <t xml:space="preserve">A-06.01.01.02</t>
  </si>
  <si>
    <t xml:space="preserve">Levantar soluções de mercado</t>
  </si>
  <si>
    <t xml:space="preserve">Pesquisar soluções disponíveis, contratações similares e alternativas (inclusive não contratar).</t>
  </si>
  <si>
    <t xml:space="preserve">Equipe de planejamento da contratação</t>
  </si>
  <si>
    <t xml:space="preserve">DFD; Catálogos; Contratações similares (PNCP)</t>
  </si>
  <si>
    <t xml:space="preserve">Levantamento de soluções documentado</t>
  </si>
  <si>
    <t xml:space="preserve">PNCP; Compras.gov.br</t>
  </si>
  <si>
    <t xml:space="preserve">10 dias úteis</t>
  </si>
  <si>
    <t xml:space="preserve">Lei nº 14.133/2021, art. 18</t>
  </si>
  <si>
    <t xml:space="preserve">A-06.01.01.03</t>
  </si>
  <si>
    <t xml:space="preserve">Estimar quantidades e resultados</t>
  </si>
  <si>
    <t xml:space="preserve">Definir quantitativos com memória de cálculo e resultados pretendidos com a contratação.</t>
  </si>
  <si>
    <t xml:space="preserve">Levantamento de soluções; Séries históricas</t>
  </si>
  <si>
    <t xml:space="preserve">Memória de cálculo de quantitativos</t>
  </si>
  <si>
    <t xml:space="preserve">A-06.01.01.04</t>
  </si>
  <si>
    <t xml:space="preserve">Elaborar e aprovar o ETP</t>
  </si>
  <si>
    <t xml:space="preserve">Consolidar o ETP no sistema e submeter à aprovação da autoridade competente.</t>
  </si>
  <si>
    <t xml:space="preserve">Equipe de planejamento; Autoridade competente</t>
  </si>
  <si>
    <t xml:space="preserve">Levantamentos e memórias anteriores</t>
  </si>
  <si>
    <t xml:space="preserve">ETP aprovado</t>
  </si>
  <si>
    <t xml:space="preserve">7 dias úteis</t>
  </si>
  <si>
    <t xml:space="preserve">A-06.01.02.01</t>
  </si>
  <si>
    <t xml:space="preserve">Redigir o Termo de Referência</t>
  </si>
  <si>
    <t xml:space="preserve">Elaborar o TR a partir do ETP, definindo objeto, requisitos, modelo de execução e critérios de medição.</t>
  </si>
  <si>
    <t xml:space="preserve">ETP aprovado; Modelos padronizados</t>
  </si>
  <si>
    <t xml:space="preserve">Minuta de TR</t>
  </si>
  <si>
    <t xml:space="preserve">Lei nº 14.133/2021, art. 6º, XXIII</t>
  </si>
  <si>
    <t xml:space="preserve">A-06.01.02.02</t>
  </si>
  <si>
    <t xml:space="preserve">Validar o TR com a Assessoria Jurídica</t>
  </si>
  <si>
    <t xml:space="preserve">Submeter a minuta ao órgão jurídico e ajustar conforme o parecer.</t>
  </si>
  <si>
    <t xml:space="preserve">AA/GLC; Assessoria Jurídica</t>
  </si>
  <si>
    <t xml:space="preserve">TR validado; Parecer jurídico</t>
  </si>
  <si>
    <t xml:space="preserve">15 dias úteis</t>
  </si>
  <si>
    <t xml:space="preserve">Lei nº 14.133/2021, art. 53</t>
  </si>
  <si>
    <t xml:space="preserve">A-06.01.03.01</t>
  </si>
  <si>
    <t xml:space="preserve">Realizar a pesquisa de preços</t>
  </si>
  <si>
    <t xml:space="preserve">Consultar fontes admitidas, registrar parâmetros e tratar valores inexequíveis ou excessivos.</t>
  </si>
  <si>
    <t xml:space="preserve">TR validado; Fontes de preços</t>
  </si>
  <si>
    <t xml:space="preserve">Relatório de pesquisa de preços</t>
  </si>
  <si>
    <t xml:space="preserve">Painel de Preços; PNCP</t>
  </si>
  <si>
    <t xml:space="preserve">IN SEGES nº 65/2021</t>
  </si>
  <si>
    <t xml:space="preserve">A-06.01.03.02</t>
  </si>
  <si>
    <t xml:space="preserve">Consolidar o valor estimado</t>
  </si>
  <si>
    <t xml:space="preserve">Aplicar o método definido (média/mediana/menor preço) e justificar a estimativa final.</t>
  </si>
  <si>
    <t xml:space="preserve">Relatório de pesquisa</t>
  </si>
  <si>
    <t xml:space="preserve">Valor estimado consolidado</t>
  </si>
  <si>
    <t xml:space="preserve">3 dias úteis</t>
  </si>
  <si>
    <t xml:space="preserve">IN SEGES nº 65/2021, art. 6º</t>
  </si>
  <si>
    <t xml:space="preserve">A-06.02.01.01</t>
  </si>
  <si>
    <t xml:space="preserve">Publicar o edital</t>
  </si>
  <si>
    <t xml:space="preserve">Divulgar o edital no PNCP e no sistema de compras, observando prazos mínimos legais.</t>
  </si>
  <si>
    <t xml:space="preserve">Agente de contratação</t>
  </si>
  <si>
    <t xml:space="preserve">Edital aprovado; Parecer jurídico</t>
  </si>
  <si>
    <t xml:space="preserve">Edital publicado (PNCP)</t>
  </si>
  <si>
    <t xml:space="preserve">Compras.gov.br; PNCP</t>
  </si>
  <si>
    <t xml:space="preserve">2 dias úteis</t>
  </si>
  <si>
    <t xml:space="preserve">Lei nº 14.133/2021, art. 54</t>
  </si>
  <si>
    <t xml:space="preserve">A-06.02.01.02</t>
  </si>
  <si>
    <t xml:space="preserve">Conduzir a sessão e julgar propostas</t>
  </si>
  <si>
    <t xml:space="preserve">Operar a fase de lances, julgar propostas, habilitar o vencedor e registrar a ata.</t>
  </si>
  <si>
    <t xml:space="preserve">Agente de contratação; Equipe de apoio</t>
  </si>
  <si>
    <t xml:space="preserve">Edital publicado; Propostas</t>
  </si>
  <si>
    <t xml:space="preserve">Ata da sessão; Resultado do julgamento</t>
  </si>
  <si>
    <t xml:space="preserve">Conforme edital</t>
  </si>
  <si>
    <t xml:space="preserve">Lei nº 14.133/2021</t>
  </si>
  <si>
    <t xml:space="preserve">A-04.01.01.01</t>
  </si>
  <si>
    <t xml:space="preserve">Programar a distribuição hídrica</t>
  </si>
  <si>
    <t xml:space="preserve">Elaborar a programação semanal de distribuição conforme demanda dos lotes e disponibilidade hídrica.</t>
  </si>
  <si>
    <t xml:space="preserve">Equipe de operação do perímetro</t>
  </si>
  <si>
    <t xml:space="preserve">Plano de cultivo; Disponibilidade hídrica</t>
  </si>
  <si>
    <t xml:space="preserve">Programação semanal aprovada</t>
  </si>
  <si>
    <t xml:space="preserve">Semanal</t>
  </si>
  <si>
    <t xml:space="preserve">A-04.01.01.02</t>
  </si>
  <si>
    <t xml:space="preserve">Operar e registrar a distribuição</t>
  </si>
  <si>
    <t xml:space="preserve">Operar comportas e bombas conforme programação e registrar volumes por ponto de entrega.</t>
  </si>
  <si>
    <t xml:space="preserve">Programação semanal</t>
  </si>
  <si>
    <t xml:space="preserve">Volumes registrados; Ocorrências</t>
  </si>
  <si>
    <t xml:space="preserve">Diário</t>
  </si>
  <si>
    <t xml:space="preserve">ID</t>
  </si>
  <si>
    <t xml:space="preserve">Vinculo_Nivel</t>
  </si>
  <si>
    <t xml:space="preserve">Vinculo_Codigo</t>
  </si>
  <si>
    <t xml:space="preserve">Tipo_Documento</t>
  </si>
  <si>
    <t xml:space="preserve">Titulo</t>
  </si>
  <si>
    <t xml:space="preserve">Versao</t>
  </si>
  <si>
    <t xml:space="preserve">Data</t>
  </si>
  <si>
    <t xml:space="preserve">Situacao</t>
  </si>
  <si>
    <t xml:space="preserve">Link</t>
  </si>
  <si>
    <t xml:space="preserve">DOC-001</t>
  </si>
  <si>
    <t xml:space="preserve">Procedimento Operacional (POP)</t>
  </si>
  <si>
    <t xml:space="preserve">POP 06.01 — Planejamento da Contratação</t>
  </si>
  <si>
    <t xml:space="preserve">2.0</t>
  </si>
  <si>
    <t xml:space="preserve">Vigente</t>
  </si>
  <si>
    <t xml:space="preserve">https://exemplo.codevasf.gov.br/repositorio/pop-06-01.pdf</t>
  </si>
  <si>
    <t xml:space="preserve">Publicado após validação do TO-BE.</t>
  </si>
  <si>
    <t xml:space="preserve">DOC-002</t>
  </si>
  <si>
    <t xml:space="preserve">Diagrama BPMN</t>
  </si>
  <si>
    <t xml:space="preserve">Diagrama AS-IS — Planejamento da Contratação (Bizagi)</t>
  </si>
  <si>
    <t xml:space="preserve">1.0</t>
  </si>
  <si>
    <t xml:space="preserve">Exportado do Bizagi Modeler.</t>
  </si>
  <si>
    <t xml:space="preserve">DOC-003</t>
  </si>
  <si>
    <t xml:space="preserve">Diagrama TO-BE — Planejamento da Contratação (Bizagi)</t>
  </si>
  <si>
    <t xml:space="preserve">https://exemplo.codevasf.gov.br/repositorio/p-06-01-tobe.pdf</t>
  </si>
  <si>
    <t xml:space="preserve">DOC-004</t>
  </si>
  <si>
    <t xml:space="preserve">Ata de reunião</t>
  </si>
  <si>
    <t xml:space="preserve">Ata — Reunião de contextualização com a GLC</t>
  </si>
  <si>
    <t xml:space="preserve">https://exemplo.codevasf.gov.br/sei/ata-contextualizacao-p0601</t>
  </si>
  <si>
    <t xml:space="preserve">SEI 59500.000123/2026-11.</t>
  </si>
  <si>
    <t xml:space="preserve">DOC-005</t>
  </si>
  <si>
    <t xml:space="preserve">Relatório</t>
  </si>
  <si>
    <t xml:space="preserve">Relatório de oportunidades de melhoria (AS-IS → TO-BE)</t>
  </si>
  <si>
    <t xml:space="preserve">https://exemplo.codevasf.gov.br/repositorio/rel-melhorias-p0601.pdf</t>
  </si>
  <si>
    <t xml:space="preserve">DOC-006</t>
  </si>
  <si>
    <t xml:space="preserve">Formulário/Modelo</t>
  </si>
  <si>
    <t xml:space="preserve">Modelo de DFD — Documento de Formalização da Demanda</t>
  </si>
  <si>
    <t xml:space="preserve">3.1</t>
  </si>
  <si>
    <t xml:space="preserve">https://exemplo.codevasf.gov.br/modelos/dfd.docx</t>
  </si>
  <si>
    <t xml:space="preserve">DOC-007</t>
  </si>
  <si>
    <t xml:space="preserve">Roteiro de pesquisa de preços (IN SEGES nº 65/2021)</t>
  </si>
  <si>
    <t xml:space="preserve">1.2</t>
  </si>
  <si>
    <t xml:space="preserve">https://exemplo.codevasf.gov.br/repositorio/roteiro-precos.pdf</t>
  </si>
  <si>
    <t xml:space="preserve">DOC-008</t>
  </si>
  <si>
    <t xml:space="preserve">Norma interna</t>
  </si>
  <si>
    <t xml:space="preserve">NI-027/2024 — Norma de Licitações e Contratos (fictícia)</t>
  </si>
  <si>
    <t xml:space="preserve">4.0</t>
  </si>
  <si>
    <t xml:space="preserve">https://exemplo.codevasf.gov.br/normativos/ni-027</t>
  </si>
  <si>
    <t xml:space="preserve">DOC-009</t>
  </si>
  <si>
    <t xml:space="preserve">Manual</t>
  </si>
  <si>
    <t xml:space="preserve">Manual de Gestão e Fiscalização de Contratos (fictício)</t>
  </si>
  <si>
    <t xml:space="preserve">2.3</t>
  </si>
  <si>
    <t xml:space="preserve">Em revisão</t>
  </si>
  <si>
    <t xml:space="preserve">https://exemplo.codevasf.gov.br/normativos/manual-fiscalizacao</t>
  </si>
  <si>
    <t xml:space="preserve">DOC-010</t>
  </si>
  <si>
    <t xml:space="preserve">Ata — Contextualização do processo Seleção do Fornecedor</t>
  </si>
  <si>
    <t xml:space="preserve">https://exemplo.codevasf.gov.br/sei/ata-contextualizacao-p0602</t>
  </si>
  <si>
    <t xml:space="preserve">DOC-011</t>
  </si>
  <si>
    <t xml:space="preserve">Diagrama AS-IS parcial — O&amp;M de Perímetros (Bizagi)</t>
  </si>
  <si>
    <t xml:space="preserve">0.3</t>
  </si>
  <si>
    <t xml:space="preserve">Em elaboração</t>
  </si>
  <si>
    <t xml:space="preserve">Modelagem em curso.</t>
  </si>
  <si>
    <t xml:space="preserve">DOC-012</t>
  </si>
  <si>
    <t xml:space="preserve">Atividade</t>
  </si>
  <si>
    <t xml:space="preserve">Passo a passo do DFD no SEI</t>
  </si>
  <si>
    <t xml:space="preserve">https://exemplo.codevasf.gov.br/modelos/dfd-sei-passoapasso.pdf</t>
  </si>
  <si>
    <t xml:space="preserve">DOC-013</t>
  </si>
  <si>
    <t xml:space="preserve">Caderno de Indicadores Estratégicos 2026</t>
  </si>
  <si>
    <t xml:space="preserve">https://exemplo.codevasf.gov.br/estrategia/caderno-2026.pdf</t>
  </si>
  <si>
    <t xml:space="preserve">DOC-014</t>
  </si>
  <si>
    <t xml:space="preserve">Plano</t>
  </si>
  <si>
    <t xml:space="preserve">Plano de implantação do TO-BE (PMBOK — plano do projeto)</t>
  </si>
  <si>
    <t xml:space="preserve">https://exemplo.codevasf.gov.br/repositorio/plano-tobe-p0601.pdf</t>
  </si>
  <si>
    <t xml:space="preserve">Descricao_Risco</t>
  </si>
  <si>
    <t xml:space="preserve">Probabilidade_1a5</t>
  </si>
  <si>
    <t xml:space="preserve">Impacto_1a5</t>
  </si>
  <si>
    <t xml:space="preserve">Nivel_PxI</t>
  </si>
  <si>
    <t xml:space="preserve">Classificacao</t>
  </si>
  <si>
    <t xml:space="preserve">Resposta</t>
  </si>
  <si>
    <t xml:space="preserve">Controles_Tratamento</t>
  </si>
  <si>
    <t xml:space="preserve">Responsavel</t>
  </si>
  <si>
    <t xml:space="preserve">Status</t>
  </si>
  <si>
    <t xml:space="preserve">R-001</t>
  </si>
  <si>
    <t xml:space="preserve">Estimativas de preço defasadas gerando sobrepreço ou licitação deserta.</t>
  </si>
  <si>
    <t xml:space="preserve">Operacional</t>
  </si>
  <si>
    <t xml:space="preserve">Mitigar</t>
  </si>
  <si>
    <t xml:space="preserve">Roteiro de pesquisa com múltiplas fontes (Painel de Preços, PNCP) e revisão pela UNP.</t>
  </si>
  <si>
    <t xml:space="preserve">Em tratamento</t>
  </si>
  <si>
    <t xml:space="preserve">R-002</t>
  </si>
  <si>
    <t xml:space="preserve">TR genérico ou restritivo provocando impugnações e atrasos no certame.</t>
  </si>
  <si>
    <t xml:space="preserve">Legal/Conformidade</t>
  </si>
  <si>
    <t xml:space="preserve">Checklist de revisão e validação obrigatória pela Assessoria Jurídica.</t>
  </si>
  <si>
    <t xml:space="preserve">R-003</t>
  </si>
  <si>
    <t xml:space="preserve">Fiscalização intempestiva de contratos, com medições e pagamentos atrasados.</t>
  </si>
  <si>
    <t xml:space="preserve">Designação formal de fiscais, agenda de medições e alertas no SEI.</t>
  </si>
  <si>
    <t xml:space="preserve">Aberto</t>
  </si>
  <si>
    <t xml:space="preserve">R-004</t>
  </si>
  <si>
    <t xml:space="preserve">Conhecimento concentrado em um único empregado (pessoa-chave) na elaboração de ETP.</t>
  </si>
  <si>
    <t xml:space="preserve">Pessoas</t>
  </si>
  <si>
    <t xml:space="preserve">Publicar POP, treinar substitutos e revezar a equipe de planejamento.</t>
  </si>
  <si>
    <t xml:space="preserve">R-005</t>
  </si>
  <si>
    <t xml:space="preserve">Indisponibilidade hídrica comprometendo a programação de distribuição.</t>
  </si>
  <si>
    <t xml:space="preserve">Plano de contingência hídrica e priorização de culturas conforme regras do perímetro.</t>
  </si>
  <si>
    <t xml:space="preserve">R-006</t>
  </si>
  <si>
    <t xml:space="preserve">Instabilidade do Compras.gov.br durante a sessão pública.</t>
  </si>
  <si>
    <t xml:space="preserve">Tecnologia da Informação</t>
  </si>
  <si>
    <t xml:space="preserve">Protocolo de suspensão formal da sessão e comunicação imediata aos licitantes.</t>
  </si>
  <si>
    <t xml:space="preserve">Daniela Ribeiro</t>
  </si>
  <si>
    <t xml:space="preserve">R-007</t>
  </si>
  <si>
    <t xml:space="preserve">Alterações normativas frequentes exigindo atualização contínua de procedimentos.</t>
  </si>
  <si>
    <t xml:space="preserve">Monitoramento normativo mensal (resenha) e revisão programada dos POPs.</t>
  </si>
  <si>
    <t xml:space="preserve">Bruna Souza</t>
  </si>
  <si>
    <t xml:space="preserve">R-008</t>
  </si>
  <si>
    <t xml:space="preserve">Uso de fontes de preço não admitidas pela IN SEGES nº 65/2021.</t>
  </si>
  <si>
    <t xml:space="preserve">Validação da pesquisa pela UNP antes da aprovação do valor estimado.</t>
  </si>
  <si>
    <t xml:space="preserve">Carlos Eduardo Lima</t>
  </si>
  <si>
    <t xml:space="preserve">Encerrado</t>
  </si>
  <si>
    <t xml:space="preserve">R-009</t>
  </si>
  <si>
    <t xml:space="preserve">Baixo engajamento das áreas demandantes no preenchimento do DFD.</t>
  </si>
  <si>
    <t xml:space="preserve">Oficinas de capacitação e modelo simplificado de DFD no SEI.</t>
  </si>
  <si>
    <t xml:space="preserve">Descricao_Formula</t>
  </si>
  <si>
    <t xml:space="preserve">Unidade</t>
  </si>
  <si>
    <t xml:space="preserve">Polaridade</t>
  </si>
  <si>
    <t xml:space="preserve">Meta</t>
  </si>
  <si>
    <t xml:space="preserve">Resultado_Atual</t>
  </si>
  <si>
    <t xml:space="preserve">Periodicidade</t>
  </si>
  <si>
    <t xml:space="preserve">Fonte</t>
  </si>
  <si>
    <t xml:space="preserve">Ultima_Medicao</t>
  </si>
  <si>
    <t xml:space="preserve">IND-001</t>
  </si>
  <si>
    <t xml:space="preserve">Tempo médio do ciclo de contratação</t>
  </si>
  <si>
    <t xml:space="preserve">Média de dias entre o DFD e a homologação do certame.</t>
  </si>
  <si>
    <t xml:space="preserve">dias</t>
  </si>
  <si>
    <t xml:space="preserve">Menor melhor</t>
  </si>
  <si>
    <t xml:space="preserve">Trimestral</t>
  </si>
  <si>
    <t xml:space="preserve">IND-002</t>
  </si>
  <si>
    <t xml:space="preserve">Prazo médio de elaboração do ETP</t>
  </si>
  <si>
    <t xml:space="preserve">Média de dias úteis entre o DFD e a aprovação do ETP.</t>
  </si>
  <si>
    <t xml:space="preserve">Mensal</t>
  </si>
  <si>
    <t xml:space="preserve">IND-003</t>
  </si>
  <si>
    <t xml:space="preserve">Impugnações por edital</t>
  </si>
  <si>
    <t xml:space="preserve">Nº médio de impugnações recebidas por edital publicado.</t>
  </si>
  <si>
    <t xml:space="preserve">nº</t>
  </si>
  <si>
    <t xml:space="preserve">IND-004</t>
  </si>
  <si>
    <t xml:space="preserve">Contratos com fiscal designado</t>
  </si>
  <si>
    <t xml:space="preserve">% de contratos vigentes com fiscal formalmente designado.</t>
  </si>
  <si>
    <t xml:space="preserve">%</t>
  </si>
  <si>
    <t xml:space="preserve">Maior melhor</t>
  </si>
  <si>
    <t xml:space="preserve">IND-005</t>
  </si>
  <si>
    <t xml:space="preserve">Eficiência no uso da água</t>
  </si>
  <si>
    <t xml:space="preserve">Relação % entre volume faturado e volume captado no perímetro.</t>
  </si>
  <si>
    <t xml:space="preserve">IND-006</t>
  </si>
  <si>
    <t xml:space="preserve">Processos com mapeamento concluído</t>
  </si>
  <si>
    <t xml:space="preserve">% de processos do macroprocesso com marco M9 concluído.</t>
  </si>
  <si>
    <t xml:space="preserve">Painel de Processos</t>
  </si>
  <si>
    <t xml:space="preserve">IND-007</t>
  </si>
  <si>
    <t xml:space="preserve">Ações estratégicas monitoradas no prazo</t>
  </si>
  <si>
    <t xml:space="preserve">% de ações do plano com status atualizado no ciclo.</t>
  </si>
  <si>
    <t xml:space="preserve">Painéis de BI</t>
  </si>
  <si>
    <t xml:space="preserve">IND-008</t>
  </si>
  <si>
    <t xml:space="preserve">Pesquisas de preço com 3+ fontes</t>
  </si>
  <si>
    <t xml:space="preserve">% de pesquisas de preços com três ou mais fontes admitidas.</t>
  </si>
  <si>
    <t xml:space="preserve">IND-009</t>
  </si>
  <si>
    <t xml:space="preserve">Nascentes recuperadas no ano</t>
  </si>
  <si>
    <t xml:space="preserve">Nº de nascentes com recuperação concluída no exercício.</t>
  </si>
  <si>
    <t xml:space="preserve">Anual</t>
  </si>
  <si>
    <t xml:space="preserve">GeoPortal (fictício)</t>
  </si>
  <si>
    <t xml:space="preserve">Tipo</t>
  </si>
  <si>
    <t xml:space="preserve">Autor</t>
  </si>
  <si>
    <t xml:space="preserve">Participantes</t>
  </si>
  <si>
    <t xml:space="preserve">Entradas_Insumos</t>
  </si>
  <si>
    <t xml:space="preserve">Saidas_Entregaveis</t>
  </si>
  <si>
    <t xml:space="preserve">Evidencias</t>
  </si>
  <si>
    <t xml:space="preserve">Memoria</t>
  </si>
  <si>
    <t xml:space="preserve">REG-001</t>
  </si>
  <si>
    <t xml:space="preserve">Marco</t>
  </si>
  <si>
    <t xml:space="preserve">Abertura do projeto de mapeamento</t>
  </si>
  <si>
    <t xml:space="preserve">Aprovação do termo de abertura do projeto de mapeamento do processo, com escopo, equipe e cronograma.</t>
  </si>
  <si>
    <t xml:space="preserve">Bruna Souza; Ricardo Nogueira; Carlos Eduardo Lima</t>
  </si>
  <si>
    <t xml:space="preserve">Plano de ação 2026; Priorização da carteira de processos</t>
  </si>
  <si>
    <t xml:space="preserve">Termo de abertura aprovado (TAP)</t>
  </si>
  <si>
    <t xml:space="preserve">Termo de abertura|https://exemplo.codevasf.gov.br/sei/tap-p0601</t>
  </si>
  <si>
    <t xml:space="preserve">Escopo limitado ao planejamento da contratação; seleção e gestão contratual tratadas em projetos próprios.</t>
  </si>
  <si>
    <t xml:space="preserve">REG-002</t>
  </si>
  <si>
    <t xml:space="preserve">Reunião</t>
  </si>
  <si>
    <t xml:space="preserve">Reunião de contextualização com a GLC</t>
  </si>
  <si>
    <t xml:space="preserve">Apresentação da metodologia, entendimento do contexto do processo e definição dos interlocutores.</t>
  </si>
  <si>
    <t xml:space="preserve">Equipe GLC; Ricardo Nogueira; Bruna Souza; Carlos Eduardo Lima</t>
  </si>
  <si>
    <t xml:space="preserve">Formulário de levantamento preenchido</t>
  </si>
  <si>
    <t xml:space="preserve">Ata da reunião; Lista preliminar de atividades</t>
  </si>
  <si>
    <t xml:space="preserve">Ata|https://exemplo.codevasf.gov.br/sei/ata-contextualizacao-p0601</t>
  </si>
  <si>
    <t xml:space="preserve">A área destacou gargalo na pesquisa de preços e retrabalho na aprovação do ETP.</t>
  </si>
  <si>
    <t xml:space="preserve">REG-003</t>
  </si>
  <si>
    <t xml:space="preserve">Entrevista</t>
  </si>
  <si>
    <t xml:space="preserve">Entrevista com a equipe de ETP</t>
  </si>
  <si>
    <t xml:space="preserve">Detalhamento das atividades de elaboração do ETP, entradas, saídas e sistemas utilizados.</t>
  </si>
  <si>
    <t xml:space="preserve">Roteiro de entrevista; Amostras de ETP</t>
  </si>
  <si>
    <t xml:space="preserve">Registro de entrevista; Insumos para o AS-IS</t>
  </si>
  <si>
    <t xml:space="preserve">Registro de entrevista|https://exemplo.codevasf.gov.br/sei/entrevista-etp</t>
  </si>
  <si>
    <t xml:space="preserve">REG-004</t>
  </si>
  <si>
    <t xml:space="preserve">Oficina</t>
  </si>
  <si>
    <t xml:space="preserve">Oficina de modelagem AS-IS</t>
  </si>
  <si>
    <t xml:space="preserve">Modelagem colaborativa do fluxo atual em BPMN no Bizagi Modeler, com validação visual dos participantes.</t>
  </si>
  <si>
    <t xml:space="preserve">Equipe GLC; UNP</t>
  </si>
  <si>
    <t xml:space="preserve">Insumos das entrevistas; Notação BPMN 2.0</t>
  </si>
  <si>
    <t xml:space="preserve">Diagrama BPMN AS-IS v0.1</t>
  </si>
  <si>
    <t xml:space="preserve">Diagrama AS-IS v0.1|img/diagramas/p-06-01.svg</t>
  </si>
  <si>
    <t xml:space="preserve">Identificados 3 retrabalhos e 2 handoffs desnecessários (princípios de desenho do CBOK).</t>
  </si>
  <si>
    <t xml:space="preserve">REG-005</t>
  </si>
  <si>
    <t xml:space="preserve">Validação</t>
  </si>
  <si>
    <t xml:space="preserve">Validação do AS-IS com o dono do processo</t>
  </si>
  <si>
    <t xml:space="preserve">Revisão e aprovação formal do diagrama AS-IS pelo dono do processo.</t>
  </si>
  <si>
    <t xml:space="preserve">Ricardo Nogueira; Equipe GLC; UNP</t>
  </si>
  <si>
    <t xml:space="preserve">Diagrama AS-IS v0.1</t>
  </si>
  <si>
    <t xml:space="preserve">Diagrama AS-IS v1.0 validado</t>
  </si>
  <si>
    <t xml:space="preserve">Diagrama AS-IS v1.0|img/diagramas/p-06-01.svg;Ata de validação|https://exemplo.codevasf.gov.br/sei/ata-validacao-asis</t>
  </si>
  <si>
    <t xml:space="preserve">REG-006</t>
  </si>
  <si>
    <t xml:space="preserve">Decisão</t>
  </si>
  <si>
    <t xml:space="preserve">Definição do escopo do TO-BE</t>
  </si>
  <si>
    <t xml:space="preserve">Decisão de incorporar o roteiro de pesquisa de preços e o modelo simplificado de DFD no redesenho.</t>
  </si>
  <si>
    <t xml:space="preserve">Ricardo Nogueira; Bruna Souza</t>
  </si>
  <si>
    <t xml:space="preserve">Relatório preliminar de melhorias</t>
  </si>
  <si>
    <t xml:space="preserve">Escopo do TO-BE registrado</t>
  </si>
  <si>
    <t xml:space="preserve">Registro de decisão|https://exemplo.codevasf.gov.br/sei/decisao-tobe</t>
  </si>
  <si>
    <t xml:space="preserve">Priorizado o redesenho 'de fora para dentro', a partir da área demandante (cliente interno).</t>
  </si>
  <si>
    <t xml:space="preserve">REG-007</t>
  </si>
  <si>
    <t xml:space="preserve">Entrega</t>
  </si>
  <si>
    <t xml:space="preserve">TO-BE elaborado</t>
  </si>
  <si>
    <t xml:space="preserve">Entrega do diagrama TO-BE e do relatório de oportunidades de melhoria.</t>
  </si>
  <si>
    <t xml:space="preserve">UNP; Equipe GLC</t>
  </si>
  <si>
    <t xml:space="preserve">AS-IS validado; Boas práticas (CBOK cap. 6)</t>
  </si>
  <si>
    <t xml:space="preserve">Diagrama TO-BE v0.1; Relatório de melhorias</t>
  </si>
  <si>
    <t xml:space="preserve">Relatório de melhorias|https://exemplo.codevasf.gov.br/repositorio/rel-melhorias-p0601.pdf</t>
  </si>
  <si>
    <t xml:space="preserve">REG-008</t>
  </si>
  <si>
    <t xml:space="preserve">Validação do TO-BE</t>
  </si>
  <si>
    <t xml:space="preserve">Aprovação do redesenho pelo dono do processo e pela gerência da área.</t>
  </si>
  <si>
    <t xml:space="preserve">Ricardo Nogueira; Gerência AA</t>
  </si>
  <si>
    <t xml:space="preserve">Diagrama TO-BE v0.1</t>
  </si>
  <si>
    <t xml:space="preserve">Diagrama TO-BE v1.0 validado</t>
  </si>
  <si>
    <t xml:space="preserve">Ata de validação TO-BE|https://exemplo.codevasf.gov.br/sei/ata-validacao-tobe</t>
  </si>
  <si>
    <t xml:space="preserve">REG-009</t>
  </si>
  <si>
    <t xml:space="preserve">Publicação no repositório de processos</t>
  </si>
  <si>
    <t xml:space="preserve">Publicação do POP 06.01 e dos diagramas no repositório corporativo; encerramento do projeto.</t>
  </si>
  <si>
    <t xml:space="preserve">UNP</t>
  </si>
  <si>
    <t xml:space="preserve">TO-BE validado; POP revisado</t>
  </si>
  <si>
    <t xml:space="preserve">POP 06.01 v2.0 publicado; Página do processo no painel</t>
  </si>
  <si>
    <t xml:space="preserve">POP 06.01|https://exemplo.codevasf.gov.br/repositorio/pop-06-01.pdf</t>
  </si>
  <si>
    <t xml:space="preserve">Lições aprendidas registradas para o próximo ciclo (PMBOK — encerramento).</t>
  </si>
  <si>
    <t xml:space="preserve">REG-010</t>
  </si>
  <si>
    <t xml:space="preserve">Monitoramento de indicadores (fase 5)</t>
  </si>
  <si>
    <t xml:space="preserve">Primeira reunião do ciclo de medição do processo redesenhado (CBOK — medir o sucesso).</t>
  </si>
  <si>
    <t xml:space="preserve">Gustavo Pereira</t>
  </si>
  <si>
    <t xml:space="preserve">UNP; GLC</t>
  </si>
  <si>
    <t xml:space="preserve">Dados de mai/2026 (SEI e Compras.gov.br)</t>
  </si>
  <si>
    <t xml:space="preserve">Ata; Ajuste da meta do IND-002</t>
  </si>
  <si>
    <t xml:space="preserve">Ata de monitoramento|https://exemplo.codevasf.gov.br/sei/ata-monitoramento-jun26</t>
  </si>
  <si>
    <t xml:space="preserve">REG-011</t>
  </si>
  <si>
    <t xml:space="preserve">Contextualização — Seleção do Fornecedor</t>
  </si>
  <si>
    <t xml:space="preserve">Início do mapeamento do processo de seleção, com apresentação do método e coleta do formulário.</t>
  </si>
  <si>
    <t xml:space="preserve">Ata; Cronograma do projeto</t>
  </si>
  <si>
    <t xml:space="preserve">Ata|https://exemplo.codevasf.gov.br/sei/ata-contextualizacao-p0602</t>
  </si>
  <si>
    <t xml:space="preserve">REG-012</t>
  </si>
  <si>
    <t xml:space="preserve">Oficina de modelagem AS-IS (sessão 1)</t>
  </si>
  <si>
    <t xml:space="preserve">Modelagem do fluxo da sessão pública e do julgamento de propostas.</t>
  </si>
  <si>
    <t xml:space="preserve">Agentes de contratação; UNP</t>
  </si>
  <si>
    <t xml:space="preserve">Insumos da contextualização</t>
  </si>
  <si>
    <t xml:space="preserve">Diagrama AS-IS parcial v0.2</t>
  </si>
  <si>
    <t xml:space="preserve">Diagrama parcial|img/diagramas/p-06-02.svg</t>
  </si>
  <si>
    <t xml:space="preserve">Fluxo de recursos administrativos ainda pendente de detalhamento com a área.</t>
  </si>
  <si>
    <t xml:space="preserve">REG-013</t>
  </si>
  <si>
    <t xml:space="preserve">Entrevista — operação do perímetro</t>
  </si>
  <si>
    <t xml:space="preserve">Levantamento das rotinas de programação e distribuição hídrica com a equipe de campo.</t>
  </si>
  <si>
    <t xml:space="preserve">Eduardo Martins</t>
  </si>
  <si>
    <t xml:space="preserve">Equipe de operação; UNP</t>
  </si>
  <si>
    <t xml:space="preserve">Roteiro de entrevista</t>
  </si>
  <si>
    <t xml:space="preserve">Registro|https://exemplo.codevasf.gov.br/sei/entrevista-p0401</t>
  </si>
  <si>
    <t xml:space="preserve">Categoria_Macroprocesso</t>
  </si>
  <si>
    <t xml:space="preserve">Sim_Nao</t>
  </si>
  <si>
    <t xml:space="preserve">Nivel_Vinculo</t>
  </si>
  <si>
    <t xml:space="preserve">Situacao_Documento</t>
  </si>
  <si>
    <t xml:space="preserve">Categoria_Risco</t>
  </si>
  <si>
    <t xml:space="preserve">Resposta_Risco</t>
  </si>
  <si>
    <t xml:space="preserve">Status_Risco</t>
  </si>
  <si>
    <t xml:space="preserve">Tipo_Registro</t>
  </si>
  <si>
    <t xml:space="preserve">Aceitar</t>
  </si>
  <si>
    <t xml:space="preserve">Bimestral</t>
  </si>
  <si>
    <t xml:space="preserve">3. Desenvolver iniciativas</t>
  </si>
  <si>
    <t xml:space="preserve">Transferir</t>
  </si>
  <si>
    <t xml:space="preserve">Suspenso</t>
  </si>
  <si>
    <t xml:space="preserve">4. Implementar mudanças</t>
  </si>
  <si>
    <t xml:space="preserve">Revogado</t>
  </si>
  <si>
    <t xml:space="preserve">Evitar</t>
  </si>
  <si>
    <t xml:space="preserve">Semestral</t>
  </si>
  <si>
    <t xml:space="preserve">Financeiro/Orçamentário</t>
  </si>
  <si>
    <t xml:space="preserve">Imagem/Reputação</t>
  </si>
  <si>
    <t xml:space="preserve">Nota</t>
  </si>
  <si>
    <t xml:space="preserve">Outro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</si>
</sst>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C326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C0392B"/>
      <name val="Arial"/>
      <family val="0"/>
      <charset val="1"/>
    </font>
    <font>
      <b val="true"/>
      <sz val="14"/>
      <color rgb="FF0C326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0F0F0"/>
        <bgColor rgb="FFFFFFFF"/>
      </patternFill>
    </fill>
    <fill>
      <patternFill patternType="solid">
        <fgColor rgb="FF1351B4"/>
        <bgColor rgb="FF3333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1351B4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0F0F0"/>
      <rgbColor rgb="FFCCFFFF"/>
      <rgbColor rgb="FF660066"/>
      <rgbColor rgb="FFFF8080"/>
      <rgbColor rgb="FF1351B4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C326F"/>
      <rgbColor rgb="FF339966"/>
      <rgbColor rgb="FF003300"/>
      <rgbColor rgb="FF333300"/>
      <rgbColor rgb="FFC039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3" min="3" style="1" width="100"/>
    <col collapsed="false" customWidth="true" hidden="false" outlineLevel="0" max="4" min="4" style="1" width="16"/>
  </cols>
  <sheetData>
    <row r="2" customFormat="false" ht="19.5" hidden="false" customHeight="true" outlineLevel="0" collapsed="false">
      <c r="B2" s="2" t="s">
        <v>0</v>
      </c>
    </row>
    <row r="3" customFormat="false" ht="15" hidden="false" customHeight="true" outlineLevel="0" collapsed="false">
      <c r="B3" s="3" t="s">
        <v>1</v>
      </c>
    </row>
    <row r="4" customFormat="false" ht="15" hidden="false" customHeight="true" outlineLevel="0" collapsed="false">
      <c r="B4" s="4" t="s">
        <v>2</v>
      </c>
    </row>
    <row r="6" customFormat="false" ht="17.25" hidden="false" customHeight="true" outlineLevel="0" collapsed="false">
      <c r="B6" s="5" t="s">
        <v>3</v>
      </c>
    </row>
    <row r="7" customFormat="false" ht="23.25" hidden="false" customHeight="true" outlineLevel="0" collapsed="false">
      <c r="B7" s="6" t="s">
        <v>4</v>
      </c>
      <c r="C7" s="7" t="s">
        <v>5</v>
      </c>
    </row>
    <row r="8" customFormat="false" ht="23.25" hidden="false" customHeight="true" outlineLevel="0" collapsed="false">
      <c r="B8" s="6" t="s">
        <v>6</v>
      </c>
      <c r="C8" s="7" t="s">
        <v>7</v>
      </c>
    </row>
    <row r="9" customFormat="false" ht="34.5" hidden="false" customHeight="true" outlineLevel="0" collapsed="false">
      <c r="B9" s="6" t="s">
        <v>8</v>
      </c>
      <c r="C9" s="7" t="s">
        <v>9</v>
      </c>
    </row>
    <row r="11" customFormat="false" ht="17.25" hidden="false" customHeight="true" outlineLevel="0" collapsed="false">
      <c r="B11" s="5" t="s">
        <v>10</v>
      </c>
    </row>
    <row r="12" customFormat="false" ht="15" hidden="false" customHeight="true" outlineLevel="0" collapsed="false">
      <c r="B12" s="6" t="s">
        <v>11</v>
      </c>
      <c r="C12" s="7" t="s">
        <v>12</v>
      </c>
    </row>
    <row r="13" customFormat="false" ht="15" hidden="false" customHeight="true" outlineLevel="0" collapsed="false">
      <c r="B13" s="6" t="s">
        <v>13</v>
      </c>
      <c r="C13" s="7" t="s">
        <v>14</v>
      </c>
    </row>
    <row r="14" customFormat="false" ht="15" hidden="false" customHeight="true" outlineLevel="0" collapsed="false">
      <c r="B14" s="6" t="s">
        <v>15</v>
      </c>
      <c r="C14" s="7" t="s">
        <v>16</v>
      </c>
    </row>
    <row r="15" customFormat="false" ht="15" hidden="false" customHeight="true" outlineLevel="0" collapsed="false">
      <c r="B15" s="6" t="s">
        <v>17</v>
      </c>
      <c r="C15" s="7" t="s">
        <v>18</v>
      </c>
    </row>
    <row r="16" customFormat="false" ht="15" hidden="false" customHeight="true" outlineLevel="0" collapsed="false">
      <c r="B16" s="6" t="s">
        <v>19</v>
      </c>
      <c r="C16" s="7" t="s">
        <v>20</v>
      </c>
    </row>
    <row r="17" customFormat="false" ht="23.25" hidden="false" customHeight="true" outlineLevel="0" collapsed="false">
      <c r="B17" s="6" t="s">
        <v>21</v>
      </c>
      <c r="C17" s="7" t="s">
        <v>22</v>
      </c>
    </row>
    <row r="18" customFormat="false" ht="15" hidden="false" customHeight="true" outlineLevel="0" collapsed="false">
      <c r="B18" s="6" t="s">
        <v>23</v>
      </c>
      <c r="C18" s="7" t="s">
        <v>24</v>
      </c>
    </row>
    <row r="20" customFormat="false" ht="17.25" hidden="false" customHeight="true" outlineLevel="0" collapsed="false">
      <c r="B20" s="5" t="s">
        <v>25</v>
      </c>
    </row>
    <row r="21" customFormat="false" ht="15" hidden="false" customHeight="true" outlineLevel="0" collapsed="false">
      <c r="B21" s="6" t="s">
        <v>26</v>
      </c>
      <c r="C21" s="7" t="s">
        <v>27</v>
      </c>
    </row>
    <row r="22" customFormat="false" ht="23.25" hidden="false" customHeight="true" outlineLevel="0" collapsed="false">
      <c r="B22" s="6" t="s">
        <v>28</v>
      </c>
      <c r="C22" s="7" t="s">
        <v>29</v>
      </c>
    </row>
    <row r="23" customFormat="false" ht="15" hidden="false" customHeight="true" outlineLevel="0" collapsed="false">
      <c r="B23" s="6" t="s">
        <v>30</v>
      </c>
      <c r="C23" s="7" t="s">
        <v>31</v>
      </c>
    </row>
    <row r="24" customFormat="false" ht="15" hidden="false" customHeight="true" outlineLevel="0" collapsed="false">
      <c r="B24" s="6" t="s">
        <v>32</v>
      </c>
      <c r="C24" s="7" t="s">
        <v>33</v>
      </c>
    </row>
    <row r="25" customFormat="false" ht="15" hidden="false" customHeight="true" outlineLevel="0" collapsed="false">
      <c r="B25" s="6" t="s">
        <v>34</v>
      </c>
      <c r="C25" s="7" t="s">
        <v>35</v>
      </c>
    </row>
    <row r="26" customFormat="false" ht="15" hidden="false" customHeight="true" outlineLevel="0" collapsed="false">
      <c r="B26" s="6" t="s">
        <v>36</v>
      </c>
      <c r="C26" s="7" t="s">
        <v>37</v>
      </c>
    </row>
    <row r="27" customFormat="false" ht="15" hidden="false" customHeight="true" outlineLevel="0" collapsed="false">
      <c r="B27" s="6" t="s">
        <v>38</v>
      </c>
      <c r="C27" s="7" t="s">
        <v>39</v>
      </c>
    </row>
    <row r="28" customFormat="false" ht="23.25" hidden="false" customHeight="true" outlineLevel="0" collapsed="false">
      <c r="B28" s="6" t="s">
        <v>40</v>
      </c>
      <c r="C28" s="7" t="s">
        <v>41</v>
      </c>
    </row>
    <row r="29" customFormat="false" ht="15" hidden="false" customHeight="true" outlineLevel="0" collapsed="false">
      <c r="B29" s="6" t="s">
        <v>42</v>
      </c>
      <c r="C29" s="7" t="s">
        <v>43</v>
      </c>
    </row>
    <row r="31" customFormat="false" ht="17.25" hidden="false" customHeight="true" outlineLevel="0" collapsed="false">
      <c r="B31" s="5" t="s">
        <v>44</v>
      </c>
    </row>
    <row r="32" customFormat="false" ht="15" hidden="false" customHeight="true" outlineLevel="0" collapsed="false">
      <c r="B32" s="8" t="s">
        <v>26</v>
      </c>
      <c r="C32" s="9" t="n">
        <f aca="false">COUNTA(Macroprocessos!$A$2:$A$500)</f>
        <v>8</v>
      </c>
    </row>
    <row r="33" customFormat="false" ht="15" hidden="false" customHeight="true" outlineLevel="0" collapsed="false">
      <c r="B33" s="8" t="s">
        <v>28</v>
      </c>
      <c r="C33" s="9" t="n">
        <f aca="false">COUNTA(Processos!$A$2:$A$500)</f>
        <v>7</v>
      </c>
    </row>
    <row r="34" customFormat="false" ht="15" hidden="false" customHeight="true" outlineLevel="0" collapsed="false">
      <c r="B34" s="8" t="s">
        <v>30</v>
      </c>
      <c r="C34" s="9" t="n">
        <f aca="false">COUNTA(Subprocessos!$A$2:$A$500)</f>
        <v>5</v>
      </c>
    </row>
    <row r="35" customFormat="false" ht="15" hidden="false" customHeight="true" outlineLevel="0" collapsed="false">
      <c r="B35" s="8" t="s">
        <v>32</v>
      </c>
      <c r="C35" s="9" t="n">
        <f aca="false">COUNTA(Atividades!$A$2:$A$500)</f>
        <v>12</v>
      </c>
    </row>
    <row r="36" customFormat="false" ht="15" hidden="false" customHeight="true" outlineLevel="0" collapsed="false">
      <c r="B36" s="8" t="s">
        <v>34</v>
      </c>
      <c r="C36" s="9" t="n">
        <f aca="false">COUNTA(Documentos!$A$2:$A$500)</f>
        <v>14</v>
      </c>
    </row>
    <row r="37" customFormat="false" ht="15" hidden="false" customHeight="true" outlineLevel="0" collapsed="false">
      <c r="B37" s="8" t="s">
        <v>36</v>
      </c>
      <c r="C37" s="9" t="n">
        <f aca="false">COUNTA(Riscos!$A$2:$A$500)</f>
        <v>9</v>
      </c>
    </row>
    <row r="38" customFormat="false" ht="15" hidden="false" customHeight="true" outlineLevel="0" collapsed="false">
      <c r="B38" s="8" t="s">
        <v>38</v>
      </c>
      <c r="C38" s="9" t="n">
        <f aca="false">COUNTA(Indicadores!$A$2:$A$500)</f>
        <v>9</v>
      </c>
    </row>
    <row r="39" customFormat="false" ht="15" hidden="false" customHeight="true" outlineLevel="0" collapsed="false">
      <c r="B39" s="8" t="s">
        <v>45</v>
      </c>
      <c r="C39" s="9" t="n">
        <f aca="false">COUNTA(Diario_Mapeamento!$A$2:$A$500)</f>
        <v>13</v>
      </c>
    </row>
    <row r="41" customFormat="false" ht="17.25" hidden="false" customHeight="true" outlineLevel="0" collapsed="false">
      <c r="B41" s="5" t="s">
        <v>46</v>
      </c>
    </row>
    <row r="42" customFormat="false" ht="23.25" hidden="false" customHeight="true" outlineLevel="0" collapsed="false">
      <c r="B42" s="6" t="s">
        <v>47</v>
      </c>
      <c r="C42" s="7" t="s">
        <v>48</v>
      </c>
    </row>
    <row r="43" customFormat="false" ht="23.25" hidden="false" customHeight="true" outlineLevel="0" collapsed="false">
      <c r="B43" s="6" t="s">
        <v>49</v>
      </c>
      <c r="C43" s="7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34"/>
    <col collapsed="false" customWidth="true" hidden="false" outlineLevel="0" max="3" min="3" style="1" width="12"/>
    <col collapsed="false" customWidth="true" hidden="false" outlineLevel="0" max="4" min="4" style="1" width="7"/>
    <col collapsed="false" customWidth="true" hidden="false" outlineLevel="0" max="6" min="5" style="1" width="46"/>
    <col collapsed="false" customWidth="true" hidden="false" outlineLevel="0" max="7" min="7" style="1" width="16"/>
    <col collapsed="false" customWidth="true" hidden="false" outlineLevel="0" max="8" min="8" style="1" width="26"/>
    <col collapsed="false" customWidth="true" hidden="false" outlineLevel="0" max="9" min="9" style="1" width="40"/>
    <col collapsed="false" customWidth="true" hidden="false" outlineLevel="0" max="11" min="10" style="1" width="34"/>
    <col collapsed="false" customWidth="true" hidden="false" outlineLevel="0" max="12" min="12" style="1" width="30"/>
    <col collapsed="false" customWidth="true" hidden="false" outlineLevel="0" max="13" min="13" style="1" width="40"/>
    <col collapsed="false" customWidth="true" hidden="false" outlineLevel="0" max="14" min="14" style="1" width="30"/>
    <col collapsed="false" customWidth="true" hidden="false" outlineLevel="0" max="15" min="15" style="1" width="26"/>
  </cols>
  <sheetData>
    <row r="1" customFormat="false" ht="30" hidden="false" customHeight="true" outlineLevel="0" collapsed="false">
      <c r="A1" s="10" t="s">
        <v>51</v>
      </c>
      <c r="B1" s="10" t="s">
        <v>52</v>
      </c>
      <c r="C1" s="10" t="s">
        <v>53</v>
      </c>
      <c r="D1" s="10" t="s">
        <v>54</v>
      </c>
      <c r="E1" s="10" t="s">
        <v>55</v>
      </c>
      <c r="F1" s="10" t="s">
        <v>56</v>
      </c>
      <c r="G1" s="10" t="s">
        <v>57</v>
      </c>
      <c r="H1" s="10" t="s">
        <v>58</v>
      </c>
      <c r="I1" s="10" t="s">
        <v>59</v>
      </c>
      <c r="J1" s="10" t="s">
        <v>60</v>
      </c>
      <c r="K1" s="10" t="s">
        <v>61</v>
      </c>
      <c r="L1" s="10" t="s">
        <v>62</v>
      </c>
      <c r="M1" s="10" t="s">
        <v>63</v>
      </c>
      <c r="N1" s="10" t="s">
        <v>64</v>
      </c>
      <c r="O1" s="10" t="s">
        <v>65</v>
      </c>
    </row>
    <row r="2" customFormat="false" ht="34.5" hidden="false" customHeight="true" outlineLevel="0" collapsed="false">
      <c r="A2" s="11" t="s">
        <v>66</v>
      </c>
      <c r="B2" s="11" t="s">
        <v>67</v>
      </c>
      <c r="C2" s="12" t="s">
        <v>68</v>
      </c>
      <c r="D2" s="12" t="n">
        <v>1</v>
      </c>
      <c r="E2" s="13" t="s">
        <v>69</v>
      </c>
      <c r="F2" s="13" t="s">
        <v>70</v>
      </c>
      <c r="G2" s="11" t="s">
        <v>71</v>
      </c>
      <c r="H2" s="11" t="s">
        <v>72</v>
      </c>
      <c r="I2" s="13" t="s">
        <v>73</v>
      </c>
      <c r="J2" s="13" t="s">
        <v>74</v>
      </c>
      <c r="K2" s="13" t="s">
        <v>75</v>
      </c>
      <c r="L2" s="13" t="s">
        <v>76</v>
      </c>
      <c r="M2" s="13" t="s">
        <v>77</v>
      </c>
      <c r="N2" s="11" t="s">
        <v>78</v>
      </c>
      <c r="O2" s="13"/>
    </row>
    <row r="3" customFormat="false" ht="23.25" hidden="false" customHeight="true" outlineLevel="0" collapsed="false">
      <c r="A3" s="11" t="s">
        <v>79</v>
      </c>
      <c r="B3" s="11" t="s">
        <v>80</v>
      </c>
      <c r="C3" s="12" t="s">
        <v>68</v>
      </c>
      <c r="D3" s="12" t="n">
        <v>2</v>
      </c>
      <c r="E3" s="13" t="s">
        <v>81</v>
      </c>
      <c r="F3" s="13" t="s">
        <v>82</v>
      </c>
      <c r="G3" s="11" t="s">
        <v>83</v>
      </c>
      <c r="H3" s="11" t="s">
        <v>84</v>
      </c>
      <c r="I3" s="13" t="s">
        <v>85</v>
      </c>
      <c r="J3" s="13" t="s">
        <v>86</v>
      </c>
      <c r="K3" s="13" t="s">
        <v>87</v>
      </c>
      <c r="L3" s="13" t="s">
        <v>88</v>
      </c>
      <c r="M3" s="13" t="s">
        <v>89</v>
      </c>
      <c r="N3" s="11" t="s">
        <v>90</v>
      </c>
      <c r="O3" s="13"/>
    </row>
    <row r="4" customFormat="false" ht="23.25" hidden="false" customHeight="true" outlineLevel="0" collapsed="false">
      <c r="A4" s="11" t="s">
        <v>91</v>
      </c>
      <c r="B4" s="11" t="s">
        <v>92</v>
      </c>
      <c r="C4" s="12" t="s">
        <v>93</v>
      </c>
      <c r="D4" s="12" t="n">
        <v>3</v>
      </c>
      <c r="E4" s="13" t="s">
        <v>94</v>
      </c>
      <c r="F4" s="13" t="s">
        <v>95</v>
      </c>
      <c r="G4" s="11" t="s">
        <v>96</v>
      </c>
      <c r="H4" s="11" t="s">
        <v>97</v>
      </c>
      <c r="I4" s="13" t="s">
        <v>98</v>
      </c>
      <c r="J4" s="13" t="s">
        <v>99</v>
      </c>
      <c r="K4" s="13" t="s">
        <v>100</v>
      </c>
      <c r="L4" s="13" t="s">
        <v>101</v>
      </c>
      <c r="M4" s="13" t="s">
        <v>102</v>
      </c>
      <c r="N4" s="11" t="s">
        <v>103</v>
      </c>
      <c r="O4" s="13"/>
    </row>
    <row r="5" customFormat="false" ht="23.25" hidden="false" customHeight="true" outlineLevel="0" collapsed="false">
      <c r="A5" s="11" t="s">
        <v>104</v>
      </c>
      <c r="B5" s="11" t="s">
        <v>105</v>
      </c>
      <c r="C5" s="12" t="s">
        <v>93</v>
      </c>
      <c r="D5" s="12" t="n">
        <v>4</v>
      </c>
      <c r="E5" s="13" t="s">
        <v>106</v>
      </c>
      <c r="F5" s="13" t="s">
        <v>107</v>
      </c>
      <c r="G5" s="11" t="s">
        <v>108</v>
      </c>
      <c r="H5" s="11" t="s">
        <v>109</v>
      </c>
      <c r="I5" s="13" t="s">
        <v>110</v>
      </c>
      <c r="J5" s="13" t="s">
        <v>111</v>
      </c>
      <c r="K5" s="13" t="s">
        <v>112</v>
      </c>
      <c r="L5" s="13" t="s">
        <v>113</v>
      </c>
      <c r="M5" s="13" t="s">
        <v>114</v>
      </c>
      <c r="N5" s="11" t="s">
        <v>115</v>
      </c>
      <c r="O5" s="13"/>
    </row>
    <row r="6" customFormat="false" ht="23.25" hidden="false" customHeight="true" outlineLevel="0" collapsed="false">
      <c r="A6" s="11" t="s">
        <v>116</v>
      </c>
      <c r="B6" s="11" t="s">
        <v>117</v>
      </c>
      <c r="C6" s="12" t="s">
        <v>93</v>
      </c>
      <c r="D6" s="12" t="n">
        <v>5</v>
      </c>
      <c r="E6" s="13" t="s">
        <v>118</v>
      </c>
      <c r="F6" s="13" t="s">
        <v>119</v>
      </c>
      <c r="G6" s="11" t="s">
        <v>120</v>
      </c>
      <c r="H6" s="11" t="s">
        <v>121</v>
      </c>
      <c r="I6" s="13" t="s">
        <v>122</v>
      </c>
      <c r="J6" s="13" t="s">
        <v>123</v>
      </c>
      <c r="K6" s="13" t="s">
        <v>124</v>
      </c>
      <c r="L6" s="13" t="s">
        <v>125</v>
      </c>
      <c r="M6" s="13" t="s">
        <v>126</v>
      </c>
      <c r="N6" s="11" t="s">
        <v>127</v>
      </c>
      <c r="O6" s="13"/>
    </row>
    <row r="7" customFormat="false" ht="34.5" hidden="false" customHeight="true" outlineLevel="0" collapsed="false">
      <c r="A7" s="11" t="s">
        <v>128</v>
      </c>
      <c r="B7" s="11" t="s">
        <v>129</v>
      </c>
      <c r="C7" s="12" t="s">
        <v>130</v>
      </c>
      <c r="D7" s="12" t="n">
        <v>6</v>
      </c>
      <c r="E7" s="13" t="s">
        <v>131</v>
      </c>
      <c r="F7" s="13" t="s">
        <v>132</v>
      </c>
      <c r="G7" s="11" t="s">
        <v>133</v>
      </c>
      <c r="H7" s="11" t="s">
        <v>134</v>
      </c>
      <c r="I7" s="13" t="s">
        <v>135</v>
      </c>
      <c r="J7" s="13" t="s">
        <v>136</v>
      </c>
      <c r="K7" s="13" t="s">
        <v>137</v>
      </c>
      <c r="L7" s="13" t="s">
        <v>138</v>
      </c>
      <c r="M7" s="13" t="s">
        <v>139</v>
      </c>
      <c r="N7" s="11" t="s">
        <v>140</v>
      </c>
      <c r="O7" s="13" t="s">
        <v>141</v>
      </c>
    </row>
    <row r="8" customFormat="false" ht="23.25" hidden="false" customHeight="true" outlineLevel="0" collapsed="false">
      <c r="A8" s="11" t="s">
        <v>142</v>
      </c>
      <c r="B8" s="11" t="s">
        <v>143</v>
      </c>
      <c r="C8" s="12" t="s">
        <v>130</v>
      </c>
      <c r="D8" s="12" t="n">
        <v>7</v>
      </c>
      <c r="E8" s="13" t="s">
        <v>144</v>
      </c>
      <c r="F8" s="13" t="s">
        <v>145</v>
      </c>
      <c r="G8" s="11" t="s">
        <v>146</v>
      </c>
      <c r="H8" s="11" t="s">
        <v>147</v>
      </c>
      <c r="I8" s="13" t="s">
        <v>148</v>
      </c>
      <c r="J8" s="13" t="s">
        <v>149</v>
      </c>
      <c r="K8" s="13" t="s">
        <v>150</v>
      </c>
      <c r="L8" s="13" t="s">
        <v>151</v>
      </c>
      <c r="M8" s="13" t="s">
        <v>152</v>
      </c>
      <c r="N8" s="11" t="s">
        <v>153</v>
      </c>
      <c r="O8" s="13"/>
    </row>
    <row r="9" customFormat="false" ht="23.25" hidden="false" customHeight="true" outlineLevel="0" collapsed="false">
      <c r="A9" s="11" t="s">
        <v>154</v>
      </c>
      <c r="B9" s="11" t="s">
        <v>155</v>
      </c>
      <c r="C9" s="12" t="s">
        <v>130</v>
      </c>
      <c r="D9" s="12" t="n">
        <v>8</v>
      </c>
      <c r="E9" s="13" t="s">
        <v>156</v>
      </c>
      <c r="F9" s="13" t="s">
        <v>157</v>
      </c>
      <c r="G9" s="11" t="s">
        <v>158</v>
      </c>
      <c r="H9" s="11" t="s">
        <v>159</v>
      </c>
      <c r="I9" s="13" t="s">
        <v>160</v>
      </c>
      <c r="J9" s="13" t="s">
        <v>161</v>
      </c>
      <c r="K9" s="13" t="s">
        <v>162</v>
      </c>
      <c r="L9" s="13" t="s">
        <v>163</v>
      </c>
      <c r="M9" s="13" t="s">
        <v>164</v>
      </c>
      <c r="N9" s="11" t="s">
        <v>165</v>
      </c>
      <c r="O9" s="13"/>
    </row>
  </sheetData>
  <autoFilter ref="A1:O1"/>
  <dataValidations count="1">
    <dataValidation allowBlank="true" errorStyle="stop" operator="between" showDropDown="false" showErrorMessage="false" showInputMessage="false" sqref="C2:C300" type="list">
      <formula1>Listas!$A$2:$A$4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4"/>
    <col collapsed="false" customWidth="true" hidden="false" outlineLevel="0" max="3" min="3" style="1" width="34"/>
    <col collapsed="false" customWidth="true" hidden="false" outlineLevel="0" max="4" min="4" style="1" width="44"/>
    <col collapsed="false" customWidth="true" hidden="false" outlineLevel="0" max="5" min="5" style="1" width="40"/>
    <col collapsed="false" customWidth="true" hidden="false" outlineLevel="0" max="6" min="6" style="1" width="16"/>
    <col collapsed="false" customWidth="true" hidden="false" outlineLevel="0" max="8" min="7" style="1" width="24"/>
    <col collapsed="false" customWidth="true" hidden="false" outlineLevel="0" max="9" min="9" style="1" width="10"/>
    <col collapsed="false" customWidth="true" hidden="false" outlineLevel="0" max="10" min="10" style="1" width="12"/>
    <col collapsed="false" customWidth="true" hidden="false" outlineLevel="0" max="11" min="11" style="1" width="14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6" min="14" style="1" width="13"/>
    <col collapsed="false" customWidth="true" hidden="false" outlineLevel="0" max="17" min="17" style="1" width="30"/>
    <col collapsed="false" customWidth="true" hidden="false" outlineLevel="0" max="19" min="18" style="1" width="34"/>
    <col collapsed="false" customWidth="true" hidden="false" outlineLevel="0" max="21" min="20" style="1" width="28"/>
    <col collapsed="false" customWidth="true" hidden="false" outlineLevel="0" max="22" min="22" style="1" width="40"/>
    <col collapsed="false" customWidth="true" hidden="false" outlineLevel="0" max="23" min="23" style="1" width="20"/>
    <col collapsed="false" customWidth="true" hidden="false" outlineLevel="0" max="24" min="24" style="1" width="30"/>
    <col collapsed="false" customWidth="true" hidden="false" outlineLevel="0" max="33" min="25" style="1" width="9"/>
    <col collapsed="false" customWidth="true" hidden="false" outlineLevel="0" max="34" min="34" style="1" width="34"/>
    <col collapsed="false" customWidth="true" hidden="false" outlineLevel="0" max="35" min="35" style="1" width="28"/>
    <col collapsed="false" customWidth="true" hidden="false" outlineLevel="0" max="36" min="36" style="1" width="13"/>
  </cols>
  <sheetData>
    <row r="1" customFormat="false" ht="30" hidden="false" customHeight="true" outlineLevel="0" collapsed="false">
      <c r="A1" s="10" t="s">
        <v>51</v>
      </c>
      <c r="B1" s="10" t="s">
        <v>166</v>
      </c>
      <c r="C1" s="10" t="s">
        <v>52</v>
      </c>
      <c r="D1" s="10" t="s">
        <v>55</v>
      </c>
      <c r="E1" s="10" t="s">
        <v>56</v>
      </c>
      <c r="F1" s="10" t="s">
        <v>167</v>
      </c>
      <c r="G1" s="10" t="s">
        <v>58</v>
      </c>
      <c r="H1" s="10" t="s">
        <v>168</v>
      </c>
      <c r="I1" s="10" t="s">
        <v>169</v>
      </c>
      <c r="J1" s="10" t="s">
        <v>170</v>
      </c>
      <c r="K1" s="10" t="s">
        <v>171</v>
      </c>
      <c r="L1" s="10" t="s">
        <v>15</v>
      </c>
      <c r="M1" s="10" t="s">
        <v>172</v>
      </c>
      <c r="N1" s="10" t="s">
        <v>173</v>
      </c>
      <c r="O1" s="10" t="s">
        <v>174</v>
      </c>
      <c r="P1" s="10" t="s">
        <v>175</v>
      </c>
      <c r="Q1" s="10" t="s">
        <v>176</v>
      </c>
      <c r="R1" s="10" t="s">
        <v>177</v>
      </c>
      <c r="S1" s="10" t="s">
        <v>178</v>
      </c>
      <c r="T1" s="10" t="s">
        <v>179</v>
      </c>
      <c r="U1" s="10" t="s">
        <v>62</v>
      </c>
      <c r="V1" s="10" t="s">
        <v>180</v>
      </c>
      <c r="W1" s="10" t="s">
        <v>181</v>
      </c>
      <c r="X1" s="10" t="s">
        <v>64</v>
      </c>
      <c r="Y1" s="10" t="s">
        <v>182</v>
      </c>
      <c r="Z1" s="10" t="s">
        <v>183</v>
      </c>
      <c r="AA1" s="10" t="s">
        <v>184</v>
      </c>
      <c r="AB1" s="10" t="s">
        <v>185</v>
      </c>
      <c r="AC1" s="10" t="s">
        <v>186</v>
      </c>
      <c r="AD1" s="10" t="s">
        <v>187</v>
      </c>
      <c r="AE1" s="10" t="s">
        <v>188</v>
      </c>
      <c r="AF1" s="10" t="s">
        <v>189</v>
      </c>
      <c r="AG1" s="10" t="s">
        <v>190</v>
      </c>
      <c r="AH1" s="10" t="s">
        <v>191</v>
      </c>
      <c r="AI1" s="10" t="s">
        <v>192</v>
      </c>
      <c r="AJ1" s="10" t="s">
        <v>193</v>
      </c>
    </row>
    <row r="2" customFormat="false" ht="34.5" hidden="false" customHeight="true" outlineLevel="0" collapsed="false">
      <c r="A2" s="11" t="s">
        <v>194</v>
      </c>
      <c r="B2" s="11" t="s">
        <v>128</v>
      </c>
      <c r="C2" s="11" t="s">
        <v>195</v>
      </c>
      <c r="D2" s="13" t="s">
        <v>196</v>
      </c>
      <c r="E2" s="13" t="s">
        <v>197</v>
      </c>
      <c r="F2" s="11" t="s">
        <v>133</v>
      </c>
      <c r="G2" s="11" t="s">
        <v>198</v>
      </c>
      <c r="H2" s="11" t="s">
        <v>199</v>
      </c>
      <c r="I2" s="12" t="s">
        <v>200</v>
      </c>
      <c r="J2" s="12" t="s">
        <v>200</v>
      </c>
      <c r="K2" s="12" t="s">
        <v>201</v>
      </c>
      <c r="L2" s="14" t="n">
        <v>1</v>
      </c>
      <c r="M2" s="11" t="s">
        <v>202</v>
      </c>
      <c r="N2" s="15" t="n">
        <v>46027</v>
      </c>
      <c r="O2" s="15" t="n">
        <v>46171</v>
      </c>
      <c r="P2" s="15" t="n">
        <v>46160</v>
      </c>
      <c r="Q2" s="13" t="s">
        <v>203</v>
      </c>
      <c r="R2" s="13" t="s">
        <v>204</v>
      </c>
      <c r="S2" s="13" t="s">
        <v>205</v>
      </c>
      <c r="T2" s="13" t="s">
        <v>206</v>
      </c>
      <c r="U2" s="13" t="s">
        <v>207</v>
      </c>
      <c r="V2" s="13" t="s">
        <v>208</v>
      </c>
      <c r="W2" s="11" t="s">
        <v>209</v>
      </c>
      <c r="X2" s="11" t="s">
        <v>210</v>
      </c>
      <c r="Y2" s="12" t="s">
        <v>211</v>
      </c>
      <c r="Z2" s="12" t="s">
        <v>211</v>
      </c>
      <c r="AA2" s="12" t="s">
        <v>211</v>
      </c>
      <c r="AB2" s="12" t="s">
        <v>211</v>
      </c>
      <c r="AC2" s="12" t="s">
        <v>211</v>
      </c>
      <c r="AD2" s="12" t="s">
        <v>211</v>
      </c>
      <c r="AE2" s="12" t="s">
        <v>211</v>
      </c>
      <c r="AF2" s="12" t="s">
        <v>211</v>
      </c>
      <c r="AG2" s="12" t="s">
        <v>211</v>
      </c>
      <c r="AH2" s="13" t="s">
        <v>212</v>
      </c>
      <c r="AI2" s="13"/>
      <c r="AJ2" s="15" t="n">
        <v>46213</v>
      </c>
    </row>
    <row r="3" customFormat="false" ht="23.25" hidden="false" customHeight="true" outlineLevel="0" collapsed="false">
      <c r="A3" s="11" t="s">
        <v>213</v>
      </c>
      <c r="B3" s="11" t="s">
        <v>128</v>
      </c>
      <c r="C3" s="11" t="s">
        <v>214</v>
      </c>
      <c r="D3" s="13" t="s">
        <v>215</v>
      </c>
      <c r="E3" s="13" t="s">
        <v>216</v>
      </c>
      <c r="F3" s="11" t="s">
        <v>133</v>
      </c>
      <c r="G3" s="11" t="s">
        <v>198</v>
      </c>
      <c r="H3" s="11" t="s">
        <v>199</v>
      </c>
      <c r="I3" s="12" t="s">
        <v>200</v>
      </c>
      <c r="J3" s="12" t="s">
        <v>217</v>
      </c>
      <c r="K3" s="12" t="s">
        <v>218</v>
      </c>
      <c r="L3" s="14" t="n">
        <v>0.6</v>
      </c>
      <c r="M3" s="11" t="s">
        <v>219</v>
      </c>
      <c r="N3" s="15" t="n">
        <v>46174</v>
      </c>
      <c r="O3" s="15" t="n">
        <v>46295</v>
      </c>
      <c r="P3" s="15"/>
      <c r="Q3" s="13" t="s">
        <v>220</v>
      </c>
      <c r="R3" s="13" t="s">
        <v>221</v>
      </c>
      <c r="S3" s="13" t="s">
        <v>222</v>
      </c>
      <c r="T3" s="13" t="s">
        <v>223</v>
      </c>
      <c r="U3" s="13" t="s">
        <v>224</v>
      </c>
      <c r="V3" s="13" t="s">
        <v>225</v>
      </c>
      <c r="W3" s="11" t="s">
        <v>226</v>
      </c>
      <c r="X3" s="11" t="s">
        <v>227</v>
      </c>
      <c r="Y3" s="12" t="s">
        <v>211</v>
      </c>
      <c r="Z3" s="12" t="s">
        <v>211</v>
      </c>
      <c r="AA3" s="12" t="s">
        <v>211</v>
      </c>
      <c r="AB3" s="12" t="s">
        <v>211</v>
      </c>
      <c r="AC3" s="12" t="s">
        <v>228</v>
      </c>
      <c r="AD3" s="12" t="s">
        <v>228</v>
      </c>
      <c r="AE3" s="12" t="s">
        <v>228</v>
      </c>
      <c r="AF3" s="12" t="s">
        <v>228</v>
      </c>
      <c r="AG3" s="12" t="s">
        <v>228</v>
      </c>
      <c r="AH3" s="13" t="s">
        <v>229</v>
      </c>
      <c r="AI3" s="13" t="s">
        <v>230</v>
      </c>
      <c r="AJ3" s="15" t="n">
        <v>46218</v>
      </c>
    </row>
    <row r="4" customFormat="false" ht="23.25" hidden="false" customHeight="true" outlineLevel="0" collapsed="false">
      <c r="A4" s="11" t="s">
        <v>231</v>
      </c>
      <c r="B4" s="11" t="s">
        <v>128</v>
      </c>
      <c r="C4" s="11" t="s">
        <v>232</v>
      </c>
      <c r="D4" s="13" t="s">
        <v>233</v>
      </c>
      <c r="E4" s="13" t="s">
        <v>234</v>
      </c>
      <c r="F4" s="11" t="s">
        <v>133</v>
      </c>
      <c r="G4" s="11" t="s">
        <v>198</v>
      </c>
      <c r="H4" s="11" t="s">
        <v>235</v>
      </c>
      <c r="I4" s="12" t="s">
        <v>200</v>
      </c>
      <c r="J4" s="12" t="s">
        <v>200</v>
      </c>
      <c r="K4" s="12" t="s">
        <v>218</v>
      </c>
      <c r="L4" s="14" t="n">
        <v>0.35</v>
      </c>
      <c r="M4" s="11" t="s">
        <v>219</v>
      </c>
      <c r="N4" s="15" t="n">
        <v>46188</v>
      </c>
      <c r="O4" s="15" t="n">
        <v>46356</v>
      </c>
      <c r="P4" s="15"/>
      <c r="Q4" s="13" t="s">
        <v>236</v>
      </c>
      <c r="R4" s="13" t="s">
        <v>237</v>
      </c>
      <c r="S4" s="13" t="s">
        <v>238</v>
      </c>
      <c r="T4" s="13" t="s">
        <v>223</v>
      </c>
      <c r="U4" s="13" t="s">
        <v>239</v>
      </c>
      <c r="V4" s="13" t="s">
        <v>240</v>
      </c>
      <c r="W4" s="11" t="s">
        <v>241</v>
      </c>
      <c r="X4" s="11" t="s">
        <v>242</v>
      </c>
      <c r="Y4" s="12" t="s">
        <v>211</v>
      </c>
      <c r="Z4" s="12" t="s">
        <v>211</v>
      </c>
      <c r="AA4" s="12" t="s">
        <v>211</v>
      </c>
      <c r="AB4" s="12" t="s">
        <v>228</v>
      </c>
      <c r="AC4" s="12" t="s">
        <v>228</v>
      </c>
      <c r="AD4" s="12" t="s">
        <v>228</v>
      </c>
      <c r="AE4" s="12" t="s">
        <v>228</v>
      </c>
      <c r="AF4" s="12" t="s">
        <v>228</v>
      </c>
      <c r="AG4" s="12" t="s">
        <v>228</v>
      </c>
      <c r="AH4" s="13" t="s">
        <v>243</v>
      </c>
      <c r="AI4" s="13"/>
      <c r="AJ4" s="15" t="n">
        <v>46223</v>
      </c>
    </row>
    <row r="5" customFormat="false" ht="34.5" hidden="false" customHeight="true" outlineLevel="0" collapsed="false">
      <c r="A5" s="11" t="s">
        <v>244</v>
      </c>
      <c r="B5" s="11" t="s">
        <v>104</v>
      </c>
      <c r="C5" s="11" t="s">
        <v>245</v>
      </c>
      <c r="D5" s="13" t="s">
        <v>246</v>
      </c>
      <c r="E5" s="13" t="s">
        <v>247</v>
      </c>
      <c r="F5" s="11" t="s">
        <v>108</v>
      </c>
      <c r="G5" s="11" t="s">
        <v>248</v>
      </c>
      <c r="H5" s="11" t="s">
        <v>249</v>
      </c>
      <c r="I5" s="12" t="s">
        <v>217</v>
      </c>
      <c r="J5" s="12" t="s">
        <v>200</v>
      </c>
      <c r="K5" s="12" t="s">
        <v>218</v>
      </c>
      <c r="L5" s="14" t="n">
        <v>0.45</v>
      </c>
      <c r="M5" s="11" t="s">
        <v>219</v>
      </c>
      <c r="N5" s="15" t="n">
        <v>46146</v>
      </c>
      <c r="O5" s="15" t="n">
        <v>46325</v>
      </c>
      <c r="P5" s="15"/>
      <c r="Q5" s="13" t="s">
        <v>250</v>
      </c>
      <c r="R5" s="13" t="s">
        <v>251</v>
      </c>
      <c r="S5" s="13" t="s">
        <v>252</v>
      </c>
      <c r="T5" s="13" t="s">
        <v>253</v>
      </c>
      <c r="U5" s="13" t="s">
        <v>113</v>
      </c>
      <c r="V5" s="13" t="s">
        <v>254</v>
      </c>
      <c r="W5" s="11" t="s">
        <v>255</v>
      </c>
      <c r="X5" s="11" t="s">
        <v>256</v>
      </c>
      <c r="Y5" s="12" t="s">
        <v>211</v>
      </c>
      <c r="Z5" s="12" t="s">
        <v>211</v>
      </c>
      <c r="AA5" s="12" t="s">
        <v>211</v>
      </c>
      <c r="AB5" s="12" t="s">
        <v>211</v>
      </c>
      <c r="AC5" s="12" t="s">
        <v>228</v>
      </c>
      <c r="AD5" s="12" t="s">
        <v>228</v>
      </c>
      <c r="AE5" s="12" t="s">
        <v>228</v>
      </c>
      <c r="AF5" s="12" t="s">
        <v>228</v>
      </c>
      <c r="AG5" s="12" t="s">
        <v>228</v>
      </c>
      <c r="AH5" s="13" t="s">
        <v>257</v>
      </c>
      <c r="AI5" s="13"/>
      <c r="AJ5" s="15" t="n">
        <v>46215</v>
      </c>
    </row>
    <row r="6" customFormat="false" ht="23.25" hidden="false" customHeight="true" outlineLevel="0" collapsed="false">
      <c r="A6" s="11" t="s">
        <v>258</v>
      </c>
      <c r="B6" s="11" t="s">
        <v>116</v>
      </c>
      <c r="C6" s="11" t="s">
        <v>259</v>
      </c>
      <c r="D6" s="13" t="s">
        <v>260</v>
      </c>
      <c r="E6" s="13" t="s">
        <v>261</v>
      </c>
      <c r="F6" s="11" t="s">
        <v>120</v>
      </c>
      <c r="G6" s="11" t="s">
        <v>262</v>
      </c>
      <c r="H6" s="11" t="s">
        <v>249</v>
      </c>
      <c r="I6" s="12" t="s">
        <v>217</v>
      </c>
      <c r="J6" s="12" t="s">
        <v>217</v>
      </c>
      <c r="K6" s="12" t="s">
        <v>263</v>
      </c>
      <c r="L6" s="14" t="n">
        <v>0</v>
      </c>
      <c r="M6" s="11" t="s">
        <v>264</v>
      </c>
      <c r="N6" s="15"/>
      <c r="O6" s="15" t="n">
        <v>46477</v>
      </c>
      <c r="P6" s="15"/>
      <c r="Q6" s="13" t="s">
        <v>265</v>
      </c>
      <c r="R6" s="13" t="s">
        <v>266</v>
      </c>
      <c r="S6" s="13" t="s">
        <v>267</v>
      </c>
      <c r="T6" s="13" t="s">
        <v>268</v>
      </c>
      <c r="U6" s="13" t="s">
        <v>125</v>
      </c>
      <c r="V6" s="13" t="s">
        <v>126</v>
      </c>
      <c r="W6" s="11"/>
      <c r="X6" s="11" t="s">
        <v>269</v>
      </c>
      <c r="Y6" s="12" t="s">
        <v>228</v>
      </c>
      <c r="Z6" s="12" t="s">
        <v>228</v>
      </c>
      <c r="AA6" s="12" t="s">
        <v>228</v>
      </c>
      <c r="AB6" s="12" t="s">
        <v>228</v>
      </c>
      <c r="AC6" s="12" t="s">
        <v>228</v>
      </c>
      <c r="AD6" s="12" t="s">
        <v>228</v>
      </c>
      <c r="AE6" s="12" t="s">
        <v>228</v>
      </c>
      <c r="AF6" s="12" t="s">
        <v>228</v>
      </c>
      <c r="AG6" s="12" t="s">
        <v>228</v>
      </c>
      <c r="AH6" s="13" t="s">
        <v>270</v>
      </c>
      <c r="AI6" s="13"/>
      <c r="AJ6" s="15" t="n">
        <v>46204</v>
      </c>
    </row>
    <row r="7" customFormat="false" ht="34.5" hidden="false" customHeight="true" outlineLevel="0" collapsed="false">
      <c r="A7" s="11" t="s">
        <v>271</v>
      </c>
      <c r="B7" s="11" t="s">
        <v>66</v>
      </c>
      <c r="C7" s="11" t="s">
        <v>272</v>
      </c>
      <c r="D7" s="13" t="s">
        <v>273</v>
      </c>
      <c r="E7" s="13" t="s">
        <v>274</v>
      </c>
      <c r="F7" s="11" t="s">
        <v>71</v>
      </c>
      <c r="G7" s="11" t="s">
        <v>275</v>
      </c>
      <c r="H7" s="11" t="s">
        <v>276</v>
      </c>
      <c r="I7" s="12" t="s">
        <v>200</v>
      </c>
      <c r="J7" s="12" t="s">
        <v>217</v>
      </c>
      <c r="K7" s="12" t="s">
        <v>201</v>
      </c>
      <c r="L7" s="14" t="n">
        <v>1</v>
      </c>
      <c r="M7" s="11" t="s">
        <v>202</v>
      </c>
      <c r="N7" s="15" t="n">
        <v>45901</v>
      </c>
      <c r="O7" s="15" t="n">
        <v>46080</v>
      </c>
      <c r="P7" s="15" t="n">
        <v>46073</v>
      </c>
      <c r="Q7" s="13" t="s">
        <v>277</v>
      </c>
      <c r="R7" s="13" t="s">
        <v>278</v>
      </c>
      <c r="S7" s="13" t="s">
        <v>279</v>
      </c>
      <c r="T7" s="13" t="s">
        <v>280</v>
      </c>
      <c r="U7" s="13" t="s">
        <v>281</v>
      </c>
      <c r="V7" s="13" t="s">
        <v>282</v>
      </c>
      <c r="W7" s="11" t="s">
        <v>283</v>
      </c>
      <c r="X7" s="11" t="s">
        <v>284</v>
      </c>
      <c r="Y7" s="12" t="s">
        <v>211</v>
      </c>
      <c r="Z7" s="12" t="s">
        <v>211</v>
      </c>
      <c r="AA7" s="12" t="s">
        <v>211</v>
      </c>
      <c r="AB7" s="12" t="s">
        <v>211</v>
      </c>
      <c r="AC7" s="12" t="s">
        <v>211</v>
      </c>
      <c r="AD7" s="12" t="s">
        <v>211</v>
      </c>
      <c r="AE7" s="12" t="s">
        <v>211</v>
      </c>
      <c r="AF7" s="12" t="s">
        <v>211</v>
      </c>
      <c r="AG7" s="12" t="s">
        <v>211</v>
      </c>
      <c r="AH7" s="13" t="s">
        <v>285</v>
      </c>
      <c r="AI7" s="13"/>
      <c r="AJ7" s="15" t="n">
        <v>46203</v>
      </c>
    </row>
    <row r="8" customFormat="false" ht="23.25" hidden="false" customHeight="true" outlineLevel="0" collapsed="false">
      <c r="A8" s="11" t="s">
        <v>286</v>
      </c>
      <c r="B8" s="11" t="s">
        <v>142</v>
      </c>
      <c r="C8" s="11" t="s">
        <v>287</v>
      </c>
      <c r="D8" s="13" t="s">
        <v>288</v>
      </c>
      <c r="E8" s="13" t="s">
        <v>289</v>
      </c>
      <c r="F8" s="11" t="s">
        <v>146</v>
      </c>
      <c r="G8" s="11" t="s">
        <v>290</v>
      </c>
      <c r="H8" s="11" t="s">
        <v>235</v>
      </c>
      <c r="I8" s="12" t="s">
        <v>291</v>
      </c>
      <c r="J8" s="12" t="s">
        <v>291</v>
      </c>
      <c r="K8" s="12" t="s">
        <v>263</v>
      </c>
      <c r="L8" s="14" t="n">
        <v>0</v>
      </c>
      <c r="M8" s="11" t="s">
        <v>264</v>
      </c>
      <c r="N8" s="15"/>
      <c r="O8" s="15" t="n">
        <v>46568</v>
      </c>
      <c r="P8" s="15"/>
      <c r="Q8" s="13" t="s">
        <v>292</v>
      </c>
      <c r="R8" s="13" t="s">
        <v>293</v>
      </c>
      <c r="S8" s="13" t="s">
        <v>294</v>
      </c>
      <c r="T8" s="13" t="s">
        <v>295</v>
      </c>
      <c r="U8" s="13" t="s">
        <v>151</v>
      </c>
      <c r="V8" s="13" t="s">
        <v>152</v>
      </c>
      <c r="W8" s="11"/>
      <c r="X8" s="11" t="s">
        <v>296</v>
      </c>
      <c r="Y8" s="12" t="s">
        <v>228</v>
      </c>
      <c r="Z8" s="12" t="s">
        <v>228</v>
      </c>
      <c r="AA8" s="12" t="s">
        <v>228</v>
      </c>
      <c r="AB8" s="12" t="s">
        <v>228</v>
      </c>
      <c r="AC8" s="12" t="s">
        <v>228</v>
      </c>
      <c r="AD8" s="12" t="s">
        <v>228</v>
      </c>
      <c r="AE8" s="12" t="s">
        <v>228</v>
      </c>
      <c r="AF8" s="12" t="s">
        <v>228</v>
      </c>
      <c r="AG8" s="12" t="s">
        <v>228</v>
      </c>
      <c r="AH8" s="13" t="s">
        <v>297</v>
      </c>
      <c r="AI8" s="13"/>
      <c r="AJ8" s="15" t="n">
        <v>46188</v>
      </c>
    </row>
  </sheetData>
  <autoFilter ref="A1:AJ1"/>
  <dataValidations count="13">
    <dataValidation allowBlank="true" errorStyle="stop" operator="between" showDropDown="false" showErrorMessage="false" showInputMessage="false" sqref="I2:I300" type="list">
      <formula1>Listas!$D$2:$D$4</formula1>
      <formula2>0</formula2>
    </dataValidation>
    <dataValidation allowBlank="true" errorStyle="stop" operator="between" showDropDown="false" showErrorMessage="false" showInputMessage="false" sqref="J2:J300" type="list">
      <formula1>Listas!$E$2:$E$4</formula1>
      <formula2>0</formula2>
    </dataValidation>
    <dataValidation allowBlank="true" errorStyle="stop" operator="between" showDropDown="false" showErrorMessage="false" showInputMessage="false" sqref="K2:K300" type="list">
      <formula1>Listas!$B$2:$B$5</formula1>
      <formula2>0</formula2>
    </dataValidation>
    <dataValidation allowBlank="true" errorStyle="stop" operator="between" showDropDown="false" showErrorMessage="false" showInputMessage="false" sqref="M2:M300" type="list">
      <formula1>Listas!$C$2:$C$6</formula1>
      <formula2>0</formula2>
    </dataValidation>
    <dataValidation allowBlank="true" errorStyle="stop" operator="between" showDropDown="false" showErrorMessage="false" showInputMessage="false" sqref="Y2:Y300" type="list">
      <formula1>Listas!$F$2:$F$3</formula1>
      <formula2>0</formula2>
    </dataValidation>
    <dataValidation allowBlank="true" errorStyle="stop" operator="between" showDropDown="false" showErrorMessage="false" showInputMessage="false" sqref="Z2:Z300" type="list">
      <formula1>Listas!$F$2:$F$3</formula1>
      <formula2>0</formula2>
    </dataValidation>
    <dataValidation allowBlank="true" errorStyle="stop" operator="between" showDropDown="false" showErrorMessage="false" showInputMessage="false" sqref="AA2:AA300" type="list">
      <formula1>Listas!$F$2:$F$3</formula1>
      <formula2>0</formula2>
    </dataValidation>
    <dataValidation allowBlank="true" errorStyle="stop" operator="between" showDropDown="false" showErrorMessage="false" showInputMessage="false" sqref="AB2:AB300" type="list">
      <formula1>Listas!$F$2:$F$3</formula1>
      <formula2>0</formula2>
    </dataValidation>
    <dataValidation allowBlank="true" errorStyle="stop" operator="between" showDropDown="false" showErrorMessage="false" showInputMessage="false" sqref="AC2:AC300" type="list">
      <formula1>Listas!$F$2:$F$3</formula1>
      <formula2>0</formula2>
    </dataValidation>
    <dataValidation allowBlank="true" errorStyle="stop" operator="between" showDropDown="false" showErrorMessage="false" showInputMessage="false" sqref="AD2:AD300" type="list">
      <formula1>Listas!$F$2:$F$3</formula1>
      <formula2>0</formula2>
    </dataValidation>
    <dataValidation allowBlank="true" errorStyle="stop" operator="between" showDropDown="false" showErrorMessage="false" showInputMessage="false" sqref="AE2:AE300" type="list">
      <formula1>Listas!$F$2:$F$3</formula1>
      <formula2>0</formula2>
    </dataValidation>
    <dataValidation allowBlank="true" errorStyle="stop" operator="between" showDropDown="false" showErrorMessage="false" showInputMessage="false" sqref="AF2:AF300" type="list">
      <formula1>Listas!$F$2:$F$3</formula1>
      <formula2>0</formula2>
    </dataValidation>
    <dataValidation allowBlank="true" errorStyle="stop" operator="between" showDropDown="false" showErrorMessage="false" showInputMessage="false" sqref="AG2:AG300" type="list">
      <formula1>Listas!$F$2:$F$3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0"/>
    <col collapsed="false" customWidth="true" hidden="false" outlineLevel="0" max="3" min="3" style="1" width="7"/>
    <col collapsed="false" customWidth="true" hidden="false" outlineLevel="0" max="4" min="4" style="1" width="34"/>
    <col collapsed="false" customWidth="true" hidden="false" outlineLevel="0" max="5" min="5" style="1" width="46"/>
    <col collapsed="false" customWidth="true" hidden="false" outlineLevel="0" max="6" min="6" style="1" width="40"/>
    <col collapsed="false" customWidth="true" hidden="false" outlineLevel="0" max="7" min="7" style="1" width="16"/>
    <col collapsed="false" customWidth="true" hidden="false" outlineLevel="0" max="8" min="8" style="1" width="24"/>
    <col collapsed="false" customWidth="true" hidden="false" outlineLevel="0" max="9" min="9" style="1" width="40"/>
    <col collapsed="false" customWidth="true" hidden="false" outlineLevel="0" max="10" min="10" style="1" width="28"/>
    <col collapsed="false" customWidth="true" hidden="false" outlineLevel="0" max="11" min="11" style="1" width="30"/>
  </cols>
  <sheetData>
    <row r="1" customFormat="false" ht="30" hidden="false" customHeight="true" outlineLevel="0" collapsed="false">
      <c r="A1" s="10" t="s">
        <v>51</v>
      </c>
      <c r="B1" s="10" t="s">
        <v>298</v>
      </c>
      <c r="C1" s="10" t="s">
        <v>54</v>
      </c>
      <c r="D1" s="10" t="s">
        <v>52</v>
      </c>
      <c r="E1" s="10" t="s">
        <v>55</v>
      </c>
      <c r="F1" s="10" t="s">
        <v>56</v>
      </c>
      <c r="G1" s="10" t="s">
        <v>57</v>
      </c>
      <c r="H1" s="10" t="s">
        <v>299</v>
      </c>
      <c r="I1" s="10" t="s">
        <v>59</v>
      </c>
      <c r="J1" s="10" t="s">
        <v>62</v>
      </c>
      <c r="K1" s="10" t="s">
        <v>64</v>
      </c>
    </row>
    <row r="2" customFormat="false" ht="23.25" hidden="false" customHeight="true" outlineLevel="0" collapsed="false">
      <c r="A2" s="11" t="s">
        <v>300</v>
      </c>
      <c r="B2" s="11" t="s">
        <v>194</v>
      </c>
      <c r="C2" s="12" t="n">
        <v>1</v>
      </c>
      <c r="D2" s="11" t="s">
        <v>301</v>
      </c>
      <c r="E2" s="13" t="s">
        <v>302</v>
      </c>
      <c r="F2" s="13" t="s">
        <v>303</v>
      </c>
      <c r="G2" s="11" t="s">
        <v>133</v>
      </c>
      <c r="H2" s="11" t="s">
        <v>198</v>
      </c>
      <c r="I2" s="13" t="s">
        <v>304</v>
      </c>
      <c r="J2" s="13" t="s">
        <v>239</v>
      </c>
      <c r="K2" s="11" t="s">
        <v>305</v>
      </c>
    </row>
    <row r="3" customFormat="false" ht="23.25" hidden="false" customHeight="true" outlineLevel="0" collapsed="false">
      <c r="A3" s="11" t="s">
        <v>306</v>
      </c>
      <c r="B3" s="11" t="s">
        <v>194</v>
      </c>
      <c r="C3" s="12" t="n">
        <v>2</v>
      </c>
      <c r="D3" s="11" t="s">
        <v>307</v>
      </c>
      <c r="E3" s="13" t="s">
        <v>308</v>
      </c>
      <c r="F3" s="13" t="s">
        <v>309</v>
      </c>
      <c r="G3" s="11" t="s">
        <v>133</v>
      </c>
      <c r="H3" s="11" t="s">
        <v>198</v>
      </c>
      <c r="I3" s="13" t="s">
        <v>310</v>
      </c>
      <c r="J3" s="13" t="s">
        <v>311</v>
      </c>
      <c r="K3" s="11" t="s">
        <v>312</v>
      </c>
    </row>
    <row r="4" customFormat="false" ht="34.5" hidden="false" customHeight="true" outlineLevel="0" collapsed="false">
      <c r="A4" s="11" t="s">
        <v>313</v>
      </c>
      <c r="B4" s="11" t="s">
        <v>194</v>
      </c>
      <c r="C4" s="12" t="n">
        <v>3</v>
      </c>
      <c r="D4" s="11" t="s">
        <v>314</v>
      </c>
      <c r="E4" s="13" t="s">
        <v>315</v>
      </c>
      <c r="F4" s="13" t="s">
        <v>316</v>
      </c>
      <c r="G4" s="11" t="s">
        <v>133</v>
      </c>
      <c r="H4" s="11" t="s">
        <v>198</v>
      </c>
      <c r="I4" s="13" t="s">
        <v>317</v>
      </c>
      <c r="J4" s="13" t="s">
        <v>318</v>
      </c>
      <c r="K4" s="11" t="s">
        <v>319</v>
      </c>
    </row>
    <row r="5" customFormat="false" ht="23.25" hidden="false" customHeight="true" outlineLevel="0" collapsed="false">
      <c r="A5" s="11" t="s">
        <v>320</v>
      </c>
      <c r="B5" s="11" t="s">
        <v>213</v>
      </c>
      <c r="C5" s="12" t="n">
        <v>1</v>
      </c>
      <c r="D5" s="11" t="s">
        <v>321</v>
      </c>
      <c r="E5" s="13" t="s">
        <v>322</v>
      </c>
      <c r="F5" s="13" t="s">
        <v>323</v>
      </c>
      <c r="G5" s="11" t="s">
        <v>133</v>
      </c>
      <c r="H5" s="11" t="s">
        <v>198</v>
      </c>
      <c r="I5" s="13" t="s">
        <v>324</v>
      </c>
      <c r="J5" s="13" t="s">
        <v>325</v>
      </c>
      <c r="K5" s="11" t="s">
        <v>326</v>
      </c>
    </row>
    <row r="6" customFormat="false" ht="23.25" hidden="false" customHeight="true" outlineLevel="0" collapsed="false">
      <c r="A6" s="11" t="s">
        <v>327</v>
      </c>
      <c r="B6" s="11" t="s">
        <v>244</v>
      </c>
      <c r="C6" s="12" t="n">
        <v>1</v>
      </c>
      <c r="D6" s="11" t="s">
        <v>328</v>
      </c>
      <c r="E6" s="13" t="s">
        <v>329</v>
      </c>
      <c r="F6" s="13" t="s">
        <v>330</v>
      </c>
      <c r="G6" s="11" t="s">
        <v>108</v>
      </c>
      <c r="H6" s="11" t="s">
        <v>248</v>
      </c>
      <c r="I6" s="13" t="s">
        <v>331</v>
      </c>
      <c r="J6" s="13" t="s">
        <v>332</v>
      </c>
      <c r="K6" s="11" t="s">
        <v>333</v>
      </c>
    </row>
  </sheetData>
  <autoFilter ref="A1:K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3"/>
    <col collapsed="false" customWidth="true" hidden="false" outlineLevel="0" max="3" min="3" style="1" width="7"/>
    <col collapsed="false" customWidth="true" hidden="false" outlineLevel="0" max="4" min="4" style="1" width="36"/>
    <col collapsed="false" customWidth="true" hidden="false" outlineLevel="0" max="5" min="5" style="1" width="46"/>
    <col collapsed="false" customWidth="true" hidden="false" outlineLevel="0" max="6" min="6" style="1" width="24"/>
    <col collapsed="false" customWidth="true" hidden="false" outlineLevel="0" max="8" min="7" style="1" width="38"/>
    <col collapsed="false" customWidth="true" hidden="false" outlineLevel="0" max="9" min="9" style="1" width="24"/>
    <col collapsed="false" customWidth="true" hidden="false" outlineLevel="0" max="10" min="10" style="1" width="14"/>
    <col collapsed="false" customWidth="true" hidden="false" outlineLevel="0" max="11" min="11" style="1" width="30"/>
  </cols>
  <sheetData>
    <row r="1" customFormat="false" ht="30" hidden="false" customHeight="true" outlineLevel="0" collapsed="false">
      <c r="A1" s="10" t="s">
        <v>51</v>
      </c>
      <c r="B1" s="10" t="s">
        <v>334</v>
      </c>
      <c r="C1" s="10" t="s">
        <v>54</v>
      </c>
      <c r="D1" s="10" t="s">
        <v>52</v>
      </c>
      <c r="E1" s="10" t="s">
        <v>55</v>
      </c>
      <c r="F1" s="10" t="s">
        <v>335</v>
      </c>
      <c r="G1" s="10" t="s">
        <v>177</v>
      </c>
      <c r="H1" s="10" t="s">
        <v>178</v>
      </c>
      <c r="I1" s="10" t="s">
        <v>62</v>
      </c>
      <c r="J1" s="10" t="s">
        <v>336</v>
      </c>
      <c r="K1" s="10" t="s">
        <v>337</v>
      </c>
    </row>
    <row r="2" customFormat="false" ht="23.25" hidden="false" customHeight="true" outlineLevel="0" collapsed="false">
      <c r="A2" s="11" t="s">
        <v>338</v>
      </c>
      <c r="B2" s="11" t="s">
        <v>300</v>
      </c>
      <c r="C2" s="12" t="n">
        <v>1</v>
      </c>
      <c r="D2" s="11" t="s">
        <v>339</v>
      </c>
      <c r="E2" s="13" t="s">
        <v>340</v>
      </c>
      <c r="F2" s="11" t="s">
        <v>341</v>
      </c>
      <c r="G2" s="13" t="s">
        <v>342</v>
      </c>
      <c r="H2" s="13" t="s">
        <v>343</v>
      </c>
      <c r="I2" s="13" t="s">
        <v>311</v>
      </c>
      <c r="J2" s="11" t="s">
        <v>344</v>
      </c>
      <c r="K2" s="13" t="s">
        <v>345</v>
      </c>
    </row>
    <row r="3" customFormat="false" ht="23.25" hidden="false" customHeight="true" outlineLevel="0" collapsed="false">
      <c r="A3" s="11" t="s">
        <v>346</v>
      </c>
      <c r="B3" s="11" t="s">
        <v>300</v>
      </c>
      <c r="C3" s="12" t="n">
        <v>2</v>
      </c>
      <c r="D3" s="11" t="s">
        <v>347</v>
      </c>
      <c r="E3" s="13" t="s">
        <v>348</v>
      </c>
      <c r="F3" s="11" t="s">
        <v>349</v>
      </c>
      <c r="G3" s="13" t="s">
        <v>350</v>
      </c>
      <c r="H3" s="13" t="s">
        <v>351</v>
      </c>
      <c r="I3" s="13" t="s">
        <v>352</v>
      </c>
      <c r="J3" s="11" t="s">
        <v>353</v>
      </c>
      <c r="K3" s="13" t="s">
        <v>354</v>
      </c>
    </row>
    <row r="4" customFormat="false" ht="23.25" hidden="false" customHeight="true" outlineLevel="0" collapsed="false">
      <c r="A4" s="11" t="s">
        <v>355</v>
      </c>
      <c r="B4" s="11" t="s">
        <v>300</v>
      </c>
      <c r="C4" s="12" t="n">
        <v>3</v>
      </c>
      <c r="D4" s="11" t="s">
        <v>356</v>
      </c>
      <c r="E4" s="13" t="s">
        <v>357</v>
      </c>
      <c r="F4" s="11" t="s">
        <v>349</v>
      </c>
      <c r="G4" s="13" t="s">
        <v>358</v>
      </c>
      <c r="H4" s="13" t="s">
        <v>359</v>
      </c>
      <c r="I4" s="13" t="s">
        <v>311</v>
      </c>
      <c r="J4" s="11" t="s">
        <v>344</v>
      </c>
      <c r="K4" s="13"/>
    </row>
    <row r="5" customFormat="false" ht="23.25" hidden="false" customHeight="true" outlineLevel="0" collapsed="false">
      <c r="A5" s="11" t="s">
        <v>360</v>
      </c>
      <c r="B5" s="11" t="s">
        <v>300</v>
      </c>
      <c r="C5" s="12" t="n">
        <v>4</v>
      </c>
      <c r="D5" s="11" t="s">
        <v>361</v>
      </c>
      <c r="E5" s="13" t="s">
        <v>362</v>
      </c>
      <c r="F5" s="11" t="s">
        <v>363</v>
      </c>
      <c r="G5" s="13" t="s">
        <v>364</v>
      </c>
      <c r="H5" s="13" t="s">
        <v>365</v>
      </c>
      <c r="I5" s="13" t="s">
        <v>239</v>
      </c>
      <c r="J5" s="11" t="s">
        <v>366</v>
      </c>
      <c r="K5" s="13" t="s">
        <v>354</v>
      </c>
    </row>
    <row r="6" customFormat="false" ht="23.25" hidden="false" customHeight="true" outlineLevel="0" collapsed="false">
      <c r="A6" s="11" t="s">
        <v>367</v>
      </c>
      <c r="B6" s="11" t="s">
        <v>306</v>
      </c>
      <c r="C6" s="12" t="n">
        <v>1</v>
      </c>
      <c r="D6" s="11" t="s">
        <v>368</v>
      </c>
      <c r="E6" s="13" t="s">
        <v>369</v>
      </c>
      <c r="F6" s="11" t="s">
        <v>349</v>
      </c>
      <c r="G6" s="13" t="s">
        <v>370</v>
      </c>
      <c r="H6" s="13" t="s">
        <v>371</v>
      </c>
      <c r="I6" s="13" t="s">
        <v>311</v>
      </c>
      <c r="J6" s="11" t="s">
        <v>353</v>
      </c>
      <c r="K6" s="13" t="s">
        <v>372</v>
      </c>
    </row>
    <row r="7" customFormat="false" ht="23.25" hidden="false" customHeight="true" outlineLevel="0" collapsed="false">
      <c r="A7" s="11" t="s">
        <v>373</v>
      </c>
      <c r="B7" s="11" t="s">
        <v>306</v>
      </c>
      <c r="C7" s="12" t="n">
        <v>2</v>
      </c>
      <c r="D7" s="11" t="s">
        <v>374</v>
      </c>
      <c r="E7" s="13" t="s">
        <v>375</v>
      </c>
      <c r="F7" s="11" t="s">
        <v>376</v>
      </c>
      <c r="G7" s="13" t="s">
        <v>371</v>
      </c>
      <c r="H7" s="13" t="s">
        <v>377</v>
      </c>
      <c r="I7" s="13" t="s">
        <v>311</v>
      </c>
      <c r="J7" s="11" t="s">
        <v>378</v>
      </c>
      <c r="K7" s="13" t="s">
        <v>379</v>
      </c>
    </row>
    <row r="8" customFormat="false" ht="23.25" hidden="false" customHeight="true" outlineLevel="0" collapsed="false">
      <c r="A8" s="11" t="s">
        <v>380</v>
      </c>
      <c r="B8" s="11" t="s">
        <v>313</v>
      </c>
      <c r="C8" s="12" t="n">
        <v>1</v>
      </c>
      <c r="D8" s="11" t="s">
        <v>381</v>
      </c>
      <c r="E8" s="13" t="s">
        <v>382</v>
      </c>
      <c r="F8" s="11" t="s">
        <v>349</v>
      </c>
      <c r="G8" s="13" t="s">
        <v>383</v>
      </c>
      <c r="H8" s="13" t="s">
        <v>384</v>
      </c>
      <c r="I8" s="13" t="s">
        <v>385</v>
      </c>
      <c r="J8" s="11" t="s">
        <v>353</v>
      </c>
      <c r="K8" s="13" t="s">
        <v>386</v>
      </c>
    </row>
    <row r="9" customFormat="false" ht="23.25" hidden="false" customHeight="true" outlineLevel="0" collapsed="false">
      <c r="A9" s="11" t="s">
        <v>387</v>
      </c>
      <c r="B9" s="11" t="s">
        <v>313</v>
      </c>
      <c r="C9" s="12" t="n">
        <v>2</v>
      </c>
      <c r="D9" s="11" t="s">
        <v>388</v>
      </c>
      <c r="E9" s="13" t="s">
        <v>389</v>
      </c>
      <c r="F9" s="11" t="s">
        <v>349</v>
      </c>
      <c r="G9" s="13" t="s">
        <v>390</v>
      </c>
      <c r="H9" s="13" t="s">
        <v>391</v>
      </c>
      <c r="I9" s="13" t="s">
        <v>311</v>
      </c>
      <c r="J9" s="11" t="s">
        <v>392</v>
      </c>
      <c r="K9" s="13" t="s">
        <v>393</v>
      </c>
    </row>
    <row r="10" customFormat="false" ht="23.25" hidden="false" customHeight="true" outlineLevel="0" collapsed="false">
      <c r="A10" s="11" t="s">
        <v>394</v>
      </c>
      <c r="B10" s="11" t="s">
        <v>320</v>
      </c>
      <c r="C10" s="12" t="n">
        <v>1</v>
      </c>
      <c r="D10" s="11" t="s">
        <v>395</v>
      </c>
      <c r="E10" s="13" t="s">
        <v>396</v>
      </c>
      <c r="F10" s="11" t="s">
        <v>397</v>
      </c>
      <c r="G10" s="13" t="s">
        <v>398</v>
      </c>
      <c r="H10" s="13" t="s">
        <v>399</v>
      </c>
      <c r="I10" s="13" t="s">
        <v>400</v>
      </c>
      <c r="J10" s="11" t="s">
        <v>401</v>
      </c>
      <c r="K10" s="13" t="s">
        <v>402</v>
      </c>
    </row>
    <row r="11" customFormat="false" ht="23.25" hidden="false" customHeight="true" outlineLevel="0" collapsed="false">
      <c r="A11" s="11" t="s">
        <v>403</v>
      </c>
      <c r="B11" s="11" t="s">
        <v>320</v>
      </c>
      <c r="C11" s="12" t="n">
        <v>2</v>
      </c>
      <c r="D11" s="11" t="s">
        <v>404</v>
      </c>
      <c r="E11" s="13" t="s">
        <v>405</v>
      </c>
      <c r="F11" s="11" t="s">
        <v>406</v>
      </c>
      <c r="G11" s="13" t="s">
        <v>407</v>
      </c>
      <c r="H11" s="13" t="s">
        <v>408</v>
      </c>
      <c r="I11" s="13" t="s">
        <v>325</v>
      </c>
      <c r="J11" s="11" t="s">
        <v>409</v>
      </c>
      <c r="K11" s="13" t="s">
        <v>410</v>
      </c>
    </row>
    <row r="12" customFormat="false" ht="23.25" hidden="false" customHeight="true" outlineLevel="0" collapsed="false">
      <c r="A12" s="11" t="s">
        <v>411</v>
      </c>
      <c r="B12" s="11" t="s">
        <v>327</v>
      </c>
      <c r="C12" s="12" t="n">
        <v>1</v>
      </c>
      <c r="D12" s="11" t="s">
        <v>412</v>
      </c>
      <c r="E12" s="13" t="s">
        <v>413</v>
      </c>
      <c r="F12" s="11" t="s">
        <v>414</v>
      </c>
      <c r="G12" s="13" t="s">
        <v>415</v>
      </c>
      <c r="H12" s="13" t="s">
        <v>416</v>
      </c>
      <c r="I12" s="13" t="s">
        <v>332</v>
      </c>
      <c r="J12" s="11" t="s">
        <v>417</v>
      </c>
      <c r="K12" s="13"/>
    </row>
    <row r="13" customFormat="false" ht="23.25" hidden="false" customHeight="true" outlineLevel="0" collapsed="false">
      <c r="A13" s="11" t="s">
        <v>418</v>
      </c>
      <c r="B13" s="11" t="s">
        <v>327</v>
      </c>
      <c r="C13" s="12" t="n">
        <v>2</v>
      </c>
      <c r="D13" s="11" t="s">
        <v>419</v>
      </c>
      <c r="E13" s="13" t="s">
        <v>420</v>
      </c>
      <c r="F13" s="11" t="s">
        <v>414</v>
      </c>
      <c r="G13" s="13" t="s">
        <v>421</v>
      </c>
      <c r="H13" s="13" t="s">
        <v>422</v>
      </c>
      <c r="I13" s="13" t="s">
        <v>332</v>
      </c>
      <c r="J13" s="11" t="s">
        <v>423</v>
      </c>
      <c r="K13" s="13"/>
    </row>
  </sheetData>
  <autoFilter ref="A1:K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5"/>
    <col collapsed="false" customWidth="true" hidden="false" outlineLevel="0" max="3" min="3" style="1" width="14"/>
    <col collapsed="false" customWidth="true" hidden="false" outlineLevel="0" max="4" min="4" style="1" width="26"/>
    <col collapsed="false" customWidth="true" hidden="false" outlineLevel="0" max="5" min="5" style="1" width="5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9" min="9" style="1" width="44"/>
    <col collapsed="false" customWidth="true" hidden="false" outlineLevel="0" max="10" min="10" style="1" width="30"/>
  </cols>
  <sheetData>
    <row r="1" customFormat="false" ht="30" hidden="false" customHeight="true" outlineLevel="0" collapsed="false">
      <c r="A1" s="10" t="s">
        <v>424</v>
      </c>
      <c r="B1" s="10" t="s">
        <v>425</v>
      </c>
      <c r="C1" s="10" t="s">
        <v>426</v>
      </c>
      <c r="D1" s="10" t="s">
        <v>427</v>
      </c>
      <c r="E1" s="10" t="s">
        <v>428</v>
      </c>
      <c r="F1" s="10" t="s">
        <v>429</v>
      </c>
      <c r="G1" s="10" t="s">
        <v>430</v>
      </c>
      <c r="H1" s="10" t="s">
        <v>431</v>
      </c>
      <c r="I1" s="10" t="s">
        <v>432</v>
      </c>
      <c r="J1" s="10" t="s">
        <v>65</v>
      </c>
    </row>
    <row r="2" customFormat="false" ht="23.25" hidden="false" customHeight="true" outlineLevel="0" collapsed="false">
      <c r="A2" s="11" t="s">
        <v>433</v>
      </c>
      <c r="B2" s="11" t="s">
        <v>298</v>
      </c>
      <c r="C2" s="11" t="s">
        <v>194</v>
      </c>
      <c r="D2" s="11" t="s">
        <v>434</v>
      </c>
      <c r="E2" s="13" t="s">
        <v>435</v>
      </c>
      <c r="F2" s="12" t="s">
        <v>436</v>
      </c>
      <c r="G2" s="15" t="n">
        <v>46160</v>
      </c>
      <c r="H2" s="12" t="s">
        <v>437</v>
      </c>
      <c r="I2" s="13" t="s">
        <v>438</v>
      </c>
      <c r="J2" s="13" t="s">
        <v>439</v>
      </c>
    </row>
    <row r="3" customFormat="false" ht="15" hidden="false" customHeight="true" outlineLevel="0" collapsed="false">
      <c r="A3" s="11" t="s">
        <v>440</v>
      </c>
      <c r="B3" s="11" t="s">
        <v>298</v>
      </c>
      <c r="C3" s="11" t="s">
        <v>194</v>
      </c>
      <c r="D3" s="11" t="s">
        <v>441</v>
      </c>
      <c r="E3" s="13" t="s">
        <v>442</v>
      </c>
      <c r="F3" s="12" t="s">
        <v>443</v>
      </c>
      <c r="G3" s="15" t="n">
        <v>46083</v>
      </c>
      <c r="H3" s="12" t="s">
        <v>437</v>
      </c>
      <c r="I3" s="13" t="s">
        <v>210</v>
      </c>
      <c r="J3" s="13" t="s">
        <v>444</v>
      </c>
    </row>
    <row r="4" customFormat="false" ht="23.25" hidden="false" customHeight="true" outlineLevel="0" collapsed="false">
      <c r="A4" s="11" t="s">
        <v>445</v>
      </c>
      <c r="B4" s="11" t="s">
        <v>298</v>
      </c>
      <c r="C4" s="11" t="s">
        <v>194</v>
      </c>
      <c r="D4" s="11" t="s">
        <v>441</v>
      </c>
      <c r="E4" s="13" t="s">
        <v>446</v>
      </c>
      <c r="F4" s="12" t="s">
        <v>443</v>
      </c>
      <c r="G4" s="15" t="n">
        <v>46146</v>
      </c>
      <c r="H4" s="12" t="s">
        <v>437</v>
      </c>
      <c r="I4" s="13" t="s">
        <v>447</v>
      </c>
      <c r="J4" s="13"/>
    </row>
    <row r="5" customFormat="false" ht="23.25" hidden="false" customHeight="true" outlineLevel="0" collapsed="false">
      <c r="A5" s="11" t="s">
        <v>448</v>
      </c>
      <c r="B5" s="11" t="s">
        <v>298</v>
      </c>
      <c r="C5" s="11" t="s">
        <v>194</v>
      </c>
      <c r="D5" s="11" t="s">
        <v>449</v>
      </c>
      <c r="E5" s="13" t="s">
        <v>450</v>
      </c>
      <c r="F5" s="12" t="s">
        <v>443</v>
      </c>
      <c r="G5" s="15" t="n">
        <v>46034</v>
      </c>
      <c r="H5" s="12" t="s">
        <v>437</v>
      </c>
      <c r="I5" s="13" t="s">
        <v>451</v>
      </c>
      <c r="J5" s="13" t="s">
        <v>452</v>
      </c>
    </row>
    <row r="6" customFormat="false" ht="23.25" hidden="false" customHeight="true" outlineLevel="0" collapsed="false">
      <c r="A6" s="11" t="s">
        <v>453</v>
      </c>
      <c r="B6" s="11" t="s">
        <v>298</v>
      </c>
      <c r="C6" s="11" t="s">
        <v>194</v>
      </c>
      <c r="D6" s="11" t="s">
        <v>454</v>
      </c>
      <c r="E6" s="13" t="s">
        <v>455</v>
      </c>
      <c r="F6" s="12" t="s">
        <v>443</v>
      </c>
      <c r="G6" s="15" t="n">
        <v>46125</v>
      </c>
      <c r="H6" s="12" t="s">
        <v>437</v>
      </c>
      <c r="I6" s="13" t="s">
        <v>456</v>
      </c>
      <c r="J6" s="13"/>
    </row>
    <row r="7" customFormat="false" ht="15" hidden="false" customHeight="true" outlineLevel="0" collapsed="false">
      <c r="A7" s="11" t="s">
        <v>457</v>
      </c>
      <c r="B7" s="11" t="s">
        <v>334</v>
      </c>
      <c r="C7" s="11" t="s">
        <v>300</v>
      </c>
      <c r="D7" s="11" t="s">
        <v>458</v>
      </c>
      <c r="E7" s="13" t="s">
        <v>459</v>
      </c>
      <c r="F7" s="12" t="s">
        <v>460</v>
      </c>
      <c r="G7" s="15" t="n">
        <v>46063</v>
      </c>
      <c r="H7" s="12" t="s">
        <v>437</v>
      </c>
      <c r="I7" s="13" t="s">
        <v>461</v>
      </c>
      <c r="J7" s="13"/>
    </row>
    <row r="8" customFormat="false" ht="23.25" hidden="false" customHeight="true" outlineLevel="0" collapsed="false">
      <c r="A8" s="11" t="s">
        <v>462</v>
      </c>
      <c r="B8" s="11" t="s">
        <v>334</v>
      </c>
      <c r="C8" s="11" t="s">
        <v>313</v>
      </c>
      <c r="D8" s="11" t="s">
        <v>434</v>
      </c>
      <c r="E8" s="13" t="s">
        <v>463</v>
      </c>
      <c r="F8" s="12" t="s">
        <v>464</v>
      </c>
      <c r="G8" s="15" t="n">
        <v>46139</v>
      </c>
      <c r="H8" s="12" t="s">
        <v>437</v>
      </c>
      <c r="I8" s="13" t="s">
        <v>465</v>
      </c>
      <c r="J8" s="13"/>
    </row>
    <row r="9" customFormat="false" ht="15" hidden="false" customHeight="true" outlineLevel="0" collapsed="false">
      <c r="A9" s="11" t="s">
        <v>466</v>
      </c>
      <c r="B9" s="11" t="s">
        <v>166</v>
      </c>
      <c r="C9" s="11" t="s">
        <v>128</v>
      </c>
      <c r="D9" s="11" t="s">
        <v>467</v>
      </c>
      <c r="E9" s="13" t="s">
        <v>468</v>
      </c>
      <c r="F9" s="12" t="s">
        <v>469</v>
      </c>
      <c r="G9" s="15" t="n">
        <v>45616</v>
      </c>
      <c r="H9" s="12" t="s">
        <v>437</v>
      </c>
      <c r="I9" s="13" t="s">
        <v>470</v>
      </c>
      <c r="J9" s="13"/>
    </row>
    <row r="10" customFormat="false" ht="23.25" hidden="false" customHeight="true" outlineLevel="0" collapsed="false">
      <c r="A10" s="11" t="s">
        <v>471</v>
      </c>
      <c r="B10" s="11" t="s">
        <v>166</v>
      </c>
      <c r="C10" s="11" t="s">
        <v>128</v>
      </c>
      <c r="D10" s="11" t="s">
        <v>472</v>
      </c>
      <c r="E10" s="13" t="s">
        <v>473</v>
      </c>
      <c r="F10" s="12" t="s">
        <v>474</v>
      </c>
      <c r="G10" s="15" t="n">
        <v>45883</v>
      </c>
      <c r="H10" s="12" t="s">
        <v>475</v>
      </c>
      <c r="I10" s="13" t="s">
        <v>476</v>
      </c>
      <c r="J10" s="13"/>
    </row>
    <row r="11" customFormat="false" ht="23.25" hidden="false" customHeight="true" outlineLevel="0" collapsed="false">
      <c r="A11" s="11" t="s">
        <v>477</v>
      </c>
      <c r="B11" s="11" t="s">
        <v>298</v>
      </c>
      <c r="C11" s="11" t="s">
        <v>213</v>
      </c>
      <c r="D11" s="11" t="s">
        <v>449</v>
      </c>
      <c r="E11" s="13" t="s">
        <v>478</v>
      </c>
      <c r="F11" s="12" t="s">
        <v>443</v>
      </c>
      <c r="G11" s="15" t="n">
        <v>46175</v>
      </c>
      <c r="H11" s="12" t="s">
        <v>437</v>
      </c>
      <c r="I11" s="13" t="s">
        <v>479</v>
      </c>
      <c r="J11" s="13"/>
    </row>
    <row r="12" customFormat="false" ht="15" hidden="false" customHeight="true" outlineLevel="0" collapsed="false">
      <c r="A12" s="11" t="s">
        <v>480</v>
      </c>
      <c r="B12" s="11" t="s">
        <v>298</v>
      </c>
      <c r="C12" s="11" t="s">
        <v>244</v>
      </c>
      <c r="D12" s="11" t="s">
        <v>441</v>
      </c>
      <c r="E12" s="13" t="s">
        <v>481</v>
      </c>
      <c r="F12" s="12" t="s">
        <v>482</v>
      </c>
      <c r="G12" s="15" t="n">
        <v>46211</v>
      </c>
      <c r="H12" s="12" t="s">
        <v>483</v>
      </c>
      <c r="I12" s="13" t="s">
        <v>256</v>
      </c>
      <c r="J12" s="13" t="s">
        <v>484</v>
      </c>
    </row>
    <row r="13" customFormat="false" ht="23.25" hidden="false" customHeight="true" outlineLevel="0" collapsed="false">
      <c r="A13" s="11" t="s">
        <v>485</v>
      </c>
      <c r="B13" s="11" t="s">
        <v>486</v>
      </c>
      <c r="C13" s="11" t="s">
        <v>338</v>
      </c>
      <c r="D13" s="11" t="s">
        <v>458</v>
      </c>
      <c r="E13" s="13" t="s">
        <v>487</v>
      </c>
      <c r="F13" s="12" t="s">
        <v>443</v>
      </c>
      <c r="G13" s="15" t="n">
        <v>46065</v>
      </c>
      <c r="H13" s="12" t="s">
        <v>437</v>
      </c>
      <c r="I13" s="13" t="s">
        <v>488</v>
      </c>
      <c r="J13" s="13"/>
    </row>
    <row r="14" customFormat="false" ht="23.25" hidden="false" customHeight="true" outlineLevel="0" collapsed="false">
      <c r="A14" s="11" t="s">
        <v>489</v>
      </c>
      <c r="B14" s="11" t="s">
        <v>298</v>
      </c>
      <c r="C14" s="11" t="s">
        <v>271</v>
      </c>
      <c r="D14" s="11" t="s">
        <v>454</v>
      </c>
      <c r="E14" s="13" t="s">
        <v>490</v>
      </c>
      <c r="F14" s="12" t="s">
        <v>443</v>
      </c>
      <c r="G14" s="15" t="n">
        <v>46112</v>
      </c>
      <c r="H14" s="12" t="s">
        <v>437</v>
      </c>
      <c r="I14" s="13" t="s">
        <v>491</v>
      </c>
      <c r="J14" s="13"/>
    </row>
    <row r="15" customFormat="false" ht="23.25" hidden="false" customHeight="true" outlineLevel="0" collapsed="false">
      <c r="A15" s="11" t="s">
        <v>492</v>
      </c>
      <c r="B15" s="11" t="s">
        <v>298</v>
      </c>
      <c r="C15" s="11" t="s">
        <v>194</v>
      </c>
      <c r="D15" s="11" t="s">
        <v>493</v>
      </c>
      <c r="E15" s="13" t="s">
        <v>494</v>
      </c>
      <c r="F15" s="12" t="s">
        <v>443</v>
      </c>
      <c r="G15" s="15" t="n">
        <v>46148</v>
      </c>
      <c r="H15" s="12" t="s">
        <v>437</v>
      </c>
      <c r="I15" s="13" t="s">
        <v>495</v>
      </c>
      <c r="J15" s="13"/>
    </row>
  </sheetData>
  <autoFilter ref="A1:J1"/>
  <dataValidations count="3">
    <dataValidation allowBlank="true" errorStyle="stop" operator="between" showDropDown="false" showErrorMessage="false" showInputMessage="false" sqref="B2:B300" type="list">
      <formula1>Listas!$G$2:$G$5</formula1>
      <formula2>0</formula2>
    </dataValidation>
    <dataValidation allowBlank="true" errorStyle="stop" operator="between" showDropDown="false" showErrorMessage="false" showInputMessage="false" sqref="D2:D300" type="list">
      <formula1>Listas!$H$2:$H$10</formula1>
      <formula2>0</formula2>
    </dataValidation>
    <dataValidation allowBlank="true" errorStyle="stop" operator="between" showDropDown="false" showErrorMessage="false" showInputMessage="false" sqref="H2:H300" type="list">
      <formula1>Listas!$I$2:$I$5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5"/>
    <col collapsed="false" customWidth="true" hidden="false" outlineLevel="0" max="3" min="3" style="1" width="14"/>
    <col collapsed="false" customWidth="true" hidden="false" outlineLevel="0" max="4" min="4" style="1" width="52"/>
    <col collapsed="false" customWidth="true" hidden="false" outlineLevel="0" max="5" min="5" style="1" width="22"/>
    <col collapsed="false" customWidth="true" hidden="false" outlineLevel="0" max="6" min="6" style="1" width="12"/>
    <col collapsed="false" customWidth="true" hidden="false" outlineLevel="0" max="7" min="7" style="1" width="10"/>
    <col collapsed="false" customWidth="true" hidden="false" outlineLevel="0" max="8" min="8" style="1" width="9"/>
    <col collapsed="false" customWidth="true" hidden="false" outlineLevel="0" max="9" min="9" style="1" width="13"/>
    <col collapsed="false" customWidth="true" hidden="false" outlineLevel="0" max="10" min="10" style="1" width="11"/>
    <col collapsed="false" customWidth="true" hidden="false" outlineLevel="0" max="11" min="11" style="1" width="46"/>
    <col collapsed="false" customWidth="true" hidden="false" outlineLevel="0" max="12" min="12" style="1" width="22"/>
    <col collapsed="false" customWidth="true" hidden="false" outlineLevel="0" max="13" min="13" style="1" width="14"/>
  </cols>
  <sheetData>
    <row r="1" customFormat="false" ht="30" hidden="false" customHeight="true" outlineLevel="0" collapsed="false">
      <c r="A1" s="10" t="s">
        <v>424</v>
      </c>
      <c r="B1" s="10" t="s">
        <v>425</v>
      </c>
      <c r="C1" s="10" t="s">
        <v>426</v>
      </c>
      <c r="D1" s="10" t="s">
        <v>496</v>
      </c>
      <c r="E1" s="10" t="s">
        <v>53</v>
      </c>
      <c r="F1" s="10" t="s">
        <v>497</v>
      </c>
      <c r="G1" s="10" t="s">
        <v>498</v>
      </c>
      <c r="H1" s="10" t="s">
        <v>499</v>
      </c>
      <c r="I1" s="10" t="s">
        <v>500</v>
      </c>
      <c r="J1" s="10" t="s">
        <v>501</v>
      </c>
      <c r="K1" s="10" t="s">
        <v>502</v>
      </c>
      <c r="L1" s="10" t="s">
        <v>503</v>
      </c>
      <c r="M1" s="10" t="s">
        <v>504</v>
      </c>
    </row>
    <row r="2" customFormat="false" ht="23.25" hidden="false" customHeight="true" outlineLevel="0" collapsed="false">
      <c r="A2" s="11" t="s">
        <v>505</v>
      </c>
      <c r="B2" s="11" t="s">
        <v>298</v>
      </c>
      <c r="C2" s="11" t="s">
        <v>194</v>
      </c>
      <c r="D2" s="13" t="s">
        <v>506</v>
      </c>
      <c r="E2" s="11" t="s">
        <v>507</v>
      </c>
      <c r="F2" s="12" t="n">
        <v>4</v>
      </c>
      <c r="G2" s="12" t="n">
        <v>4</v>
      </c>
      <c r="H2" s="16" t="n">
        <f aca="false">F2*G2</f>
        <v>16</v>
      </c>
      <c r="I2" s="16" t="str">
        <f aca="false">IF(H2&gt;=20,"Extremo",IF(H2&gt;=12,"Alto",IF(H2&gt;=5,"Moderado","Baixo")))</f>
        <v>Alto</v>
      </c>
      <c r="J2" s="12" t="s">
        <v>508</v>
      </c>
      <c r="K2" s="13" t="s">
        <v>509</v>
      </c>
      <c r="L2" s="11" t="s">
        <v>198</v>
      </c>
      <c r="M2" s="12" t="s">
        <v>510</v>
      </c>
    </row>
    <row r="3" customFormat="false" ht="23.25" hidden="false" customHeight="true" outlineLevel="0" collapsed="false">
      <c r="A3" s="11" t="s">
        <v>511</v>
      </c>
      <c r="B3" s="11" t="s">
        <v>298</v>
      </c>
      <c r="C3" s="11" t="s">
        <v>194</v>
      </c>
      <c r="D3" s="13" t="s">
        <v>512</v>
      </c>
      <c r="E3" s="11" t="s">
        <v>513</v>
      </c>
      <c r="F3" s="12" t="n">
        <v>3</v>
      </c>
      <c r="G3" s="12" t="n">
        <v>4</v>
      </c>
      <c r="H3" s="16" t="n">
        <f aca="false">F3*G3</f>
        <v>12</v>
      </c>
      <c r="I3" s="16" t="str">
        <f aca="false">IF(H3&gt;=20,"Extremo",IF(H3&gt;=12,"Alto",IF(H3&gt;=5,"Moderado","Baixo")))</f>
        <v>Alto</v>
      </c>
      <c r="J3" s="12" t="s">
        <v>508</v>
      </c>
      <c r="K3" s="13" t="s">
        <v>514</v>
      </c>
      <c r="L3" s="11" t="s">
        <v>198</v>
      </c>
      <c r="M3" s="12" t="s">
        <v>510</v>
      </c>
    </row>
    <row r="4" customFormat="false" ht="23.25" hidden="false" customHeight="true" outlineLevel="0" collapsed="false">
      <c r="A4" s="11" t="s">
        <v>515</v>
      </c>
      <c r="B4" s="11" t="s">
        <v>298</v>
      </c>
      <c r="C4" s="11" t="s">
        <v>231</v>
      </c>
      <c r="D4" s="13" t="s">
        <v>516</v>
      </c>
      <c r="E4" s="11" t="s">
        <v>507</v>
      </c>
      <c r="F4" s="12" t="n">
        <v>3</v>
      </c>
      <c r="G4" s="12" t="n">
        <v>5</v>
      </c>
      <c r="H4" s="16" t="n">
        <f aca="false">F4*G4</f>
        <v>15</v>
      </c>
      <c r="I4" s="16" t="str">
        <f aca="false">IF(H4&gt;=20,"Extremo",IF(H4&gt;=12,"Alto",IF(H4&gt;=5,"Moderado","Baixo")))</f>
        <v>Alto</v>
      </c>
      <c r="J4" s="12" t="s">
        <v>508</v>
      </c>
      <c r="K4" s="13" t="s">
        <v>517</v>
      </c>
      <c r="L4" s="11" t="s">
        <v>198</v>
      </c>
      <c r="M4" s="12" t="s">
        <v>518</v>
      </c>
    </row>
    <row r="5" customFormat="false" ht="23.25" hidden="false" customHeight="true" outlineLevel="0" collapsed="false">
      <c r="A5" s="11" t="s">
        <v>519</v>
      </c>
      <c r="B5" s="11" t="s">
        <v>334</v>
      </c>
      <c r="C5" s="11" t="s">
        <v>300</v>
      </c>
      <c r="D5" s="13" t="s">
        <v>520</v>
      </c>
      <c r="E5" s="11" t="s">
        <v>521</v>
      </c>
      <c r="F5" s="12" t="n">
        <v>4</v>
      </c>
      <c r="G5" s="12" t="n">
        <v>3</v>
      </c>
      <c r="H5" s="16" t="n">
        <f aca="false">F5*G5</f>
        <v>12</v>
      </c>
      <c r="I5" s="16" t="str">
        <f aca="false">IF(H5&gt;=20,"Extremo",IF(H5&gt;=12,"Alto",IF(H5&gt;=5,"Moderado","Baixo")))</f>
        <v>Alto</v>
      </c>
      <c r="J5" s="12" t="s">
        <v>508</v>
      </c>
      <c r="K5" s="13" t="s">
        <v>522</v>
      </c>
      <c r="L5" s="11" t="s">
        <v>290</v>
      </c>
      <c r="M5" s="12" t="s">
        <v>510</v>
      </c>
    </row>
    <row r="6" customFormat="false" ht="23.25" hidden="false" customHeight="true" outlineLevel="0" collapsed="false">
      <c r="A6" s="11" t="s">
        <v>523</v>
      </c>
      <c r="B6" s="11" t="s">
        <v>298</v>
      </c>
      <c r="C6" s="11" t="s">
        <v>244</v>
      </c>
      <c r="D6" s="13" t="s">
        <v>524</v>
      </c>
      <c r="E6" s="11" t="s">
        <v>507</v>
      </c>
      <c r="F6" s="12" t="n">
        <v>2</v>
      </c>
      <c r="G6" s="12" t="n">
        <v>5</v>
      </c>
      <c r="H6" s="16" t="n">
        <f aca="false">F6*G6</f>
        <v>10</v>
      </c>
      <c r="I6" s="16" t="str">
        <f aca="false">IF(H6&gt;=20,"Extremo",IF(H6&gt;=12,"Alto",IF(H6&gt;=5,"Moderado","Baixo")))</f>
        <v>Moderado</v>
      </c>
      <c r="J6" s="12" t="s">
        <v>508</v>
      </c>
      <c r="K6" s="13" t="s">
        <v>525</v>
      </c>
      <c r="L6" s="11" t="s">
        <v>248</v>
      </c>
      <c r="M6" s="12" t="s">
        <v>518</v>
      </c>
    </row>
    <row r="7" customFormat="false" ht="23.25" hidden="false" customHeight="true" outlineLevel="0" collapsed="false">
      <c r="A7" s="11" t="s">
        <v>526</v>
      </c>
      <c r="B7" s="11" t="s">
        <v>298</v>
      </c>
      <c r="C7" s="11" t="s">
        <v>213</v>
      </c>
      <c r="D7" s="13" t="s">
        <v>527</v>
      </c>
      <c r="E7" s="11" t="s">
        <v>528</v>
      </c>
      <c r="F7" s="12" t="n">
        <v>2</v>
      </c>
      <c r="G7" s="12" t="n">
        <v>4</v>
      </c>
      <c r="H7" s="16" t="n">
        <f aca="false">F7*G7</f>
        <v>8</v>
      </c>
      <c r="I7" s="16" t="str">
        <f aca="false">IF(H7&gt;=20,"Extremo",IF(H7&gt;=12,"Alto",IF(H7&gt;=5,"Moderado","Baixo")))</f>
        <v>Moderado</v>
      </c>
      <c r="J7" s="12" t="s">
        <v>508</v>
      </c>
      <c r="K7" s="13" t="s">
        <v>529</v>
      </c>
      <c r="L7" s="11" t="s">
        <v>530</v>
      </c>
      <c r="M7" s="12" t="s">
        <v>518</v>
      </c>
    </row>
    <row r="8" customFormat="false" ht="23.25" hidden="false" customHeight="true" outlineLevel="0" collapsed="false">
      <c r="A8" s="11" t="s">
        <v>531</v>
      </c>
      <c r="B8" s="11" t="s">
        <v>166</v>
      </c>
      <c r="C8" s="11" t="s">
        <v>128</v>
      </c>
      <c r="D8" s="13" t="s">
        <v>532</v>
      </c>
      <c r="E8" s="11" t="s">
        <v>513</v>
      </c>
      <c r="F8" s="12" t="n">
        <v>4</v>
      </c>
      <c r="G8" s="12" t="n">
        <v>2</v>
      </c>
      <c r="H8" s="16" t="n">
        <f aca="false">F8*G8</f>
        <v>8</v>
      </c>
      <c r="I8" s="16" t="str">
        <f aca="false">IF(H8&gt;=20,"Extremo",IF(H8&gt;=12,"Alto",IF(H8&gt;=5,"Moderado","Baixo")))</f>
        <v>Moderado</v>
      </c>
      <c r="J8" s="12" t="s">
        <v>508</v>
      </c>
      <c r="K8" s="13" t="s">
        <v>533</v>
      </c>
      <c r="L8" s="11" t="s">
        <v>534</v>
      </c>
      <c r="M8" s="12" t="s">
        <v>510</v>
      </c>
    </row>
    <row r="9" customFormat="false" ht="23.25" hidden="false" customHeight="true" outlineLevel="0" collapsed="false">
      <c r="A9" s="11" t="s">
        <v>535</v>
      </c>
      <c r="B9" s="11" t="s">
        <v>486</v>
      </c>
      <c r="C9" s="11" t="s">
        <v>380</v>
      </c>
      <c r="D9" s="13" t="s">
        <v>536</v>
      </c>
      <c r="E9" s="11" t="s">
        <v>513</v>
      </c>
      <c r="F9" s="12" t="n">
        <v>2</v>
      </c>
      <c r="G9" s="12" t="n">
        <v>3</v>
      </c>
      <c r="H9" s="16" t="n">
        <f aca="false">F9*G9</f>
        <v>6</v>
      </c>
      <c r="I9" s="16" t="str">
        <f aca="false">IF(H9&gt;=20,"Extremo",IF(H9&gt;=12,"Alto",IF(H9&gt;=5,"Moderado","Baixo")))</f>
        <v>Moderado</v>
      </c>
      <c r="J9" s="12" t="s">
        <v>508</v>
      </c>
      <c r="K9" s="13" t="s">
        <v>537</v>
      </c>
      <c r="L9" s="11" t="s">
        <v>538</v>
      </c>
      <c r="M9" s="12" t="s">
        <v>539</v>
      </c>
    </row>
    <row r="10" customFormat="false" ht="23.25" hidden="false" customHeight="true" outlineLevel="0" collapsed="false">
      <c r="A10" s="11" t="s">
        <v>540</v>
      </c>
      <c r="B10" s="11" t="s">
        <v>298</v>
      </c>
      <c r="C10" s="11" t="s">
        <v>194</v>
      </c>
      <c r="D10" s="13" t="s">
        <v>541</v>
      </c>
      <c r="E10" s="11" t="s">
        <v>521</v>
      </c>
      <c r="F10" s="12" t="n">
        <v>3</v>
      </c>
      <c r="G10" s="12" t="n">
        <v>3</v>
      </c>
      <c r="H10" s="16" t="n">
        <f aca="false">F10*G10</f>
        <v>9</v>
      </c>
      <c r="I10" s="16" t="str">
        <f aca="false">IF(H10&gt;=20,"Extremo",IF(H10&gt;=12,"Alto",IF(H10&gt;=5,"Moderado","Baixo")))</f>
        <v>Moderado</v>
      </c>
      <c r="J10" s="12" t="s">
        <v>508</v>
      </c>
      <c r="K10" s="13" t="s">
        <v>542</v>
      </c>
      <c r="L10" s="11" t="s">
        <v>534</v>
      </c>
      <c r="M10" s="12" t="s">
        <v>539</v>
      </c>
    </row>
  </sheetData>
  <autoFilter ref="A1:M1"/>
  <dataValidations count="4">
    <dataValidation allowBlank="true" errorStyle="stop" operator="between" showDropDown="false" showErrorMessage="false" showInputMessage="false" sqref="B2:B300" type="list">
      <formula1>Listas!$G$2:$G$5</formula1>
      <formula2>0</formula2>
    </dataValidation>
    <dataValidation allowBlank="true" errorStyle="stop" operator="between" showDropDown="false" showErrorMessage="false" showInputMessage="false" sqref="E2:E300" type="list">
      <formula1>Listas!$J$2:$J$7</formula1>
      <formula2>0</formula2>
    </dataValidation>
    <dataValidation allowBlank="true" errorStyle="stop" operator="between" showDropDown="false" showErrorMessage="false" showInputMessage="false" sqref="J2:J300" type="list">
      <formula1>Listas!$K$2:$K$5</formula1>
      <formula2>0</formula2>
    </dataValidation>
    <dataValidation allowBlank="true" errorStyle="stop" operator="between" showDropDown="false" showErrorMessage="false" showInputMessage="false" sqref="M2:M300" type="list">
      <formula1>Listas!$L$2:$L$4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5"/>
    <col collapsed="false" customWidth="true" hidden="false" outlineLevel="0" max="3" min="3" style="1" width="14"/>
    <col collapsed="false" customWidth="true" hidden="false" outlineLevel="0" max="4" min="4" style="1" width="40"/>
    <col collapsed="false" customWidth="true" hidden="false" outlineLevel="0" max="5" min="5" style="1" width="46"/>
    <col collapsed="false" customWidth="true" hidden="false" outlineLevel="0" max="6" min="6" style="1" width="9"/>
    <col collapsed="false" customWidth="true" hidden="false" outlineLevel="0" max="7" min="7" style="1" width="14"/>
    <col collapsed="false" customWidth="true" hidden="false" outlineLevel="0" max="8" min="8" style="1" width="8"/>
    <col collapsed="false" customWidth="true" hidden="false" outlineLevel="0" max="9" min="9" style="1" width="12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24"/>
    <col collapsed="false" customWidth="true" hidden="false" outlineLevel="0" max="13" min="13" style="1" width="13"/>
  </cols>
  <sheetData>
    <row r="1" customFormat="false" ht="30" hidden="false" customHeight="true" outlineLevel="0" collapsed="false">
      <c r="A1" s="10" t="s">
        <v>424</v>
      </c>
      <c r="B1" s="10" t="s">
        <v>425</v>
      </c>
      <c r="C1" s="10" t="s">
        <v>426</v>
      </c>
      <c r="D1" s="10" t="s">
        <v>52</v>
      </c>
      <c r="E1" s="10" t="s">
        <v>543</v>
      </c>
      <c r="F1" s="10" t="s">
        <v>544</v>
      </c>
      <c r="G1" s="10" t="s">
        <v>545</v>
      </c>
      <c r="H1" s="10" t="s">
        <v>546</v>
      </c>
      <c r="I1" s="10" t="s">
        <v>547</v>
      </c>
      <c r="J1" s="10" t="s">
        <v>431</v>
      </c>
      <c r="K1" s="10" t="s">
        <v>548</v>
      </c>
      <c r="L1" s="10" t="s">
        <v>549</v>
      </c>
      <c r="M1" s="10" t="s">
        <v>550</v>
      </c>
    </row>
    <row r="2" customFormat="false" ht="23.25" hidden="false" customHeight="true" outlineLevel="0" collapsed="false">
      <c r="A2" s="11" t="s">
        <v>551</v>
      </c>
      <c r="B2" s="11" t="s">
        <v>166</v>
      </c>
      <c r="C2" s="11" t="s">
        <v>128</v>
      </c>
      <c r="D2" s="13" t="s">
        <v>552</v>
      </c>
      <c r="E2" s="13" t="s">
        <v>553</v>
      </c>
      <c r="F2" s="12" t="s">
        <v>554</v>
      </c>
      <c r="G2" s="12" t="s">
        <v>555</v>
      </c>
      <c r="H2" s="12" t="n">
        <v>120</v>
      </c>
      <c r="I2" s="12" t="n">
        <v>148</v>
      </c>
      <c r="J2" s="16" t="str">
        <f aca="false">IF(I2="","Sem medição",IF(G2="Maior melhor",IF(I2&gt;=H2,"Meta atingida","Abaixo da meta"),IF(I2&lt;=H2,"Meta atingida","Acima da meta")))</f>
        <v>Acima da meta</v>
      </c>
      <c r="K2" s="12" t="s">
        <v>556</v>
      </c>
      <c r="L2" s="13" t="s">
        <v>325</v>
      </c>
      <c r="M2" s="15" t="n">
        <v>46203</v>
      </c>
    </row>
    <row r="3" customFormat="false" ht="15" hidden="false" customHeight="true" outlineLevel="0" collapsed="false">
      <c r="A3" s="11" t="s">
        <v>557</v>
      </c>
      <c r="B3" s="11" t="s">
        <v>298</v>
      </c>
      <c r="C3" s="11" t="s">
        <v>194</v>
      </c>
      <c r="D3" s="13" t="s">
        <v>558</v>
      </c>
      <c r="E3" s="13" t="s">
        <v>559</v>
      </c>
      <c r="F3" s="12" t="s">
        <v>554</v>
      </c>
      <c r="G3" s="12" t="s">
        <v>555</v>
      </c>
      <c r="H3" s="12" t="n">
        <v>30</v>
      </c>
      <c r="I3" s="12" t="n">
        <v>26</v>
      </c>
      <c r="J3" s="16" t="str">
        <f aca="false">IF(I3="","Sem medição",IF(G3="Maior melhor",IF(I3&gt;=H3,"Meta atingida","Abaixo da meta"),IF(I3&lt;=H3,"Meta atingida","Acima da meta")))</f>
        <v>Meta atingida</v>
      </c>
      <c r="K3" s="12" t="s">
        <v>560</v>
      </c>
      <c r="L3" s="13" t="s">
        <v>311</v>
      </c>
      <c r="M3" s="15" t="n">
        <v>46203</v>
      </c>
    </row>
    <row r="4" customFormat="false" ht="23.25" hidden="false" customHeight="true" outlineLevel="0" collapsed="false">
      <c r="A4" s="11" t="s">
        <v>561</v>
      </c>
      <c r="B4" s="11" t="s">
        <v>298</v>
      </c>
      <c r="C4" s="11" t="s">
        <v>213</v>
      </c>
      <c r="D4" s="13" t="s">
        <v>562</v>
      </c>
      <c r="E4" s="13" t="s">
        <v>563</v>
      </c>
      <c r="F4" s="12" t="s">
        <v>564</v>
      </c>
      <c r="G4" s="12" t="s">
        <v>555</v>
      </c>
      <c r="H4" s="12" t="n">
        <v>1</v>
      </c>
      <c r="I4" s="12" t="n">
        <v>0.8</v>
      </c>
      <c r="J4" s="16" t="str">
        <f aca="false">IF(I4="","Sem medição",IF(G4="Maior melhor",IF(I4&gt;=H4,"Meta atingida","Abaixo da meta"),IF(I4&lt;=H4,"Meta atingida","Acima da meta")))</f>
        <v>Meta atingida</v>
      </c>
      <c r="K4" s="12" t="s">
        <v>556</v>
      </c>
      <c r="L4" s="13" t="s">
        <v>325</v>
      </c>
      <c r="M4" s="15" t="n">
        <v>46203</v>
      </c>
    </row>
    <row r="5" customFormat="false" ht="23.25" hidden="false" customHeight="true" outlineLevel="0" collapsed="false">
      <c r="A5" s="11" t="s">
        <v>565</v>
      </c>
      <c r="B5" s="11" t="s">
        <v>298</v>
      </c>
      <c r="C5" s="11" t="s">
        <v>231</v>
      </c>
      <c r="D5" s="13" t="s">
        <v>566</v>
      </c>
      <c r="E5" s="13" t="s">
        <v>567</v>
      </c>
      <c r="F5" s="12" t="s">
        <v>568</v>
      </c>
      <c r="G5" s="12" t="s">
        <v>569</v>
      </c>
      <c r="H5" s="12" t="n">
        <v>100</v>
      </c>
      <c r="I5" s="12" t="n">
        <v>92</v>
      </c>
      <c r="J5" s="16" t="str">
        <f aca="false">IF(I5="","Sem medição",IF(G5="Maior melhor",IF(I5&gt;=H5,"Meta atingida","Abaixo da meta"),IF(I5&lt;=H5,"Meta atingida","Acima da meta")))</f>
        <v>Abaixo da meta</v>
      </c>
      <c r="K5" s="12" t="s">
        <v>560</v>
      </c>
      <c r="L5" s="13" t="s">
        <v>311</v>
      </c>
      <c r="M5" s="15" t="n">
        <v>46203</v>
      </c>
    </row>
    <row r="6" customFormat="false" ht="23.25" hidden="false" customHeight="true" outlineLevel="0" collapsed="false">
      <c r="A6" s="11" t="s">
        <v>570</v>
      </c>
      <c r="B6" s="11" t="s">
        <v>298</v>
      </c>
      <c r="C6" s="11" t="s">
        <v>244</v>
      </c>
      <c r="D6" s="13" t="s">
        <v>571</v>
      </c>
      <c r="E6" s="13" t="s">
        <v>572</v>
      </c>
      <c r="F6" s="12" t="s">
        <v>568</v>
      </c>
      <c r="G6" s="12" t="s">
        <v>569</v>
      </c>
      <c r="H6" s="12" t="n">
        <v>75</v>
      </c>
      <c r="I6" s="12" t="n">
        <v>71</v>
      </c>
      <c r="J6" s="16" t="str">
        <f aca="false">IF(I6="","Sem medição",IF(G6="Maior melhor",IF(I6&gt;=H6,"Meta atingida","Abaixo da meta"),IF(I6&lt;=H6,"Meta atingida","Acima da meta")))</f>
        <v>Abaixo da meta</v>
      </c>
      <c r="K6" s="12" t="s">
        <v>560</v>
      </c>
      <c r="L6" s="13" t="s">
        <v>332</v>
      </c>
      <c r="M6" s="15" t="n">
        <v>46203</v>
      </c>
    </row>
    <row r="7" customFormat="false" ht="23.25" hidden="false" customHeight="true" outlineLevel="0" collapsed="false">
      <c r="A7" s="11" t="s">
        <v>573</v>
      </c>
      <c r="B7" s="11" t="s">
        <v>166</v>
      </c>
      <c r="C7" s="11" t="s">
        <v>128</v>
      </c>
      <c r="D7" s="13" t="s">
        <v>574</v>
      </c>
      <c r="E7" s="13" t="s">
        <v>575</v>
      </c>
      <c r="F7" s="12" t="s">
        <v>568</v>
      </c>
      <c r="G7" s="12" t="s">
        <v>569</v>
      </c>
      <c r="H7" s="12" t="n">
        <v>100</v>
      </c>
      <c r="I7" s="12" t="n">
        <v>33</v>
      </c>
      <c r="J7" s="16" t="str">
        <f aca="false">IF(I7="","Sem medição",IF(G7="Maior melhor",IF(I7&gt;=H7,"Meta atingida","Abaixo da meta"),IF(I7&lt;=H7,"Meta atingida","Acima da meta")))</f>
        <v>Abaixo da meta</v>
      </c>
      <c r="K7" s="12" t="s">
        <v>556</v>
      </c>
      <c r="L7" s="13" t="s">
        <v>576</v>
      </c>
      <c r="M7" s="15" t="n">
        <v>46203</v>
      </c>
    </row>
    <row r="8" customFormat="false" ht="15" hidden="false" customHeight="true" outlineLevel="0" collapsed="false">
      <c r="A8" s="11" t="s">
        <v>577</v>
      </c>
      <c r="B8" s="11" t="s">
        <v>298</v>
      </c>
      <c r="C8" s="11" t="s">
        <v>271</v>
      </c>
      <c r="D8" s="13" t="s">
        <v>578</v>
      </c>
      <c r="E8" s="13" t="s">
        <v>579</v>
      </c>
      <c r="F8" s="12" t="s">
        <v>568</v>
      </c>
      <c r="G8" s="12" t="s">
        <v>569</v>
      </c>
      <c r="H8" s="12" t="n">
        <v>95</v>
      </c>
      <c r="I8" s="12" t="n">
        <v>97</v>
      </c>
      <c r="J8" s="16" t="str">
        <f aca="false">IF(I8="","Sem medição",IF(G8="Maior melhor",IF(I8&gt;=H8,"Meta atingida","Abaixo da meta"),IF(I8&lt;=H8,"Meta atingida","Acima da meta")))</f>
        <v>Meta atingida</v>
      </c>
      <c r="K8" s="12" t="s">
        <v>556</v>
      </c>
      <c r="L8" s="13" t="s">
        <v>580</v>
      </c>
      <c r="M8" s="15" t="n">
        <v>46203</v>
      </c>
    </row>
    <row r="9" customFormat="false" ht="23.25" hidden="false" customHeight="true" outlineLevel="0" collapsed="false">
      <c r="A9" s="11" t="s">
        <v>581</v>
      </c>
      <c r="B9" s="11" t="s">
        <v>334</v>
      </c>
      <c r="C9" s="11" t="s">
        <v>313</v>
      </c>
      <c r="D9" s="13" t="s">
        <v>582</v>
      </c>
      <c r="E9" s="13" t="s">
        <v>583</v>
      </c>
      <c r="F9" s="12" t="s">
        <v>568</v>
      </c>
      <c r="G9" s="12" t="s">
        <v>569</v>
      </c>
      <c r="H9" s="12" t="n">
        <v>100</v>
      </c>
      <c r="I9" s="12" t="n">
        <v>88</v>
      </c>
      <c r="J9" s="16" t="str">
        <f aca="false">IF(I9="","Sem medição",IF(G9="Maior melhor",IF(I9&gt;=H9,"Meta atingida","Abaixo da meta"),IF(I9&lt;=H9,"Meta atingida","Acima da meta")))</f>
        <v>Abaixo da meta</v>
      </c>
      <c r="K9" s="12" t="s">
        <v>560</v>
      </c>
      <c r="L9" s="13" t="s">
        <v>311</v>
      </c>
      <c r="M9" s="15" t="n">
        <v>46203</v>
      </c>
    </row>
    <row r="10" customFormat="false" ht="23.25" hidden="false" customHeight="true" outlineLevel="0" collapsed="false">
      <c r="A10" s="11" t="s">
        <v>584</v>
      </c>
      <c r="B10" s="11" t="s">
        <v>166</v>
      </c>
      <c r="C10" s="11" t="s">
        <v>116</v>
      </c>
      <c r="D10" s="13" t="s">
        <v>585</v>
      </c>
      <c r="E10" s="13" t="s">
        <v>586</v>
      </c>
      <c r="F10" s="12" t="s">
        <v>564</v>
      </c>
      <c r="G10" s="12" t="s">
        <v>569</v>
      </c>
      <c r="H10" s="12" t="n">
        <v>120</v>
      </c>
      <c r="I10" s="12"/>
      <c r="J10" s="16" t="str">
        <f aca="false">IF(I10="","Sem medição",IF(G10="Maior melhor",IF(I10&gt;=H10,"Meta atingida","Abaixo da meta"),IF(I10&lt;=H10,"Meta atingida","Acima da meta")))</f>
        <v>Sem medição</v>
      </c>
      <c r="K10" s="12" t="s">
        <v>587</v>
      </c>
      <c r="L10" s="13" t="s">
        <v>588</v>
      </c>
      <c r="M10" s="15"/>
    </row>
  </sheetData>
  <autoFilter ref="A1:M1"/>
  <dataValidations count="3">
    <dataValidation allowBlank="true" errorStyle="stop" operator="between" showDropDown="false" showErrorMessage="false" showInputMessage="false" sqref="B2:B300" type="list">
      <formula1>Listas!$G$2:$G$5</formula1>
      <formula2>0</formula2>
    </dataValidation>
    <dataValidation allowBlank="true" errorStyle="stop" operator="between" showDropDown="false" showErrorMessage="false" showInputMessage="false" sqref="G2:G300" type="list">
      <formula1>Listas!$M$2:$M$3</formula1>
      <formula2>0</formula2>
    </dataValidation>
    <dataValidation allowBlank="true" errorStyle="stop" operator="between" showDropDown="false" showErrorMessage="false" showInputMessage="false" sqref="K2:K300" type="list">
      <formula1>Listas!$N$2:$N$6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0"/>
    <col collapsed="false" customWidth="true" hidden="false" outlineLevel="0" max="4" min="3" style="1" width="12"/>
    <col collapsed="false" customWidth="true" hidden="false" outlineLevel="0" max="5" min="5" style="1" width="36"/>
    <col collapsed="false" customWidth="true" hidden="false" outlineLevel="0" max="6" min="6" style="1" width="50"/>
    <col collapsed="false" customWidth="true" hidden="false" outlineLevel="0" max="7" min="7" style="1" width="20"/>
    <col collapsed="false" customWidth="true" hidden="false" outlineLevel="0" max="8" min="8" style="1" width="36"/>
    <col collapsed="false" customWidth="true" hidden="false" outlineLevel="0" max="9" min="9" style="1" width="34"/>
    <col collapsed="false" customWidth="true" hidden="false" outlineLevel="0" max="10" min="10" style="1" width="36"/>
    <col collapsed="false" customWidth="true" hidden="false" outlineLevel="0" max="11" min="11" style="1" width="46"/>
    <col collapsed="false" customWidth="true" hidden="false" outlineLevel="0" max="12" min="12" style="1" width="44"/>
  </cols>
  <sheetData>
    <row r="1" customFormat="false" ht="30" hidden="false" customHeight="true" outlineLevel="0" collapsed="false">
      <c r="A1" s="10" t="s">
        <v>424</v>
      </c>
      <c r="B1" s="10" t="s">
        <v>298</v>
      </c>
      <c r="C1" s="10" t="s">
        <v>430</v>
      </c>
      <c r="D1" s="10" t="s">
        <v>589</v>
      </c>
      <c r="E1" s="10" t="s">
        <v>428</v>
      </c>
      <c r="F1" s="10" t="s">
        <v>55</v>
      </c>
      <c r="G1" s="10" t="s">
        <v>590</v>
      </c>
      <c r="H1" s="10" t="s">
        <v>591</v>
      </c>
      <c r="I1" s="10" t="s">
        <v>592</v>
      </c>
      <c r="J1" s="10" t="s">
        <v>593</v>
      </c>
      <c r="K1" s="10" t="s">
        <v>594</v>
      </c>
      <c r="L1" s="10" t="s">
        <v>595</v>
      </c>
    </row>
    <row r="2" customFormat="false" ht="34.5" hidden="false" customHeight="true" outlineLevel="0" collapsed="false">
      <c r="A2" s="11" t="s">
        <v>596</v>
      </c>
      <c r="B2" s="11" t="s">
        <v>194</v>
      </c>
      <c r="C2" s="15" t="n">
        <v>46027</v>
      </c>
      <c r="D2" s="12" t="s">
        <v>597</v>
      </c>
      <c r="E2" s="13" t="s">
        <v>598</v>
      </c>
      <c r="F2" s="13" t="s">
        <v>599</v>
      </c>
      <c r="G2" s="11" t="s">
        <v>534</v>
      </c>
      <c r="H2" s="13" t="s">
        <v>600</v>
      </c>
      <c r="I2" s="13" t="s">
        <v>601</v>
      </c>
      <c r="J2" s="13" t="s">
        <v>602</v>
      </c>
      <c r="K2" s="13" t="s">
        <v>603</v>
      </c>
      <c r="L2" s="13" t="s">
        <v>604</v>
      </c>
    </row>
    <row r="3" customFormat="false" ht="23.25" hidden="false" customHeight="true" outlineLevel="0" collapsed="false">
      <c r="A3" s="11" t="s">
        <v>605</v>
      </c>
      <c r="B3" s="11" t="s">
        <v>194</v>
      </c>
      <c r="C3" s="15" t="n">
        <v>46034</v>
      </c>
      <c r="D3" s="12" t="s">
        <v>606</v>
      </c>
      <c r="E3" s="13" t="s">
        <v>607</v>
      </c>
      <c r="F3" s="13" t="s">
        <v>608</v>
      </c>
      <c r="G3" s="11" t="s">
        <v>538</v>
      </c>
      <c r="H3" s="13" t="s">
        <v>609</v>
      </c>
      <c r="I3" s="13" t="s">
        <v>610</v>
      </c>
      <c r="J3" s="13" t="s">
        <v>611</v>
      </c>
      <c r="K3" s="13" t="s">
        <v>612</v>
      </c>
      <c r="L3" s="13" t="s">
        <v>613</v>
      </c>
    </row>
    <row r="4" customFormat="false" ht="34.5" hidden="false" customHeight="true" outlineLevel="0" collapsed="false">
      <c r="A4" s="11" t="s">
        <v>614</v>
      </c>
      <c r="B4" s="11" t="s">
        <v>194</v>
      </c>
      <c r="C4" s="15" t="n">
        <v>46048</v>
      </c>
      <c r="D4" s="12" t="s">
        <v>615</v>
      </c>
      <c r="E4" s="13" t="s">
        <v>616</v>
      </c>
      <c r="F4" s="13" t="s">
        <v>617</v>
      </c>
      <c r="G4" s="11" t="s">
        <v>538</v>
      </c>
      <c r="H4" s="13" t="s">
        <v>349</v>
      </c>
      <c r="I4" s="13" t="s">
        <v>618</v>
      </c>
      <c r="J4" s="13" t="s">
        <v>619</v>
      </c>
      <c r="K4" s="13" t="s">
        <v>620</v>
      </c>
      <c r="L4" s="13"/>
    </row>
    <row r="5" customFormat="false" ht="23.25" hidden="false" customHeight="true" outlineLevel="0" collapsed="false">
      <c r="A5" s="11" t="s">
        <v>621</v>
      </c>
      <c r="B5" s="11" t="s">
        <v>194</v>
      </c>
      <c r="C5" s="15" t="n">
        <v>46062</v>
      </c>
      <c r="D5" s="12" t="s">
        <v>622</v>
      </c>
      <c r="E5" s="13" t="s">
        <v>623</v>
      </c>
      <c r="F5" s="13" t="s">
        <v>624</v>
      </c>
      <c r="G5" s="11" t="s">
        <v>530</v>
      </c>
      <c r="H5" s="13" t="s">
        <v>625</v>
      </c>
      <c r="I5" s="13" t="s">
        <v>626</v>
      </c>
      <c r="J5" s="13" t="s">
        <v>627</v>
      </c>
      <c r="K5" s="13" t="s">
        <v>628</v>
      </c>
      <c r="L5" s="13" t="s">
        <v>629</v>
      </c>
    </row>
    <row r="6" customFormat="false" ht="34.5" hidden="false" customHeight="true" outlineLevel="0" collapsed="false">
      <c r="A6" s="11" t="s">
        <v>630</v>
      </c>
      <c r="B6" s="11" t="s">
        <v>194</v>
      </c>
      <c r="C6" s="15" t="n">
        <v>46083</v>
      </c>
      <c r="D6" s="12" t="s">
        <v>631</v>
      </c>
      <c r="E6" s="13" t="s">
        <v>632</v>
      </c>
      <c r="F6" s="13" t="s">
        <v>633</v>
      </c>
      <c r="G6" s="11" t="s">
        <v>538</v>
      </c>
      <c r="H6" s="13" t="s">
        <v>634</v>
      </c>
      <c r="I6" s="13" t="s">
        <v>635</v>
      </c>
      <c r="J6" s="13" t="s">
        <v>636</v>
      </c>
      <c r="K6" s="13" t="s">
        <v>637</v>
      </c>
      <c r="L6" s="13"/>
    </row>
    <row r="7" customFormat="false" ht="34.5" hidden="false" customHeight="true" outlineLevel="0" collapsed="false">
      <c r="A7" s="11" t="s">
        <v>638</v>
      </c>
      <c r="B7" s="11" t="s">
        <v>194</v>
      </c>
      <c r="C7" s="15" t="n">
        <v>46097</v>
      </c>
      <c r="D7" s="12" t="s">
        <v>639</v>
      </c>
      <c r="E7" s="13" t="s">
        <v>640</v>
      </c>
      <c r="F7" s="13" t="s">
        <v>641</v>
      </c>
      <c r="G7" s="11" t="s">
        <v>534</v>
      </c>
      <c r="H7" s="13" t="s">
        <v>642</v>
      </c>
      <c r="I7" s="13" t="s">
        <v>643</v>
      </c>
      <c r="J7" s="13" t="s">
        <v>644</v>
      </c>
      <c r="K7" s="13" t="s">
        <v>645</v>
      </c>
      <c r="L7" s="13" t="s">
        <v>646</v>
      </c>
    </row>
    <row r="8" customFormat="false" ht="34.5" hidden="false" customHeight="true" outlineLevel="0" collapsed="false">
      <c r="A8" s="11" t="s">
        <v>647</v>
      </c>
      <c r="B8" s="11" t="s">
        <v>194</v>
      </c>
      <c r="C8" s="15" t="n">
        <v>46125</v>
      </c>
      <c r="D8" s="12" t="s">
        <v>648</v>
      </c>
      <c r="E8" s="13" t="s">
        <v>649</v>
      </c>
      <c r="F8" s="13" t="s">
        <v>650</v>
      </c>
      <c r="G8" s="11" t="s">
        <v>530</v>
      </c>
      <c r="H8" s="13" t="s">
        <v>651</v>
      </c>
      <c r="I8" s="13" t="s">
        <v>652</v>
      </c>
      <c r="J8" s="13" t="s">
        <v>653</v>
      </c>
      <c r="K8" s="13" t="s">
        <v>654</v>
      </c>
      <c r="L8" s="13"/>
    </row>
    <row r="9" customFormat="false" ht="34.5" hidden="false" customHeight="true" outlineLevel="0" collapsed="false">
      <c r="A9" s="11" t="s">
        <v>655</v>
      </c>
      <c r="B9" s="11" t="s">
        <v>194</v>
      </c>
      <c r="C9" s="15" t="n">
        <v>46146</v>
      </c>
      <c r="D9" s="12" t="s">
        <v>631</v>
      </c>
      <c r="E9" s="13" t="s">
        <v>656</v>
      </c>
      <c r="F9" s="13" t="s">
        <v>657</v>
      </c>
      <c r="G9" s="11" t="s">
        <v>538</v>
      </c>
      <c r="H9" s="13" t="s">
        <v>658</v>
      </c>
      <c r="I9" s="13" t="s">
        <v>659</v>
      </c>
      <c r="J9" s="13" t="s">
        <v>660</v>
      </c>
      <c r="K9" s="13" t="s">
        <v>661</v>
      </c>
      <c r="L9" s="13"/>
    </row>
    <row r="10" customFormat="false" ht="34.5" hidden="false" customHeight="true" outlineLevel="0" collapsed="false">
      <c r="A10" s="11" t="s">
        <v>662</v>
      </c>
      <c r="B10" s="11" t="s">
        <v>194</v>
      </c>
      <c r="C10" s="15" t="n">
        <v>46160</v>
      </c>
      <c r="D10" s="12" t="s">
        <v>597</v>
      </c>
      <c r="E10" s="13" t="s">
        <v>663</v>
      </c>
      <c r="F10" s="13" t="s">
        <v>664</v>
      </c>
      <c r="G10" s="11" t="s">
        <v>534</v>
      </c>
      <c r="H10" s="13" t="s">
        <v>665</v>
      </c>
      <c r="I10" s="13" t="s">
        <v>666</v>
      </c>
      <c r="J10" s="13" t="s">
        <v>667</v>
      </c>
      <c r="K10" s="13" t="s">
        <v>668</v>
      </c>
      <c r="L10" s="13" t="s">
        <v>669</v>
      </c>
    </row>
    <row r="11" customFormat="false" ht="34.5" hidden="false" customHeight="true" outlineLevel="0" collapsed="false">
      <c r="A11" s="11" t="s">
        <v>670</v>
      </c>
      <c r="B11" s="11" t="s">
        <v>194</v>
      </c>
      <c r="C11" s="15" t="n">
        <v>46188</v>
      </c>
      <c r="D11" s="12" t="s">
        <v>606</v>
      </c>
      <c r="E11" s="13" t="s">
        <v>671</v>
      </c>
      <c r="F11" s="13" t="s">
        <v>672</v>
      </c>
      <c r="G11" s="11" t="s">
        <v>673</v>
      </c>
      <c r="H11" s="13" t="s">
        <v>674</v>
      </c>
      <c r="I11" s="13" t="s">
        <v>675</v>
      </c>
      <c r="J11" s="13" t="s">
        <v>676</v>
      </c>
      <c r="K11" s="13" t="s">
        <v>677</v>
      </c>
      <c r="L11" s="13"/>
    </row>
    <row r="12" customFormat="false" ht="23.25" hidden="false" customHeight="true" outlineLevel="0" collapsed="false">
      <c r="A12" s="11" t="s">
        <v>678</v>
      </c>
      <c r="B12" s="11" t="s">
        <v>213</v>
      </c>
      <c r="C12" s="15" t="n">
        <v>46175</v>
      </c>
      <c r="D12" s="12" t="s">
        <v>606</v>
      </c>
      <c r="E12" s="13" t="s">
        <v>679</v>
      </c>
      <c r="F12" s="13" t="s">
        <v>680</v>
      </c>
      <c r="G12" s="11" t="s">
        <v>538</v>
      </c>
      <c r="H12" s="13" t="s">
        <v>625</v>
      </c>
      <c r="I12" s="13" t="s">
        <v>610</v>
      </c>
      <c r="J12" s="13" t="s">
        <v>681</v>
      </c>
      <c r="K12" s="13" t="s">
        <v>682</v>
      </c>
      <c r="L12" s="13"/>
    </row>
    <row r="13" customFormat="false" ht="23.25" hidden="false" customHeight="true" outlineLevel="0" collapsed="false">
      <c r="A13" s="11" t="s">
        <v>683</v>
      </c>
      <c r="B13" s="11" t="s">
        <v>213</v>
      </c>
      <c r="C13" s="15" t="n">
        <v>46203</v>
      </c>
      <c r="D13" s="12" t="s">
        <v>622</v>
      </c>
      <c r="E13" s="13" t="s">
        <v>684</v>
      </c>
      <c r="F13" s="13" t="s">
        <v>685</v>
      </c>
      <c r="G13" s="11" t="s">
        <v>530</v>
      </c>
      <c r="H13" s="13" t="s">
        <v>686</v>
      </c>
      <c r="I13" s="13" t="s">
        <v>687</v>
      </c>
      <c r="J13" s="13" t="s">
        <v>688</v>
      </c>
      <c r="K13" s="13" t="s">
        <v>689</v>
      </c>
      <c r="L13" s="13" t="s">
        <v>690</v>
      </c>
    </row>
    <row r="14" customFormat="false" ht="23.25" hidden="false" customHeight="true" outlineLevel="0" collapsed="false">
      <c r="A14" s="11" t="s">
        <v>691</v>
      </c>
      <c r="B14" s="11" t="s">
        <v>244</v>
      </c>
      <c r="C14" s="15" t="n">
        <v>46213</v>
      </c>
      <c r="D14" s="12" t="s">
        <v>615</v>
      </c>
      <c r="E14" s="13" t="s">
        <v>692</v>
      </c>
      <c r="F14" s="13" t="s">
        <v>693</v>
      </c>
      <c r="G14" s="11" t="s">
        <v>694</v>
      </c>
      <c r="H14" s="13" t="s">
        <v>695</v>
      </c>
      <c r="I14" s="13" t="s">
        <v>696</v>
      </c>
      <c r="J14" s="13" t="s">
        <v>619</v>
      </c>
      <c r="K14" s="13" t="s">
        <v>697</v>
      </c>
      <c r="L14" s="13"/>
    </row>
  </sheetData>
  <autoFilter ref="A1:L1"/>
  <dataValidations count="1">
    <dataValidation allowBlank="true" errorStyle="stop" operator="between" showDropDown="false" showErrorMessage="false" showInputMessage="false" sqref="D2:D300" type="list">
      <formula1>Listas!$O$2:$O$9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0"/>
    <col collapsed="false" customWidth="true" hidden="false" outlineLevel="0" max="3" min="3" style="1" width="38"/>
    <col collapsed="false" customWidth="true" hidden="false" outlineLevel="0" max="4" min="4" style="1" width="13"/>
    <col collapsed="false" customWidth="true" hidden="false" outlineLevel="0" max="5" min="5" style="1" width="15"/>
    <col collapsed="false" customWidth="true" hidden="false" outlineLevel="0" max="6" min="6" style="1" width="10"/>
    <col collapsed="false" customWidth="true" hidden="false" outlineLevel="0" max="7" min="7" style="1" width="16"/>
    <col collapsed="false" customWidth="true" hidden="false" outlineLevel="0" max="8" min="8" style="1" width="33"/>
    <col collapsed="false" customWidth="true" hidden="false" outlineLevel="0" max="9" min="9" style="1" width="21"/>
    <col collapsed="false" customWidth="true" hidden="false" outlineLevel="0" max="10" min="10" style="1" width="27"/>
    <col collapsed="false" customWidth="true" hidden="false" outlineLevel="0" max="11" min="11" style="1" width="17"/>
    <col collapsed="false" customWidth="true" hidden="false" outlineLevel="0" max="12" min="12" style="1" width="16"/>
    <col collapsed="false" customWidth="true" hidden="false" outlineLevel="0" max="13" min="13" style="1" width="15"/>
    <col collapsed="false" customWidth="true" hidden="false" outlineLevel="0" max="15" min="14" style="1" width="16"/>
  </cols>
  <sheetData>
    <row r="1" customFormat="false" ht="15" hidden="false" customHeight="true" outlineLevel="0" collapsed="false">
      <c r="A1" s="10" t="s">
        <v>698</v>
      </c>
      <c r="B1" s="10" t="s">
        <v>171</v>
      </c>
      <c r="C1" s="10" t="s">
        <v>172</v>
      </c>
      <c r="D1" s="10" t="s">
        <v>169</v>
      </c>
      <c r="E1" s="10" t="s">
        <v>170</v>
      </c>
      <c r="F1" s="10" t="s">
        <v>699</v>
      </c>
      <c r="G1" s="10" t="s">
        <v>700</v>
      </c>
      <c r="H1" s="10" t="s">
        <v>427</v>
      </c>
      <c r="I1" s="10" t="s">
        <v>701</v>
      </c>
      <c r="J1" s="10" t="s">
        <v>702</v>
      </c>
      <c r="K1" s="10" t="s">
        <v>703</v>
      </c>
      <c r="L1" s="10" t="s">
        <v>704</v>
      </c>
      <c r="M1" s="10" t="s">
        <v>545</v>
      </c>
      <c r="N1" s="10" t="s">
        <v>548</v>
      </c>
      <c r="O1" s="10" t="s">
        <v>705</v>
      </c>
    </row>
    <row r="2" customFormat="false" ht="15" hidden="false" customHeight="true" outlineLevel="0" collapsed="false">
      <c r="A2" s="17" t="s">
        <v>68</v>
      </c>
      <c r="B2" s="17" t="s">
        <v>263</v>
      </c>
      <c r="C2" s="17" t="s">
        <v>264</v>
      </c>
      <c r="D2" s="17" t="s">
        <v>200</v>
      </c>
      <c r="E2" s="17" t="s">
        <v>200</v>
      </c>
      <c r="F2" s="17" t="s">
        <v>211</v>
      </c>
      <c r="G2" s="17" t="s">
        <v>166</v>
      </c>
      <c r="H2" s="17" t="s">
        <v>434</v>
      </c>
      <c r="I2" s="17" t="s">
        <v>437</v>
      </c>
      <c r="J2" s="17" t="s">
        <v>507</v>
      </c>
      <c r="K2" s="17" t="s">
        <v>508</v>
      </c>
      <c r="L2" s="17" t="s">
        <v>518</v>
      </c>
      <c r="M2" s="17" t="s">
        <v>569</v>
      </c>
      <c r="N2" s="17" t="s">
        <v>560</v>
      </c>
      <c r="O2" s="17" t="s">
        <v>606</v>
      </c>
    </row>
    <row r="3" customFormat="false" ht="15" hidden="false" customHeight="true" outlineLevel="0" collapsed="false">
      <c r="A3" s="17" t="s">
        <v>93</v>
      </c>
      <c r="B3" s="17" t="s">
        <v>218</v>
      </c>
      <c r="C3" s="17" t="s">
        <v>219</v>
      </c>
      <c r="D3" s="17" t="s">
        <v>217</v>
      </c>
      <c r="E3" s="17" t="s">
        <v>217</v>
      </c>
      <c r="F3" s="17" t="s">
        <v>228</v>
      </c>
      <c r="G3" s="17" t="s">
        <v>298</v>
      </c>
      <c r="H3" s="17" t="s">
        <v>472</v>
      </c>
      <c r="I3" s="17" t="s">
        <v>483</v>
      </c>
      <c r="J3" s="17" t="s">
        <v>513</v>
      </c>
      <c r="K3" s="17" t="s">
        <v>706</v>
      </c>
      <c r="L3" s="17" t="s">
        <v>510</v>
      </c>
      <c r="M3" s="17" t="s">
        <v>555</v>
      </c>
      <c r="N3" s="17" t="s">
        <v>707</v>
      </c>
      <c r="O3" s="17" t="s">
        <v>622</v>
      </c>
    </row>
    <row r="4" customFormat="false" ht="15" hidden="false" customHeight="true" outlineLevel="0" collapsed="false">
      <c r="A4" s="17" t="s">
        <v>130</v>
      </c>
      <c r="B4" s="17" t="s">
        <v>201</v>
      </c>
      <c r="C4" s="17" t="s">
        <v>708</v>
      </c>
      <c r="D4" s="17" t="s">
        <v>291</v>
      </c>
      <c r="E4" s="17" t="s">
        <v>291</v>
      </c>
      <c r="G4" s="17" t="s">
        <v>334</v>
      </c>
      <c r="H4" s="17" t="s">
        <v>467</v>
      </c>
      <c r="I4" s="17" t="s">
        <v>475</v>
      </c>
      <c r="J4" s="17" t="s">
        <v>521</v>
      </c>
      <c r="K4" s="17" t="s">
        <v>709</v>
      </c>
      <c r="L4" s="17" t="s">
        <v>539</v>
      </c>
      <c r="N4" s="17" t="s">
        <v>556</v>
      </c>
      <c r="O4" s="17" t="s">
        <v>615</v>
      </c>
    </row>
    <row r="5" customFormat="false" ht="15" hidden="false" customHeight="true" outlineLevel="0" collapsed="false">
      <c r="B5" s="17" t="s">
        <v>710</v>
      </c>
      <c r="C5" s="17" t="s">
        <v>711</v>
      </c>
      <c r="G5" s="17" t="s">
        <v>486</v>
      </c>
      <c r="H5" s="17" t="s">
        <v>458</v>
      </c>
      <c r="I5" s="17" t="s">
        <v>712</v>
      </c>
      <c r="J5" s="17" t="s">
        <v>528</v>
      </c>
      <c r="K5" s="17" t="s">
        <v>713</v>
      </c>
      <c r="N5" s="17" t="s">
        <v>714</v>
      </c>
      <c r="O5" s="17" t="s">
        <v>631</v>
      </c>
    </row>
    <row r="6" customFormat="false" ht="15" hidden="false" customHeight="true" outlineLevel="0" collapsed="false">
      <c r="C6" s="17" t="s">
        <v>202</v>
      </c>
      <c r="H6" s="17" t="s">
        <v>449</v>
      </c>
      <c r="J6" s="17" t="s">
        <v>715</v>
      </c>
      <c r="N6" s="17" t="s">
        <v>587</v>
      </c>
      <c r="O6" s="17" t="s">
        <v>639</v>
      </c>
    </row>
    <row r="7" customFormat="false" ht="15" hidden="false" customHeight="true" outlineLevel="0" collapsed="false">
      <c r="H7" s="17" t="s">
        <v>441</v>
      </c>
      <c r="J7" s="17" t="s">
        <v>716</v>
      </c>
      <c r="O7" s="17" t="s">
        <v>648</v>
      </c>
    </row>
    <row r="8" customFormat="false" ht="15" hidden="false" customHeight="true" outlineLevel="0" collapsed="false">
      <c r="H8" s="17" t="s">
        <v>454</v>
      </c>
      <c r="O8" s="17" t="s">
        <v>597</v>
      </c>
    </row>
    <row r="9" customFormat="false" ht="15" hidden="false" customHeight="true" outlineLevel="0" collapsed="false">
      <c r="H9" s="17" t="s">
        <v>493</v>
      </c>
      <c r="O9" s="17" t="s">
        <v>717</v>
      </c>
    </row>
    <row r="10" customFormat="false" ht="15" hidden="false" customHeight="true" outlineLevel="0" collapsed="false">
      <c r="H10" s="17" t="s">
        <v>718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2026-07-23T15:05:47Z</dcterms:created>
  <dc:creator>openpyxl</dc:creator>
  <dc:description/>
  <dc:language>en-US</dc:language>
  <cp:lastModifiedBy/>
  <dcterms:modified xsi:type="dcterms:W3CDTF">2026-07-23T15:06:14Z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