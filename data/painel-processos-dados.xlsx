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IA-ME" sheetId="1" r:id="rId1"/>
    <sheet name="Macroprocessos" sheetId="2" r:id="rId2"/>
    <sheet name="Processos" sheetId="3" r:id="rId3"/>
    <sheet name="Subprocessos" sheetId="4" r:id="rId4"/>
    <sheet name="Atividades" sheetId="5" r:id="rId5"/>
    <sheet name="Tarefas" sheetId="6" r:id="rId6"/>
    <sheet name="Documentos" sheetId="7" r:id="rId7"/>
    <sheet name="Riscos" sheetId="8" r:id="rId8"/>
    <sheet name="Indicadores" sheetId="9" r:id="rId9"/>
    <sheet name="Jornada" sheetId="10" r:id="rId10"/>
    <sheet name="Repositorio" sheetId="11" r:id="rId11"/>
    <sheet name="NUGEP" sheetId="12" r:id="rId12"/>
    <sheet name="Glossario" sheetId="13" r:id="rId13"/>
    <sheet name="FAQ" sheetId="14" r:id="rId14"/>
    <sheet name="Siglas" sheetId="17" r:id="rId18"/>
    <sheet name="Parametros" sheetId="15" r:id="rId15"/>
    <sheet name="Listas" sheetId="16" r:id="rId16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0"/>
      <name val="Arial"/>
    </font>
    <font>
      <b/>
      <sz val="10"/>
      <color rgb="FFFFFFFF"/>
      <name val="Arial"/>
    </font>
    <font>
      <b/>
      <sz val="16"/>
      <color rgb="FF0C326F"/>
      <name val="Arial"/>
    </font>
    <font>
      <b/>
      <sz val="11"/>
      <color rgb="FF0C326F"/>
      <name val="Arial"/>
    </font>
    <font>
      <sz val="10"/>
      <color rgb="FF4A4A4A"/>
      <name val="Arial"/>
    </font>
  </fonts>
  <fills count="5">
    <fill>
      <patternFill patternType="none"/>
    </fill>
    <fill>
      <patternFill patternType="gray125"/>
    </fill>
    <fill>
      <patternFill patternType="solid">
        <fgColor rgb="FF0040B4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Relationship Id="rId18" Type="http://schemas.openxmlformats.org/officeDocument/2006/relationships/worksheet" Target="worksheets/sheet1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C326F"/>
  </sheetPr>
  <sheetViews>
    <sheetView zoomScale="90" workbookViewId="0" showGridLines="0"/>
  </sheetViews>
  <sheetFormatPr defaultRowHeight="15"/>
  <cols>
    <col min="1" max="1" width="52" customWidth="1"/>
    <col min="2" max="2" width="96" customWidth="1"/>
  </cols>
  <sheetData>
    <row r="1">
      <c r="A1" s="4" t="inlineStr">
        <is>
          <t xml:space="preserve">Painel de Processos — planilha de dados</t>
        </is>
      </c>
    </row>
    <row r="2"/>
    <row r="3">
      <c r="A3" s="6" t="inlineStr">
        <is>
          <t xml:space="preserve">Esta planilha alimenta o Painel de Gestão de Processos da Codevasf. Cada aba vira uma tela do painel.</t>
        </is>
      </c>
    </row>
    <row r="4">
      <c r="A4" s="6" t="inlineStr">
        <is>
          <t xml:space="preserve">Preencha as colunas em branco; o que estiver preenchido é dado de demonstração e pode ser substituído.</t>
        </is>
      </c>
    </row>
    <row r="5"/>
    <row r="6">
      <c r="A6" s="5" t="inlineStr">
        <is>
          <t xml:space="preserve">Como preencher</t>
        </is>
      </c>
    </row>
    <row r="7">
      <c r="A7" s="6" t="inlineStr">
        <is>
          <t xml:space="preserve">1. Não renomeie abas nem cabeçalhos — o painel procura as colunas pelo nome exato.</t>
        </is>
      </c>
    </row>
    <row r="8">
      <c r="A8" s="6" t="inlineStr">
        <is>
          <t xml:space="preserve">2. Onde houver seta na célula, escolha um item da lista. Valor fora da lista é recusado.</t>
        </is>
      </c>
    </row>
    <row r="9">
      <c r="A9" s="6" t="inlineStr">
        <is>
          <t xml:space="preserve">3. Códigos ligam as abas: MP- macroprocesso · P- processo · SP- subprocesso · A- atividade · T- tarefa.</t>
        </is>
      </c>
    </row>
    <row r="10">
      <c r="A10" s="6" t="inlineStr">
        <is>
          <t xml:space="preserve">4. Datas no formato AAAA-MM-DD (ex.: 2026-05-29), como texto. Formate a coluna como Texto antes de digitar:</t>
        </is>
      </c>
    </row>
    <row r="11">
      <c r="A11" s="6" t="inlineStr">
        <is>
          <t xml:space="preserve">   o Excel converte 29/05/2026 em número de série.</t>
        </is>
      </c>
    </row>
    <row r="12">
      <c r="A12" s="6" t="inlineStr">
        <is>
          <t xml:space="preserve">5. Marcos M1 a M10 (aba Processos): Sim, Não ou Não se aplica.</t>
        </is>
      </c>
    </row>
    <row r="13"/>
    <row r="14">
      <c r="A14" s="5" t="inlineStr">
        <is>
          <t xml:space="preserve">Colunas em CINZA: não digite</t>
        </is>
      </c>
    </row>
    <row r="15">
      <c r="A15" s="6" t="inlineStr">
        <is>
          <t xml:space="preserve">Elas se calculam sozinhas a partir do que você já preencheu. Digitar por cima apaga a fórmula.</t>
        </is>
      </c>
    </row>
    <row r="16">
      <c r="A16" s="6" t="inlineStr">
        <is>
          <t xml:space="preserve">Processos · Macroprocesso</t>
        </is>
      </c>
      <c r="B16" s="6" t="inlineStr">
        <is>
          <t xml:space="preserve">Vem do código do processo (P-06.01 → MP-06).</t>
        </is>
      </c>
    </row>
    <row r="17">
      <c r="A17" s="6" t="inlineStr">
        <is>
          <t xml:space="preserve">Processos · Percentual</t>
        </is>
      </c>
      <c r="B17" s="6" t="inlineStr">
        <is>
          <t xml:space="preserve">Marcos "Sim" ÷ marcos aplicáveis. Os "Não se aplica" saem da conta.</t>
        </is>
      </c>
    </row>
    <row r="18">
      <c r="A18" s="6" t="inlineStr">
        <is>
          <t xml:space="preserve">Documentos, Riscos e Indicadores · Vinculo_Nivel</t>
        </is>
      </c>
      <c r="B18" s="6" t="inlineStr">
        <is>
          <t xml:space="preserve">Vem do prefixo do código em Vinculo_Codigo.</t>
        </is>
      </c>
    </row>
    <row r="19">
      <c r="A19" s="6" t="inlineStr">
        <is>
          <t xml:space="preserve">Riscos · Nivel_PxI</t>
        </is>
      </c>
      <c r="B19" s="6" t="inlineStr">
        <is>
          <t xml:space="preserve">Probabilidade × Impacto.</t>
        </is>
      </c>
    </row>
    <row r="20">
      <c r="A20" s="6" t="inlineStr">
        <is>
          <t xml:space="preserve">Riscos · Classificacao</t>
        </is>
      </c>
      <c r="B20" s="6" t="inlineStr">
        <is>
          <t xml:space="preserve">Faixa do P×I: 20+ Extremo · 12+ Alto · 5+ Moderado · abaixo, Baixo.</t>
        </is>
      </c>
    </row>
    <row r="21">
      <c r="A21" s="6" t="inlineStr">
        <is>
          <t xml:space="preserve">Indicadores · Situacao</t>
        </is>
      </c>
      <c r="B21" s="6" t="inlineStr">
        <is>
          <t xml:space="preserve">Compara Resultado com Meta, conforme a Polaridade.</t>
        </is>
      </c>
    </row>
    <row r="22">
      <c r="A22" s="6" t="inlineStr">
        <is>
          <t xml:space="preserve">NUGEP · Unidade_Nome</t>
        </is>
      </c>
      <c r="B22" s="6" t="inlineStr">
        <is>
          <t xml:space="preserve">Vem da sigla, pela tabela de unidades na aba Listas (colunas V e W).</t>
        </is>
      </c>
    </row>
    <row r="23"/>
    <row r="24">
      <c r="A24" s="6" t="inlineStr">
        <is>
          <t xml:space="preserve">Vínculo múltiplo: um documento, risco ou indicador pode apontar para mais de um item. Nesse caso,</t>
        </is>
      </c>
    </row>
    <row r="25">
      <c r="A25" s="6" t="inlineStr">
        <is>
          <t xml:space="preserve">separe os códigos por ponto e vírgula em Vinculo_Codigo e escreva os níveis à mão em Vinculo_Nivel,</t>
        </is>
      </c>
    </row>
    <row r="26">
      <c r="A26" s="6" t="inlineStr">
        <is>
          <t xml:space="preserve">na mesma ordem — a fórmula só resolve o vínculo único.</t>
        </is>
      </c>
    </row>
    <row r="27"/>
    <row r="28">
      <c r="A28" s="6" t="inlineStr">
        <is>
          <t xml:space="preserve">O que cada aba alimenta</t>
        </is>
      </c>
    </row>
    <row r="29">
      <c r="A29" s="6" t="inlineStr">
        <is>
          <t xml:space="preserve">Macroprocessos</t>
        </is>
      </c>
      <c r="B29" s="6" t="inlineStr">
        <is>
          <t xml:space="preserve">Cadeia de valor da tela inicial</t>
        </is>
      </c>
    </row>
    <row r="30">
      <c r="A30" s="6" t="inlineStr">
        <is>
          <t xml:space="preserve">Processos</t>
        </is>
      </c>
      <c r="B30" s="6" t="inlineStr">
        <is>
          <t xml:space="preserve">Portfólio, fichas de processo e marcos do mapeamento</t>
        </is>
      </c>
    </row>
    <row r="31">
      <c r="A31" s="6" t="inlineStr">
        <is>
          <t xml:space="preserve">Subprocessos / Atividades / Tarefas</t>
        </is>
      </c>
      <c r="B31" s="6" t="inlineStr">
        <is>
          <t xml:space="preserve">Hierarquia dentro da ficha do processo</t>
        </is>
      </c>
    </row>
    <row r="32">
      <c r="A32" s="6" t="inlineStr">
        <is>
          <t xml:space="preserve">Documentos</t>
        </is>
      </c>
      <c r="B32" s="6" t="inlineStr">
        <is>
          <t xml:space="preserve">Aba Documentos publicados</t>
        </is>
      </c>
    </row>
    <row r="33">
      <c r="A33" s="6" t="inlineStr">
        <is>
          <t xml:space="preserve">Riscos</t>
        </is>
      </c>
      <c r="B33" s="6" t="inlineStr">
        <is>
          <t xml:space="preserve">Radar de riscos e tabela de riscos</t>
        </is>
      </c>
    </row>
    <row r="34">
      <c r="A34" s="6" t="inlineStr">
        <is>
          <t xml:space="preserve">Indicadores</t>
        </is>
      </c>
      <c r="B34" s="6" t="inlineStr">
        <is>
          <t xml:space="preserve">Painel de indicadores</t>
        </is>
      </c>
    </row>
    <row r="35">
      <c r="A35" s="6" t="inlineStr">
        <is>
          <t xml:space="preserve">Jornada</t>
        </is>
      </c>
      <c r="B35" s="6" t="inlineStr">
        <is>
          <t xml:space="preserve">Wizard da jornada de mapeamento</t>
        </is>
      </c>
    </row>
    <row r="36">
      <c r="A36" s="6" t="inlineStr">
        <is>
          <t xml:space="preserve">Repositorio</t>
        </is>
      </c>
      <c r="B36" s="6" t="inlineStr">
        <is>
          <t xml:space="preserve">Repositório de materiais</t>
        </is>
      </c>
    </row>
    <row r="37">
      <c r="A37" s="6" t="inlineStr">
        <is>
          <t xml:space="preserve">NUGEP</t>
        </is>
      </c>
      <c r="B37" s="6" t="inlineStr">
        <is>
          <t xml:space="preserve">Equipe e contato institucional (Foto: URL da imagem; Hierarquia: 1 gerente-executivo, 2 gerente, 3 equipe, 0 interlocutor)</t>
        </is>
      </c>
    </row>
    <row r="38">
      <c r="A38" s="6" t="inlineStr">
        <is>
          <t xml:space="preserve">Glossario</t>
        </is>
      </c>
      <c r="B38" s="6" t="inlineStr">
        <is>
          <t xml:space="preserve">Glossário</t>
        </is>
      </c>
    </row>
    <row r="39">
      <c r="A39" s="6" t="inlineStr">
        <is>
          <t xml:space="preserve">FAQ</t>
        </is>
      </c>
      <c r="B39" s="6" t="inlineStr">
        <is>
          <t xml:space="preserve">Perguntas frequentes</t>
        </is>
      </c>
    </row>
    <row r="40">
      <c r="A40" s="6" t="inlineStr">
        <is>
          <t xml:space="preserve">Parametros</t>
        </is>
      </c>
      <c r="B40" s="6" t="inlineStr">
        <is>
          <t xml:space="preserve">Textos e contatos que aparecem no painel (título da tela inicial, contato da unidade, links do rodapé)</t>
        </is>
      </c>
    </row>
    <row r="41">
      <c r="A41" s="6" t="inlineStr">
        <is>
          <t xml:space="preserve">Listas</t>
        </is>
      </c>
      <c r="B41" s="6" t="inlineStr">
        <is>
          <t xml:space="preserve">Origem das listas suspensas e a tabela de unidades — não apague</t>
        </is>
      </c>
    </row>
    <row r="42"/>
    <row r="43">
      <c r="A43" s="6" t="inlineStr">
        <is>
          <t xml:space="preserve">Dúvidas: ae.gpe.unp@codevasf.gov.br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40B4"/>
  </sheetPr>
  <sheetViews>
    <sheetView zoomScale="90" workbookViewId="0">
      <pane xSplit="2" ySplit="1" topLeftCell="C2" activePane="bottomRight" state="frozen"/>
    </sheetView>
  </sheetViews>
  <sheetFormatPr defaultRowHeight="15"/>
  <cols>
    <col min="1" max="1" width="9" customWidth="1"/>
    <col min="2" max="2" width="34" customWidth="1"/>
    <col min="3" max="3" width="12" customWidth="1"/>
    <col min="4" max="4" width="7" customWidth="1"/>
    <col min="5" max="5" width="46" customWidth="1"/>
    <col min="6" max="6" width="46" customWidth="1"/>
    <col min="7" max="7" width="16" customWidth="1"/>
    <col min="8" max="8" width="26" customWidth="1"/>
    <col min="9" max="9" width="40" customWidth="1"/>
    <col min="10" max="10" width="34" customWidth="1"/>
    <col min="11" max="11" width="34" customWidth="1"/>
    <col min="12" max="12" width="30" customWidth="1"/>
    <col min="13" max="13" width="40" customWidth="1"/>
    <col min="14" max="14" width="30" customWidth="1"/>
    <col min="15" max="15" width="26" customWidth="1"/>
    <col min="16" max="16" width="30" customWidth="1"/>
  </cols>
  <sheetData>
    <row r="1" ht="30" customHeight="1">
      <c r="A1" s="1" t="inlineStr">
        <is>
          <t xml:space="preserve">Codigo</t>
        </is>
      </c>
      <c r="B1" s="1" t="inlineStr">
        <is>
          <t xml:space="preserve">Nome</t>
        </is>
      </c>
      <c r="C1" s="1" t="inlineStr">
        <is>
          <t xml:space="preserve">Categoria</t>
        </is>
      </c>
      <c r="D1" s="1" t="inlineStr">
        <is>
          <t xml:space="preserve">Ordem</t>
        </is>
      </c>
      <c r="E1" s="1" t="inlineStr">
        <is>
          <t xml:space="preserve">Descricao</t>
        </is>
      </c>
      <c r="F1" s="1" t="inlineStr">
        <is>
          <t xml:space="preserve">Objetivo</t>
        </is>
      </c>
      <c r="G1" s="1" t="inlineStr">
        <is>
          <t xml:space="preserve">Unidade_Responsavel</t>
        </is>
      </c>
      <c r="H1" s="1" t="inlineStr">
        <is>
          <t xml:space="preserve">Dono_Processo</t>
        </is>
      </c>
      <c r="I1" s="1" t="inlineStr">
        <is>
          <t xml:space="preserve">Entregas</t>
        </is>
      </c>
      <c r="J1" s="1" t="inlineStr">
        <is>
          <t xml:space="preserve">Clientes_Beneficiarios</t>
        </is>
      </c>
      <c r="K1" s="1" t="inlineStr">
        <is>
          <t xml:space="preserve">Partes_Interessadas</t>
        </is>
      </c>
      <c r="L1" s="1" t="inlineStr">
        <is>
          <t xml:space="preserve">Sistemas</t>
        </is>
      </c>
      <c r="M1" s="1" t="inlineStr">
        <is>
          <t xml:space="preserve">Normativos_Aplicaveis</t>
        </is>
      </c>
      <c r="N1" s="1" t="inlineStr">
        <is>
          <t xml:space="preserve">Imagem_Bizagi</t>
        </is>
      </c>
      <c r="O1" s="1" t="inlineStr">
        <is>
          <t xml:space="preserve">Observacoes</t>
        </is>
      </c>
      <c r="P1" s="1" t="inlineStr">
        <is>
          <t xml:space="preserve">Unidades_Corresponsaveis</t>
        </is>
      </c>
    </row>
    <row r="2">
      <c r="A2" s="3" t="inlineStr">
        <is>
          <t xml:space="preserve">MP-01</t>
        </is>
      </c>
      <c r="B2" s="3" t="inlineStr">
        <is>
          <t xml:space="preserve">Gestão Estratégica e Governança</t>
        </is>
      </c>
      <c r="C2" s="3" t="inlineStr">
        <is>
          <t xml:space="preserve">Gerencial</t>
        </is>
      </c>
      <c r="D2" s="3" t="inlineStr">
        <is>
          <t xml:space="preserve">1</t>
        </is>
      </c>
      <c r="E2" s="3" t="inlineStr">
        <is>
          <t xml:space="preserve">Formulação, desdobramento e monitoramento da estratégia corporativa, da governança e do desempenho institucional.</t>
        </is>
      </c>
      <c r="F2" s="3" t="inlineStr">
        <is>
          <t xml:space="preserve">Garantir que a atuação da Companhia esteja alinhada à estratégia, com decisões baseadas em evidências.</t>
        </is>
      </c>
      <c r="G2" s="3" t="inlineStr">
        <is>
          <t xml:space="preserve">AE/GPE</t>
        </is>
      </c>
      <c r="H2" s="3" t="inlineStr">
        <is>
          <t xml:space="preserve">Gerente de Planejamento</t>
        </is>
      </c>
      <c r="I2" s="3" t="inlineStr">
        <is>
          <t xml:space="preserve">Plano Estratégico; Plano de Ação Anual; Relatórios de desempenho</t>
        </is>
      </c>
      <c r="J2" s="3" t="inlineStr">
        <is>
          <t xml:space="preserve">Diretoria Executiva; Conselho de Administração; Unidades internas</t>
        </is>
      </c>
      <c r="K2" s="3" t="inlineStr">
        <is>
          <t xml:space="preserve">Ministério supervisor; Órgãos de controle; Sociedade</t>
        </is>
      </c>
      <c r="L2" s="3" t="inlineStr">
        <is>
          <t xml:space="preserve">e-Codevasf; Painéis de BI</t>
        </is>
      </c>
      <c r="M2" s="3" t="inlineStr">
        <is>
          <t xml:space="preserve">Estatuto Social; Regimento Interno; Lei nº 13.303/2016</t>
        </is>
      </c>
      <c r="P2" s="3" t="inlineStr">
        <is>
          <t xml:space="preserve">AR/GDT; AI/GOM</t>
        </is>
      </c>
    </row>
    <row r="3">
      <c r="A3" s="2" t="inlineStr">
        <is>
          <t xml:space="preserve">MP-02</t>
        </is>
      </c>
      <c r="B3" s="2" t="inlineStr">
        <is>
          <t xml:space="preserve">Gestão de Riscos, Integridade e Controles</t>
        </is>
      </c>
      <c r="C3" s="2" t="inlineStr">
        <is>
          <t xml:space="preserve">Gerencial</t>
        </is>
      </c>
      <c r="D3" s="2" t="inlineStr">
        <is>
          <t xml:space="preserve">2</t>
        </is>
      </c>
      <c r="E3" s="2" t="inlineStr">
        <is>
          <t xml:space="preserve">Identificação, avaliação e tratamento de riscos corporativos, integridade e controles internos (2ª linha).</t>
        </is>
      </c>
      <c r="F3" s="2" t="inlineStr">
        <is>
          <t xml:space="preserve">Assegurar razoável segurança para o alcance dos objetivos institucionais.</t>
        </is>
      </c>
      <c r="G3" s="2" t="inlineStr">
        <is>
          <t xml:space="preserve">AE/GAG</t>
        </is>
      </c>
      <c r="H3" s="2" t="inlineStr">
        <is>
          <t xml:space="preserve">Gerente de Governança</t>
        </is>
      </c>
      <c r="I3" s="2" t="inlineStr">
        <is>
          <t xml:space="preserve">Política de Gestão de Riscos; Matriz de riscos corporativa; Plano de integridade</t>
        </is>
      </c>
      <c r="J3" s="2" t="inlineStr">
        <is>
          <t xml:space="preserve">Alta administração; Gestores de 1ª linha</t>
        </is>
      </c>
      <c r="K3" s="2" t="inlineStr">
        <is>
          <t xml:space="preserve">Auditoria interna; CGU; TCU</t>
        </is>
      </c>
      <c r="L3" s="2" t="inlineStr">
        <is>
          <t xml:space="preserve">e-Codevasf; Sistema de gestão de riscos</t>
        </is>
      </c>
      <c r="M3" s="2" t="inlineStr">
        <is>
          <t xml:space="preserve">Política de Gestão de Riscos (fictícia); IN Conjunta MP/CGU nº 01/2016</t>
        </is>
      </c>
      <c r="P3" s="2" t="inlineStr">
        <is>
          <t xml:space="preserve">AI/GOM; AR/GRB</t>
        </is>
      </c>
    </row>
    <row r="4">
      <c r="A4" s="3" t="inlineStr">
        <is>
          <t xml:space="preserve">MP-03</t>
        </is>
      </c>
      <c r="B4" s="3" t="inlineStr">
        <is>
          <t xml:space="preserve">Desenvolvimento Territorial e Estruturação Produtiva</t>
        </is>
      </c>
      <c r="C4" s="3" t="inlineStr">
        <is>
          <t xml:space="preserve">Finalístico</t>
        </is>
      </c>
      <c r="D4" s="3" t="inlineStr">
        <is>
          <t xml:space="preserve">3</t>
        </is>
      </c>
      <c r="E4" s="3" t="inlineStr">
        <is>
          <t xml:space="preserve">Apoio a arranjos produtivos, inclusão socioeconômica e estruturação de cadeias produtivas nos vales.</t>
        </is>
      </c>
      <c r="F4" s="3" t="inlineStr">
        <is>
          <t xml:space="preserve">Promover o desenvolvimento regional integrado e sustentável.</t>
        </is>
      </c>
      <c r="G4" s="3" t="inlineStr">
        <is>
          <t xml:space="preserve">AR/GDT</t>
        </is>
      </c>
      <c r="H4" s="3" t="inlineStr">
        <is>
          <t xml:space="preserve">Gerente de Desenvolvimento</t>
        </is>
      </c>
      <c r="I4" s="3" t="inlineStr">
        <is>
          <t xml:space="preserve">Projetos de estruturação produtiva; Convênios e instrumentos de repasse</t>
        </is>
      </c>
      <c r="J4" s="3" t="inlineStr">
        <is>
          <t xml:space="preserve">Produtores rurais; Cooperativas; Municípios</t>
        </is>
      </c>
      <c r="K4" s="3" t="inlineStr">
        <is>
          <t xml:space="preserve">Parlamentares; Entes federados; Entidades parceiras</t>
        </is>
      </c>
      <c r="L4" s="3" t="inlineStr">
        <is>
          <t xml:space="preserve">TransfereGov; e-Codevasf</t>
        </is>
      </c>
      <c r="M4" s="3" t="inlineStr">
        <is>
          <t xml:space="preserve">Lei nº 14.133/2021; Portarias de transferências voluntárias</t>
        </is>
      </c>
      <c r="P4" s="3" t="inlineStr">
        <is>
          <t xml:space="preserve">AR/GRB; AA/GLC</t>
        </is>
      </c>
    </row>
    <row r="5">
      <c r="A5" s="2" t="inlineStr">
        <is>
          <t xml:space="preserve">MP-04</t>
        </is>
      </c>
      <c r="B5" s="2" t="inlineStr">
        <is>
          <t xml:space="preserve">Gestão de Empreendimentos de Irrigação</t>
        </is>
      </c>
      <c r="C5" s="2" t="inlineStr">
        <is>
          <t xml:space="preserve">Finalístico</t>
        </is>
      </c>
      <c r="D5" s="2" t="inlineStr">
        <is>
          <t xml:space="preserve">4</t>
        </is>
      </c>
      <c r="E5" s="2" t="inlineStr">
        <is>
          <t xml:space="preserve">Implantação, operação, manutenção e transferência de gestão de perímetros públicos de irrigação.</t>
        </is>
      </c>
      <c r="F5" s="2" t="inlineStr">
        <is>
          <t xml:space="preserve">Ampliar a área irrigada produtiva com sustentabilidade hídrica e econômica.</t>
        </is>
      </c>
      <c r="G5" s="2" t="inlineStr">
        <is>
          <t xml:space="preserve">AI/GOM</t>
        </is>
      </c>
      <c r="H5" s="2" t="inlineStr">
        <is>
          <t xml:space="preserve">Gerente de Operação</t>
        </is>
      </c>
      <c r="I5" s="2" t="inlineStr">
        <is>
          <t xml:space="preserve">Perímetros em operação; Água distribuída; Relatórios de O&amp;M</t>
        </is>
      </c>
      <c r="J5" s="2" t="inlineStr">
        <is>
          <t xml:space="preserve">Irrigantes; Distritos de irrigação</t>
        </is>
      </c>
      <c r="K5" s="2" t="inlineStr">
        <is>
          <t xml:space="preserve">ANA; Agências estaduais; Associações de usuários</t>
        </is>
      </c>
      <c r="L5" s="2" t="inlineStr">
        <is>
          <t xml:space="preserve">SIG-Irrigação (fictício); e-Codevasf</t>
        </is>
      </c>
      <c r="M5" s="2" t="inlineStr">
        <is>
          <t xml:space="preserve">Lei nº 12.787/2013 (Política Nacional de Irrigação)</t>
        </is>
      </c>
      <c r="P5" s="2" t="inlineStr">
        <is>
          <t xml:space="preserve">AA/GLC; AG/GGP</t>
        </is>
      </c>
    </row>
    <row r="6">
      <c r="A6" s="3" t="inlineStr">
        <is>
          <t xml:space="preserve">MP-05</t>
        </is>
      </c>
      <c r="B6" s="3" t="inlineStr">
        <is>
          <t xml:space="preserve">Revitalização de Bacias Hidrográficas</t>
        </is>
      </c>
      <c r="C6" s="3" t="inlineStr">
        <is>
          <t xml:space="preserve">Finalístico</t>
        </is>
      </c>
      <c r="D6" s="3" t="inlineStr">
        <is>
          <t xml:space="preserve">5</t>
        </is>
      </c>
      <c r="E6" s="3" t="inlineStr">
        <is>
          <t xml:space="preserve">Ações de recuperação hidroambiental, segurança hídrica e uso sustentável dos recursos naturais.</t>
        </is>
      </c>
      <c r="F6" s="3" t="inlineStr">
        <is>
          <t xml:space="preserve">Contribuir para a revitalização das bacias dos rios São Francisco e Parnaíba.</t>
        </is>
      </c>
      <c r="G6" s="3" t="inlineStr">
        <is>
          <t xml:space="preserve">AR/GRB</t>
        </is>
      </c>
      <c r="H6" s="3" t="inlineStr">
        <is>
          <t xml:space="preserve">Gerente de Revitalização</t>
        </is>
      </c>
      <c r="I6" s="3" t="inlineStr">
        <is>
          <t xml:space="preserve">Nascentes recuperadas; Obras hidroambientais; Sistemas de abastecimento</t>
        </is>
      </c>
      <c r="J6" s="3" t="inlineStr">
        <is>
          <t xml:space="preserve">Comunidades ribeirinhas; Municípios</t>
        </is>
      </c>
      <c r="K6" s="3" t="inlineStr">
        <is>
          <t xml:space="preserve">Comitês de bacia; MMA; Órgãos ambientais</t>
        </is>
      </c>
      <c r="L6" s="3" t="inlineStr">
        <is>
          <t xml:space="preserve">e-Codevasf; GeoPortal (fictício)</t>
        </is>
      </c>
      <c r="M6" s="3" t="inlineStr">
        <is>
          <t xml:space="preserve">Legislação ambiental aplicável</t>
        </is>
      </c>
      <c r="P6" s="3" t="inlineStr">
        <is>
          <t xml:space="preserve">AG/GGP; AT/GTI</t>
        </is>
      </c>
    </row>
    <row r="7">
      <c r="A7" s="2" t="inlineStr">
        <is>
          <t xml:space="preserve">MP-06</t>
        </is>
      </c>
      <c r="B7" s="2" t="inlineStr">
        <is>
          <t xml:space="preserve">Gestão de Licitações e Contratos</t>
        </is>
      </c>
      <c r="C7" s="2" t="inlineStr">
        <is>
          <t xml:space="preserve">Suporte</t>
        </is>
      </c>
      <c r="D7" s="2" t="inlineStr">
        <is>
          <t xml:space="preserve">6</t>
        </is>
      </c>
      <c r="E7" s="2" t="inlineStr">
        <is>
          <t xml:space="preserve">Planejamento das contratações, seleção de fornecedores e gestão dos contratos administrativos da Companhia.</t>
        </is>
      </c>
      <c r="F7" s="2" t="inlineStr">
        <is>
          <t xml:space="preserve">Prover contratações tempestivas, vantajosas e conformes à legislação.</t>
        </is>
      </c>
      <c r="G7" s="2" t="inlineStr">
        <is>
          <t xml:space="preserve">AA/GLC</t>
        </is>
      </c>
      <c r="H7" s="2" t="inlineStr">
        <is>
          <t xml:space="preserve">Gerente de Licitações</t>
        </is>
      </c>
      <c r="I7" s="2" t="inlineStr">
        <is>
          <t xml:space="preserve">Editais publicados; Contratos firmados; Atas de registro de preços</t>
        </is>
      </c>
      <c r="J7" s="2" t="inlineStr">
        <is>
          <t xml:space="preserve">Todas as unidades demandantes</t>
        </is>
      </c>
      <c r="K7" s="2" t="inlineStr">
        <is>
          <t xml:space="preserve">Fornecedores; Assessoria Jurídica; Órgãos de controle; PNCP</t>
        </is>
      </c>
      <c r="L7" s="2" t="inlineStr">
        <is>
          <t xml:space="preserve">Compras.gov.br; PNCP; Painel de Preços; e-Codevasf</t>
        </is>
      </c>
      <c r="M7" s="2" t="inlineStr">
        <is>
          <t xml:space="preserve">Lei nº 14.133/2021; Lei nº 13.303/2016; IN SEGES nº 65/2021; NI-027/2024 (fictícia)</t>
        </is>
      </c>
      <c r="O7" s="2" t="inlineStr">
        <is>
          <t xml:space="preserve">Macroprocesso priorizado no ciclo 2026 de mapeamento.</t>
        </is>
      </c>
      <c r="P7" s="2" t="inlineStr">
        <is>
          <t xml:space="preserve">AT/GTI; AE/GPE</t>
        </is>
      </c>
    </row>
    <row r="8">
      <c r="A8" s="3" t="inlineStr">
        <is>
          <t xml:space="preserve">MP-07</t>
        </is>
      </c>
      <c r="B8" s="3" t="inlineStr">
        <is>
          <t xml:space="preserve">Gestão de Pessoas</t>
        </is>
      </c>
      <c r="C8" s="3" t="inlineStr">
        <is>
          <t xml:space="preserve">Suporte</t>
        </is>
      </c>
      <c r="D8" s="3" t="inlineStr">
        <is>
          <t xml:space="preserve">7</t>
        </is>
      </c>
      <c r="E8" s="3" t="inlineStr">
        <is>
          <t xml:space="preserve">Provimento, desenvolvimento, remuneração e qualidade de vida do corpo funcional.</t>
        </is>
      </c>
      <c r="F8" s="3" t="inlineStr">
        <is>
          <t xml:space="preserve">Assegurar pessoas qualificadas e engajadas para a missão institucional.</t>
        </is>
      </c>
      <c r="G8" s="3" t="inlineStr">
        <is>
          <t xml:space="preserve">AG/GGP</t>
        </is>
      </c>
      <c r="H8" s="3" t="inlineStr">
        <is>
          <t xml:space="preserve">Gerente de Pessoas</t>
        </is>
      </c>
      <c r="I8" s="3" t="inlineStr">
        <is>
          <t xml:space="preserve">Empregados admitidos e capacitados; Folha de pagamento</t>
        </is>
      </c>
      <c r="J8" s="3" t="inlineStr">
        <is>
          <t xml:space="preserve">Empregados; Gestores</t>
        </is>
      </c>
      <c r="K8" s="3" t="inlineStr">
        <is>
          <t xml:space="preserve">Sindicatos; SEST; Ministério supervisor</t>
        </is>
      </c>
      <c r="L8" s="3" t="inlineStr">
        <is>
          <t xml:space="preserve">SIGEP (fictício); e-Codevasf</t>
        </is>
      </c>
      <c r="M8" s="3" t="inlineStr">
        <is>
          <t xml:space="preserve">CLT; Normas internas de pessoal</t>
        </is>
      </c>
      <c r="P8" s="3" t="inlineStr">
        <is>
          <t xml:space="preserve">AE/GPE; AE/GAG</t>
        </is>
      </c>
    </row>
    <row r="9">
      <c r="A9" s="2" t="inlineStr">
        <is>
          <t xml:space="preserve">MP-08</t>
        </is>
      </c>
      <c r="B9" s="2" t="inlineStr">
        <is>
          <t xml:space="preserve">Gestão de Tecnologia da Informação</t>
        </is>
      </c>
      <c r="C9" s="2" t="inlineStr">
        <is>
          <t xml:space="preserve">Suporte</t>
        </is>
      </c>
      <c r="D9" s="2" t="inlineStr">
        <is>
          <t xml:space="preserve">8</t>
        </is>
      </c>
      <c r="E9" s="2" t="inlineStr">
        <is>
          <t xml:space="preserve">Planejamento, desenvolvimento, sustentação e segurança dos serviços de TI.</t>
        </is>
      </c>
      <c r="F9" s="2" t="inlineStr">
        <is>
          <t xml:space="preserve">Prover soluções digitais seguras que habilitem os processos de negócio.</t>
        </is>
      </c>
      <c r="G9" s="2" t="inlineStr">
        <is>
          <t xml:space="preserve">AT/GTI</t>
        </is>
      </c>
      <c r="H9" s="2" t="inlineStr">
        <is>
          <t xml:space="preserve">Gerente de TI</t>
        </is>
      </c>
      <c r="I9" s="2" t="inlineStr">
        <is>
          <t xml:space="preserve">Sistemas em produção; Serviços de infraestrutura; Suporte ao usuário</t>
        </is>
      </c>
      <c r="J9" s="2" t="inlineStr">
        <is>
          <t xml:space="preserve">Todas as unidades</t>
        </is>
      </c>
      <c r="K9" s="2" t="inlineStr">
        <is>
          <t xml:space="preserve">SGD/MGI; Fornecedores de TI</t>
        </is>
      </c>
      <c r="L9" s="2" t="inlineStr">
        <is>
          <t xml:space="preserve">e-Codevasf; Service Desk</t>
        </is>
      </c>
      <c r="M9" s="2" t="inlineStr">
        <is>
          <t xml:space="preserve">IN SGD nº 94/2022; Política de Segurança da Informação (fictícia)</t>
        </is>
      </c>
      <c r="P9" s="2" t="inlineStr">
        <is>
          <t xml:space="preserve">AE/GAG; AR/GDT</t>
        </is>
      </c>
    </row>
  </sheetData>
  <autoFilter ref="A1:P1"/>
  <dataValidations count="1"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C2:C300">
      <formula1>Listas!$A$2:$A$4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40B4"/>
  </sheetPr>
  <sheetViews>
    <sheetView zoomScale="90" workbookViewId="0">
      <pane xSplit="3" ySplit="1" topLeftCell="D2" activePane="bottomRight" state="frozen"/>
    </sheetView>
  </sheetViews>
  <sheetFormatPr defaultRowHeight="15"/>
  <cols>
    <col min="1" max="1" width="10" customWidth="1"/>
    <col min="2" max="2" width="14" customWidth="1"/>
    <col min="3" max="3" width="34" customWidth="1"/>
    <col min="4" max="4" width="44" customWidth="1"/>
    <col min="5" max="5" width="40" customWidth="1"/>
    <col min="6" max="6" width="16" customWidth="1"/>
    <col min="7" max="7" width="24" customWidth="1"/>
    <col min="8" max="8" width="24" customWidth="1"/>
    <col min="9" max="9" width="10" customWidth="1"/>
    <col min="10" max="10" width="12" customWidth="1"/>
    <col min="11" max="11" width="14" customWidth="1"/>
    <col min="12" max="12" width="10" customWidth="1"/>
    <col min="13" max="13" width="30" customWidth="1"/>
    <col min="14" max="14" width="13" customWidth="1"/>
    <col min="15" max="15" width="13" customWidth="1"/>
    <col min="16" max="16" width="13" customWidth="1"/>
    <col min="17" max="17" width="30" customWidth="1"/>
    <col min="18" max="18" width="34" customWidth="1"/>
    <col min="19" max="19" width="34" customWidth="1"/>
    <col min="20" max="20" width="28" customWidth="1"/>
    <col min="21" max="21" width="28" customWidth="1"/>
    <col min="22" max="22" width="40" customWidth="1"/>
    <col min="23" max="23" width="20" customWidth="1"/>
    <col min="24" max="24" width="30" customWidth="1"/>
    <col min="25" max="25" width="9" customWidth="1"/>
    <col min="26" max="26" width="9" customWidth="1"/>
    <col min="27" max="27" width="9" customWidth="1"/>
    <col min="28" max="28" width="9" customWidth="1"/>
    <col min="29" max="29" width="9" customWidth="1"/>
    <col min="30" max="30" width="9" customWidth="1"/>
    <col min="31" max="31" width="9" customWidth="1"/>
    <col min="32" max="32" width="9" customWidth="1"/>
    <col min="33" max="33" width="9" customWidth="1"/>
    <col min="34" max="34" width="34" customWidth="1"/>
    <col min="35" max="35" width="28" customWidth="1"/>
    <col min="36" max="36" width="13" customWidth="1"/>
    <col min="37" max="37" width="13" customWidth="1"/>
    <col min="38" max="38" width="30" customWidth="1"/>
  </cols>
  <sheetData>
    <row r="1" ht="30" customHeight="1">
      <c r="A1" s="1" t="inlineStr">
        <is>
          <t xml:space="preserve">Codigo</t>
        </is>
      </c>
      <c r="B1" s="1" t="inlineStr">
        <is>
          <t xml:space="preserve">Macroprocesso</t>
        </is>
      </c>
      <c r="C1" s="1" t="inlineStr">
        <is>
          <t xml:space="preserve">Nome</t>
        </is>
      </c>
      <c r="D1" s="1" t="inlineStr">
        <is>
          <t xml:space="preserve">Descricao</t>
        </is>
      </c>
      <c r="E1" s="1" t="inlineStr">
        <is>
          <t xml:space="preserve">Objetivo</t>
        </is>
      </c>
      <c r="F1" s="1" t="inlineStr">
        <is>
          <t xml:space="preserve">Area_Responsavel</t>
        </is>
      </c>
      <c r="G1" s="1" t="inlineStr">
        <is>
          <t xml:space="preserve">Dono_Processo</t>
        </is>
      </c>
      <c r="H1" s="1" t="inlineStr">
        <is>
          <t xml:space="preserve">Interlocutor</t>
        </is>
      </c>
      <c r="I1" s="1" t="inlineStr">
        <is>
          <t xml:space="preserve">Prioridade</t>
        </is>
      </c>
      <c r="J1" s="1" t="inlineStr">
        <is>
          <t xml:space="preserve">Complexidade</t>
        </is>
      </c>
      <c r="K1" s="1" t="inlineStr">
        <is>
          <t xml:space="preserve">Status_Mapeamento</t>
        </is>
      </c>
      <c r="L1" s="1" t="inlineStr">
        <is>
          <t xml:space="preserve">Percentual</t>
        </is>
      </c>
      <c r="M1" s="1" t="inlineStr">
        <is>
          <t xml:space="preserve">Fase_Ciclo_BPM</t>
        </is>
      </c>
      <c r="N1" s="1" t="inlineStr">
        <is>
          <t xml:space="preserve">Inicio_Mapeamento</t>
        </is>
      </c>
      <c r="O1" s="1" t="inlineStr">
        <is>
          <t xml:space="preserve">Prazo_Previsto</t>
        </is>
      </c>
      <c r="P1" s="1" t="inlineStr">
        <is>
          <t xml:space="preserve">Data_Conclusao</t>
        </is>
      </c>
      <c r="Q1" s="1" t="inlineStr">
        <is>
          <t xml:space="preserve">Fornecedores</t>
        </is>
      </c>
      <c r="R1" s="1" t="inlineStr">
        <is>
          <t xml:space="preserve">Entradas</t>
        </is>
      </c>
      <c r="S1" s="1" t="inlineStr">
        <is>
          <t xml:space="preserve">Saidas</t>
        </is>
      </c>
      <c r="T1" s="1" t="inlineStr">
        <is>
          <t xml:space="preserve">Beneficiarios</t>
        </is>
      </c>
      <c r="U1" s="1" t="inlineStr">
        <is>
          <t xml:space="preserve">Sistemas</t>
        </is>
      </c>
      <c r="V1" s="1" t="inlineStr">
        <is>
          <t xml:space="preserve">Normativos_Relacionados</t>
        </is>
      </c>
      <c r="W1" s="1" t="inlineStr">
        <is>
          <t xml:space="preserve">Processo_ECodevasf</t>
        </is>
      </c>
      <c r="X1" s="1" t="inlineStr">
        <is>
          <t xml:space="preserve">Imagem_Bizagi</t>
        </is>
      </c>
      <c r="Y1" s="1" t="inlineStr">
        <is>
          <t xml:space="preserve">M1_Reuniao_Contextualizacao</t>
        </is>
      </c>
      <c r="Z1" s="1" t="inlineStr">
        <is>
          <t xml:space="preserve">M2_Macro_Processo_Modelados</t>
        </is>
      </c>
      <c r="AA1" s="1" t="inlineStr">
        <is>
          <t xml:space="preserve">M3_Subprocessos_Modelados</t>
        </is>
      </c>
      <c r="AB1" s="1" t="inlineStr">
        <is>
          <t xml:space="preserve">M4_ASIS_Modelado</t>
        </is>
      </c>
      <c r="AC1" s="1" t="inlineStr">
        <is>
          <t xml:space="preserve">M5_ASIS_Validado</t>
        </is>
      </c>
      <c r="AD1" s="1" t="inlineStr">
        <is>
          <t xml:space="preserve">M6_Procedimento_Validado</t>
        </is>
      </c>
      <c r="AE1" s="1" t="inlineStr">
        <is>
          <t xml:space="preserve">M7_Procedimento_Aprovado</t>
        </is>
      </c>
      <c r="AF1" s="1" t="inlineStr">
        <is>
          <t xml:space="preserve">M8_TOBE_Elaborado</t>
        </is>
      </c>
      <c r="AG1" s="1" t="inlineStr">
        <is>
          <t xml:space="preserve">M9_TOBE_Validado</t>
        </is>
      </c>
      <c r="AH1" s="1" t="inlineStr">
        <is>
          <t xml:space="preserve">M10_Publicado_Repositorio</t>
        </is>
      </c>
      <c r="AI1" s="1" t="inlineStr">
        <is>
          <t xml:space="preserve">Proxima_Acao</t>
        </is>
      </c>
      <c r="AJ1" s="1" t="inlineStr">
        <is>
          <t xml:space="preserve">Pendencia</t>
        </is>
      </c>
      <c r="AK1" s="1" t="inlineStr">
        <is>
          <t xml:space="preserve">Ultima_Atualizacao</t>
        </is>
      </c>
      <c r="AL1" s="1" t="inlineStr">
        <is>
          <t xml:space="preserve">Unidades_Corresponsaveis</t>
        </is>
      </c>
    </row>
    <row r="2">
      <c r="A2" s="3" t="inlineStr">
        <is>
          <t xml:space="preserve">P-06.01</t>
        </is>
      </c>
      <c r="B2" s="7" t="str">
        <f>IF(A2="","",IF(LEFT(A2,2)="P-","MP-"&amp;MID(A2,3,2),""))</f>
        <v>MP-06</v>
      </c>
      <c r="C2" s="3" t="inlineStr">
        <is>
          <t xml:space="preserve">Planejamento da Contratação</t>
        </is>
      </c>
      <c r="D2" s="3" t="inlineStr">
        <is>
          <t xml:space="preserve">Da identificação da necessidade (DFD) até a aprovação do ETP, TR e pesquisa de preços que instruem o certame.</t>
        </is>
      </c>
      <c r="E2" s="3" t="inlineStr">
        <is>
          <t xml:space="preserve">Instruir as contratações com estudos e artefatos completos, reduzindo retrabalho e impugnações.</t>
        </is>
      </c>
      <c r="F2" s="3" t="inlineStr">
        <is>
          <t xml:space="preserve">AA/GLC</t>
        </is>
      </c>
      <c r="G2" s="3" t="inlineStr">
        <is>
          <t xml:space="preserve">Gerente de Licitações</t>
        </is>
      </c>
      <c r="H2" s="3" t="inlineStr">
        <is>
          <t xml:space="preserve">Carlos Eduardo Lima (UNP)</t>
        </is>
      </c>
      <c r="I2" s="3" t="inlineStr">
        <is>
          <t xml:space="preserve">Alta</t>
        </is>
      </c>
      <c r="J2" s="3" t="inlineStr">
        <is>
          <t xml:space="preserve">Alta</t>
        </is>
      </c>
      <c r="K2" s="3" t="inlineStr">
        <is>
          <t xml:space="preserve">Concluído</t>
        </is>
      </c>
      <c r="L2" s="7">
        <f>IF(COUNTIF(Y2:AH2,"Sim")+COUNTIF(Y2:AH2,"Não")=0,"",ROUND(COUNTIF(Y2:AH2,"Sim")/(COUNTIF(Y2:AH2,"Sim")+COUNTIF(Y2:AH2,"Não")),4))</f>
        <v>1</v>
      </c>
      <c r="M2" s="3" t="inlineStr">
        <is>
          <t xml:space="preserve">5. Medir o sucesso</t>
        </is>
      </c>
      <c r="N2" s="3" t="inlineStr">
        <is>
          <t xml:space="preserve">2026-01-05</t>
        </is>
      </c>
      <c r="O2" s="3" t="inlineStr">
        <is>
          <t xml:space="preserve">2026-05-29</t>
        </is>
      </c>
      <c r="P2" s="3" t="inlineStr">
        <is>
          <t xml:space="preserve">2026-05-18</t>
        </is>
      </c>
      <c r="Q2" s="3" t="inlineStr">
        <is>
          <t xml:space="preserve">Áreas demandantes; Painel de Preços; Fornecedores (cotações)</t>
        </is>
      </c>
      <c r="R2" s="3" t="inlineStr">
        <is>
          <t xml:space="preserve">DFD; Plano de Contratações Anual; Requisitos da área</t>
        </is>
      </c>
      <c r="S2" s="3" t="inlineStr">
        <is>
          <t xml:space="preserve">ETP aprovado; TR aprovado; Pesquisa de preços validada</t>
        </is>
      </c>
      <c r="T2" s="3" t="inlineStr">
        <is>
          <t xml:space="preserve">AA/GLC (Seleção do Fornecedor); Assessoria Jurídica</t>
        </is>
      </c>
      <c r="U2" s="3" t="inlineStr">
        <is>
          <t xml:space="preserve">e-Codevasf; Compras.gov.br; Painel de Preços</t>
        </is>
      </c>
      <c r="V2" s="3" t="inlineStr">
        <is>
          <t xml:space="preserve">Lei nº 14.133/2021; IN SEGES nº 65/2021; NI-027/2024 (fictícia)</t>
        </is>
      </c>
      <c r="W2" s="3" t="inlineStr">
        <is>
          <t xml:space="preserve">59500.000123/2026-11</t>
        </is>
      </c>
      <c r="X2" s="3" t="inlineStr">
        <is>
          <t xml:space="preserve">https://fluxosti.codevasf.gov.br/incidentes/</t>
        </is>
      </c>
      <c r="Y2" s="3" t="inlineStr">
        <is>
          <t xml:space="preserve">Sim</t>
        </is>
      </c>
      <c r="Z2" s="3" t="inlineStr">
        <is>
          <t xml:space="preserve">Sim</t>
        </is>
      </c>
      <c r="AA2" s="3" t="inlineStr">
        <is>
          <t xml:space="preserve">Sim</t>
        </is>
      </c>
      <c r="AB2" s="3" t="inlineStr">
        <is>
          <t xml:space="preserve">Sim</t>
        </is>
      </c>
      <c r="AC2" s="3" t="inlineStr">
        <is>
          <t xml:space="preserve">Sim</t>
        </is>
      </c>
      <c r="AD2" s="3" t="inlineStr">
        <is>
          <t xml:space="preserve">Sim</t>
        </is>
      </c>
      <c r="AE2" s="3" t="inlineStr">
        <is>
          <t xml:space="preserve">Sim</t>
        </is>
      </c>
      <c r="AF2" s="3" t="inlineStr">
        <is>
          <t xml:space="preserve">Sim</t>
        </is>
      </c>
      <c r="AG2" s="3" t="inlineStr">
        <is>
          <t xml:space="preserve">Sim</t>
        </is>
      </c>
      <c r="AH2" s="3" t="inlineStr">
        <is>
          <t xml:space="preserve">Sim</t>
        </is>
      </c>
      <c r="AI2" s="3" t="inlineStr">
        <is>
          <t xml:space="preserve">Monitorar indicadores do processo e revisar o PRO em 12 meses.</t>
        </is>
      </c>
      <c r="AL2" s="3" t="inlineStr">
        <is>
          <t xml:space="preserve">AE/GAG; AR/GDT</t>
        </is>
      </c>
    </row>
    <row r="3">
      <c r="A3" s="2" t="inlineStr">
        <is>
          <t xml:space="preserve">P-06.02</t>
        </is>
      </c>
      <c r="B3" s="7" t="str">
        <f>IF(A3="","",IF(LEFT(A3,2)="P-","MP-"&amp;MID(A3,3,2),""))</f>
        <v>MP-06</v>
      </c>
      <c r="C3" s="2" t="inlineStr">
        <is>
          <t xml:space="preserve">Seleção do Fornecedor</t>
        </is>
      </c>
      <c r="D3" s="2" t="inlineStr">
        <is>
          <t xml:space="preserve">Da divulgação do edital à homologação do resultado, incluindo sessão pública, julgamento e recursos.</t>
        </is>
      </c>
      <c r="E3" s="2" t="inlineStr">
        <is>
          <t xml:space="preserve">Selecionar a proposta mais vantajosa com celeridade e segurança jurídica.</t>
        </is>
      </c>
      <c r="F3" s="2" t="inlineStr">
        <is>
          <t xml:space="preserve">AA/GLC</t>
        </is>
      </c>
      <c r="G3" s="2" t="inlineStr">
        <is>
          <t xml:space="preserve">Gerente de Licitações</t>
        </is>
      </c>
      <c r="H3" s="2" t="inlineStr">
        <is>
          <t xml:space="preserve">Carlos Eduardo Lima (UNP)</t>
        </is>
      </c>
      <c r="I3" s="2" t="inlineStr">
        <is>
          <t xml:space="preserve">Alta</t>
        </is>
      </c>
      <c r="J3" s="2" t="inlineStr">
        <is>
          <t xml:space="preserve">Média</t>
        </is>
      </c>
      <c r="K3" s="2" t="inlineStr">
        <is>
          <t xml:space="preserve">Em andamento</t>
        </is>
      </c>
      <c r="L3" s="7">
        <f>IF(COUNTIF(Y3:AH3,"Sim")+COUNTIF(Y3:AH3,"Não")=0,"",ROUND(COUNTIF(Y3:AH3,"Sim")/(COUNTIF(Y3:AH3,"Sim")+COUNTIF(Y3:AH3,"Não")),4))</f>
        <v>0.4</v>
      </c>
      <c r="M3" s="2" t="inlineStr">
        <is>
          <t xml:space="preserve">2. Arquitetar mudanças</t>
        </is>
      </c>
      <c r="N3" s="2" t="inlineStr">
        <is>
          <t xml:space="preserve">2026-06-01</t>
        </is>
      </c>
      <c r="O3" s="2" t="inlineStr">
        <is>
          <t xml:space="preserve">2026-09-30</t>
        </is>
      </c>
      <c r="Q3" s="2" t="inlineStr">
        <is>
          <t xml:space="preserve">P-06.01 (artefatos); Compras.gov.br</t>
        </is>
      </c>
      <c r="R3" s="2" t="inlineStr">
        <is>
          <t xml:space="preserve">Edital minutado; Parecer jurídico; ETP/TR</t>
        </is>
      </c>
      <c r="S3" s="2" t="inlineStr">
        <is>
          <t xml:space="preserve">Resultado homologado; Contrato/ata para assinatura</t>
        </is>
      </c>
      <c r="T3" s="2" t="inlineStr">
        <is>
          <t xml:space="preserve">Unidades demandantes; Fornecedores</t>
        </is>
      </c>
      <c r="U3" s="2" t="inlineStr">
        <is>
          <t xml:space="preserve">Compras.gov.br; PNCP; e-Codevasf</t>
        </is>
      </c>
      <c r="V3" s="2" t="inlineStr">
        <is>
          <t xml:space="preserve">Lei nº 14.133/2021; NI-027/2024 (fictícia)</t>
        </is>
      </c>
      <c r="W3" s="2" t="inlineStr">
        <is>
          <t xml:space="preserve">59500.000456/2026-22</t>
        </is>
      </c>
      <c r="Y3" s="2" t="inlineStr">
        <is>
          <t xml:space="preserve">Sim</t>
        </is>
      </c>
      <c r="Z3" s="2" t="inlineStr">
        <is>
          <t xml:space="preserve">Sim</t>
        </is>
      </c>
      <c r="AA3" s="2" t="inlineStr">
        <is>
          <t xml:space="preserve">Sim</t>
        </is>
      </c>
      <c r="AB3" s="2" t="inlineStr">
        <is>
          <t xml:space="preserve">Sim</t>
        </is>
      </c>
      <c r="AC3" s="2" t="inlineStr">
        <is>
          <t xml:space="preserve">Não</t>
        </is>
      </c>
      <c r="AD3" s="2" t="inlineStr">
        <is>
          <t xml:space="preserve">Não</t>
        </is>
      </c>
      <c r="AE3" s="2" t="inlineStr">
        <is>
          <t xml:space="preserve">Não</t>
        </is>
      </c>
      <c r="AF3" s="2" t="inlineStr">
        <is>
          <t xml:space="preserve">Não</t>
        </is>
      </c>
      <c r="AG3" s="2" t="inlineStr">
        <is>
          <t xml:space="preserve">Não</t>
        </is>
      </c>
      <c r="AH3" s="2" t="inlineStr">
        <is>
          <t xml:space="preserve">Não</t>
        </is>
      </c>
      <c r="AI3" s="2" t="inlineStr">
        <is>
          <t xml:space="preserve">Validar AS-IS com o dono do processo (reunião marcada).</t>
        </is>
      </c>
      <c r="AJ3" s="2" t="inlineStr">
        <is>
          <t xml:space="preserve">Pendente retorno da área sobre fluxo de recursos administrativos.</t>
        </is>
      </c>
      <c r="AL3" s="2" t="inlineStr">
        <is>
          <t xml:space="preserve">AR/GDT; AI/GOM</t>
        </is>
      </c>
    </row>
    <row r="4">
      <c r="A4" s="3" t="inlineStr">
        <is>
          <t xml:space="preserve">P-06.03</t>
        </is>
      </c>
      <c r="B4" s="7" t="str">
        <f>IF(A4="","",IF(LEFT(A4,2)="P-","MP-"&amp;MID(A4,3,2),""))</f>
        <v>MP-06</v>
      </c>
      <c r="C4" s="3" t="inlineStr">
        <is>
          <t xml:space="preserve">Gestão e Fiscalização Contratual</t>
        </is>
      </c>
      <c r="D4" s="3" t="inlineStr">
        <is>
          <t xml:space="preserve">Da assinatura do contrato ao encerramento, incluindo fiscalização, medições, pagamentos e sanções.</t>
        </is>
      </c>
      <c r="E4" s="3" t="inlineStr">
        <is>
          <t xml:space="preserve">Garantir a entrega do objeto contratado no prazo, custo e qualidade pactuados.</t>
        </is>
      </c>
      <c r="F4" s="3" t="inlineStr">
        <is>
          <t xml:space="preserve">AA/GLC</t>
        </is>
      </c>
      <c r="G4" s="3" t="inlineStr">
        <is>
          <t xml:space="preserve">Gerente de Licitações</t>
        </is>
      </c>
      <c r="H4" s="3" t="inlineStr">
        <is>
          <t xml:space="preserve">Bruna Souza (UNP)</t>
        </is>
      </c>
      <c r="I4" s="3" t="inlineStr">
        <is>
          <t xml:space="preserve">Alta</t>
        </is>
      </c>
      <c r="J4" s="3" t="inlineStr">
        <is>
          <t xml:space="preserve">Alta</t>
        </is>
      </c>
      <c r="K4" s="3" t="inlineStr">
        <is>
          <t xml:space="preserve">Em andamento</t>
        </is>
      </c>
      <c r="L4" s="7">
        <f>IF(COUNTIF(Y4:AH4,"Sim")+COUNTIF(Y4:AH4,"Não")=0,"",ROUND(COUNTIF(Y4:AH4,"Sim")/(COUNTIF(Y4:AH4,"Sim")+COUNTIF(Y4:AH4,"Não")),4))</f>
        <v>0.2</v>
      </c>
      <c r="M4" s="3" t="inlineStr">
        <is>
          <t xml:space="preserve">2. Arquitetar mudanças</t>
        </is>
      </c>
      <c r="N4" s="3" t="inlineStr">
        <is>
          <t xml:space="preserve">2026-06-15</t>
        </is>
      </c>
      <c r="O4" s="3" t="inlineStr">
        <is>
          <t xml:space="preserve">2026-11-30</t>
        </is>
      </c>
      <c r="Q4" s="3" t="inlineStr">
        <is>
          <t xml:space="preserve">P-06.02 (contrato); Fornecedores contratados</t>
        </is>
      </c>
      <c r="R4" s="3" t="inlineStr">
        <is>
          <t xml:space="preserve">Contrato assinado; Cronograma; Garantias</t>
        </is>
      </c>
      <c r="S4" s="3" t="inlineStr">
        <is>
          <t xml:space="preserve">Objeto recebido; Pagamentos efetuados; Termo de encerramento</t>
        </is>
      </c>
      <c r="T4" s="3" t="inlineStr">
        <is>
          <t xml:space="preserve">Unidades demandantes; Fornecedores</t>
        </is>
      </c>
      <c r="U4" s="3" t="inlineStr">
        <is>
          <t xml:space="preserve">e-Codevasf; Compras.gov.br</t>
        </is>
      </c>
      <c r="V4" s="3" t="inlineStr">
        <is>
          <t xml:space="preserve">Lei nº 14.133/2021; Manual de Fiscalização (fictício)</t>
        </is>
      </c>
      <c r="W4" s="3" t="inlineStr">
        <is>
          <t xml:space="preserve">59500.000789/2026-33</t>
        </is>
      </c>
      <c r="Y4" s="3" t="inlineStr">
        <is>
          <t xml:space="preserve">Sim</t>
        </is>
      </c>
      <c r="Z4" s="3" t="inlineStr">
        <is>
          <t xml:space="preserve">Sim</t>
        </is>
      </c>
      <c r="AA4" s="3" t="inlineStr">
        <is>
          <t xml:space="preserve">Não</t>
        </is>
      </c>
      <c r="AB4" s="3" t="inlineStr">
        <is>
          <t xml:space="preserve">Não</t>
        </is>
      </c>
      <c r="AC4" s="3" t="inlineStr">
        <is>
          <t xml:space="preserve">Não</t>
        </is>
      </c>
      <c r="AD4" s="3" t="inlineStr">
        <is>
          <t xml:space="preserve">Não</t>
        </is>
      </c>
      <c r="AE4" s="3" t="inlineStr">
        <is>
          <t xml:space="preserve">Não</t>
        </is>
      </c>
      <c r="AF4" s="3" t="inlineStr">
        <is>
          <t xml:space="preserve">Não</t>
        </is>
      </c>
      <c r="AG4" s="3" t="inlineStr">
        <is>
          <t xml:space="preserve">Não</t>
        </is>
      </c>
      <c r="AH4" s="3" t="inlineStr">
        <is>
          <t xml:space="preserve">Não</t>
        </is>
      </c>
      <c r="AI4" s="3" t="inlineStr">
        <is>
          <t xml:space="preserve">Concluir modelagem AS-IS das medições e pagamentos.</t>
        </is>
      </c>
      <c r="AL4" s="3" t="inlineStr">
        <is>
          <t xml:space="preserve">AI/GOM; AR/GRB</t>
        </is>
      </c>
    </row>
    <row r="5">
      <c r="A5" s="2" t="inlineStr">
        <is>
          <t xml:space="preserve">P-04.01</t>
        </is>
      </c>
      <c r="B5" s="7" t="str">
        <f>IF(A5="","",IF(LEFT(A5,2)="P-","MP-"&amp;MID(A5,3,2),""))</f>
        <v>MP-04</v>
      </c>
      <c r="C5" s="2" t="inlineStr">
        <is>
          <t xml:space="preserve">Operação e Manutenção de Perímetros Irrigados</t>
        </is>
      </c>
      <c r="D5" s="2" t="inlineStr">
        <is>
          <t xml:space="preserve">Programação e distribuição de água, manutenção da infraestrutura de uso comum e relacionamento com irrigantes.</t>
        </is>
      </c>
      <c r="E5" s="2" t="inlineStr">
        <is>
          <t xml:space="preserve">Assegurar a distribuição hídrica confiável e a conservação dos ativos.</t>
        </is>
      </c>
      <c r="F5" s="2" t="inlineStr">
        <is>
          <t xml:space="preserve">AI/GOM</t>
        </is>
      </c>
      <c r="G5" s="2" t="inlineStr">
        <is>
          <t xml:space="preserve">Gerente de Operação</t>
        </is>
      </c>
      <c r="H5" s="2" t="inlineStr">
        <is>
          <t xml:space="preserve">Eduardo Martins (UNP)</t>
        </is>
      </c>
      <c r="I5" s="2" t="inlineStr">
        <is>
          <t xml:space="preserve">Média</t>
        </is>
      </c>
      <c r="J5" s="2" t="inlineStr">
        <is>
          <t xml:space="preserve">Alta</t>
        </is>
      </c>
      <c r="K5" s="2" t="inlineStr">
        <is>
          <t xml:space="preserve">Em andamento</t>
        </is>
      </c>
      <c r="L5" s="7">
        <f>IF(COUNTIF(Y5:AH5,"Sim")+COUNTIF(Y5:AH5,"Não")=0,"",ROUND(COUNTIF(Y5:AH5,"Sim")/(COUNTIF(Y5:AH5,"Sim")+COUNTIF(Y5:AH5,"Não")),4))</f>
        <v>0.3</v>
      </c>
      <c r="M5" s="2" t="inlineStr">
        <is>
          <t xml:space="preserve">2. Arquitetar mudanças</t>
        </is>
      </c>
      <c r="N5" s="2" t="inlineStr">
        <is>
          <t xml:space="preserve">2026-05-04</t>
        </is>
      </c>
      <c r="O5" s="2" t="inlineStr">
        <is>
          <t xml:space="preserve">2026-10-30</t>
        </is>
      </c>
      <c r="Q5" s="2" t="inlineStr">
        <is>
          <t xml:space="preserve">ANA (outorgas); Distritos de irrigação</t>
        </is>
      </c>
      <c r="R5" s="2" t="inlineStr">
        <is>
          <t xml:space="preserve">Outorga de uso; Demanda de irrigação; Plano de cultivo</t>
        </is>
      </c>
      <c r="S5" s="2" t="inlineStr">
        <is>
          <t xml:space="preserve">Água distribuída; Infraestrutura mantida; Relatórios de O&amp;M</t>
        </is>
      </c>
      <c r="T5" s="2" t="inlineStr">
        <is>
          <t xml:space="preserve">Irrigantes; Distritos</t>
        </is>
      </c>
      <c r="U5" s="2" t="inlineStr">
        <is>
          <t xml:space="preserve">SIG-Irrigação (fictício); e-Codevasf</t>
        </is>
      </c>
      <c r="V5" s="2" t="inlineStr">
        <is>
          <t xml:space="preserve">Lei nº 12.787/2013</t>
        </is>
      </c>
      <c r="W5" s="2" t="inlineStr">
        <is>
          <t xml:space="preserve">59500.000901/2026-44</t>
        </is>
      </c>
      <c r="Y5" s="2" t="inlineStr">
        <is>
          <t xml:space="preserve">Sim</t>
        </is>
      </c>
      <c r="Z5" s="2" t="inlineStr">
        <is>
          <t xml:space="preserve">Sim</t>
        </is>
      </c>
      <c r="AA5" s="2" t="inlineStr">
        <is>
          <t xml:space="preserve">Sim</t>
        </is>
      </c>
      <c r="AB5" s="2" t="inlineStr">
        <is>
          <t xml:space="preserve">Não</t>
        </is>
      </c>
      <c r="AC5" s="2" t="inlineStr">
        <is>
          <t xml:space="preserve">Não</t>
        </is>
      </c>
      <c r="AD5" s="2" t="inlineStr">
        <is>
          <t xml:space="preserve">Não</t>
        </is>
      </c>
      <c r="AE5" s="2" t="inlineStr">
        <is>
          <t xml:space="preserve">Não</t>
        </is>
      </c>
      <c r="AF5" s="2" t="inlineStr">
        <is>
          <t xml:space="preserve">Não</t>
        </is>
      </c>
      <c r="AG5" s="2" t="inlineStr">
        <is>
          <t xml:space="preserve">Não</t>
        </is>
      </c>
      <c r="AH5" s="2" t="inlineStr">
        <is>
          <t xml:space="preserve">Não</t>
        </is>
      </c>
      <c r="AI5" s="2" t="inlineStr">
        <is>
          <t xml:space="preserve">Agendar oficina de validação do AS-IS com o distrito.</t>
        </is>
      </c>
      <c r="AL5" s="2" t="inlineStr">
        <is>
          <t xml:space="preserve">AR/GRB; AA/GLC</t>
        </is>
      </c>
    </row>
    <row r="6">
      <c r="A6" s="3" t="inlineStr">
        <is>
          <t xml:space="preserve">P-05.01</t>
        </is>
      </c>
      <c r="B6" s="7" t="str">
        <f>IF(A6="","",IF(LEFT(A6,2)="P-","MP-"&amp;MID(A6,3,2),""))</f>
        <v>MP-05</v>
      </c>
      <c r="C6" s="3" t="inlineStr">
        <is>
          <t xml:space="preserve">Recuperação de Nascentes e Matas Ciliares</t>
        </is>
      </c>
      <c r="D6" s="3" t="inlineStr">
        <is>
          <t xml:space="preserve">Seleção de áreas, execução de cercamento e plantio, e monitoramento da regeneração.</t>
        </is>
      </c>
      <c r="E6" s="3" t="inlineStr">
        <is>
          <t xml:space="preserve">Recuperar áreas degradadas prioritárias das bacias.</t>
        </is>
      </c>
      <c r="F6" s="3" t="inlineStr">
        <is>
          <t xml:space="preserve">AR/GRB</t>
        </is>
      </c>
      <c r="G6" s="3" t="inlineStr">
        <is>
          <t xml:space="preserve">Gerente de Revitalização</t>
        </is>
      </c>
      <c r="H6" s="3" t="inlineStr">
        <is>
          <t xml:space="preserve">Eduardo Martins (UNP)</t>
        </is>
      </c>
      <c r="I6" s="3" t="inlineStr">
        <is>
          <t xml:space="preserve">Média</t>
        </is>
      </c>
      <c r="J6" s="3" t="inlineStr">
        <is>
          <t xml:space="preserve">Média</t>
        </is>
      </c>
      <c r="K6" s="3" t="inlineStr">
        <is>
          <t xml:space="preserve">Não iniciado</t>
        </is>
      </c>
      <c r="L6" s="7">
        <f>IF(COUNTIF(Y6:AH6,"Sim")+COUNTIF(Y6:AH6,"Não")=0,"",ROUND(COUNTIF(Y6:AH6,"Sim")/(COUNTIF(Y6:AH6,"Sim")+COUNTIF(Y6:AH6,"Não")),4))</f>
        <v>0</v>
      </c>
      <c r="M6" s="3" t="inlineStr">
        <is>
          <t xml:space="preserve">1. Alinhamento à estratégia e metas</t>
        </is>
      </c>
      <c r="O6" s="3" t="inlineStr">
        <is>
          <t xml:space="preserve">2027-03-31</t>
        </is>
      </c>
      <c r="Q6" s="3" t="inlineStr">
        <is>
          <t xml:space="preserve">Municípios; Comitês de bacia</t>
        </is>
      </c>
      <c r="R6" s="3" t="inlineStr">
        <is>
          <t xml:space="preserve">Diagnóstico hidroambiental; Termos de cooperação</t>
        </is>
      </c>
      <c r="S6" s="3" t="inlineStr">
        <is>
          <t xml:space="preserve">Nascentes recuperadas; Relatórios de monitoramento</t>
        </is>
      </c>
      <c r="T6" s="3" t="inlineStr">
        <is>
          <t xml:space="preserve">Comunidades; Órgãos ambientais</t>
        </is>
      </c>
      <c r="U6" s="3" t="inlineStr">
        <is>
          <t xml:space="preserve">e-Codevasf; GeoPortal (fictício)</t>
        </is>
      </c>
      <c r="V6" s="3" t="inlineStr">
        <is>
          <t xml:space="preserve">Legislação ambiental aplicável</t>
        </is>
      </c>
      <c r="Y6" s="3" t="inlineStr">
        <is>
          <t xml:space="preserve">Não</t>
        </is>
      </c>
      <c r="Z6" s="3" t="inlineStr">
        <is>
          <t xml:space="preserve">Não</t>
        </is>
      </c>
      <c r="AA6" s="3" t="inlineStr">
        <is>
          <t xml:space="preserve">Não</t>
        </is>
      </c>
      <c r="AB6" s="3" t="inlineStr">
        <is>
          <t xml:space="preserve">Não</t>
        </is>
      </c>
      <c r="AC6" s="3" t="inlineStr">
        <is>
          <t xml:space="preserve">Não</t>
        </is>
      </c>
      <c r="AD6" s="3" t="inlineStr">
        <is>
          <t xml:space="preserve">Não</t>
        </is>
      </c>
      <c r="AE6" s="3" t="inlineStr">
        <is>
          <t xml:space="preserve">Não</t>
        </is>
      </c>
      <c r="AF6" s="3" t="inlineStr">
        <is>
          <t xml:space="preserve">Não</t>
        </is>
      </c>
      <c r="AG6" s="3" t="inlineStr">
        <is>
          <t xml:space="preserve">Não</t>
        </is>
      </c>
      <c r="AH6" s="3" t="inlineStr">
        <is>
          <t xml:space="preserve">Não</t>
        </is>
      </c>
      <c r="AI6" s="3" t="inlineStr">
        <is>
          <t xml:space="preserve">Enviar formulário de levantamento à área (previsto ago/2026).</t>
        </is>
      </c>
      <c r="AL6" s="3" t="inlineStr">
        <is>
          <t xml:space="preserve">AA/GLC; AG/GGP</t>
        </is>
      </c>
    </row>
    <row r="7">
      <c r="A7" s="2" t="inlineStr">
        <is>
          <t xml:space="preserve">P-01.01</t>
        </is>
      </c>
      <c r="B7" s="7" t="str">
        <f>IF(A7="","",IF(LEFT(A7,2)="P-","MP-"&amp;MID(A7,3,2),""))</f>
        <v>MP-01</v>
      </c>
      <c r="C7" s="2" t="inlineStr">
        <is>
          <t xml:space="preserve">Formulação e Monitoramento do Planejamento Estratégico</t>
        </is>
      </c>
      <c r="D7" s="2" t="inlineStr">
        <is>
          <t xml:space="preserve">Construção do plano estratégico, desdobramento em planos de ação e monitoramento periódico de resultados.</t>
        </is>
      </c>
      <c r="E7" s="2" t="inlineStr">
        <is>
          <t xml:space="preserve">Manter a estratégia viva, monitorada e comunicada.</t>
        </is>
      </c>
      <c r="F7" s="2" t="inlineStr">
        <is>
          <t xml:space="preserve">AE/GPE</t>
        </is>
      </c>
      <c r="G7" s="2" t="inlineStr">
        <is>
          <t xml:space="preserve">Gerente de Planejamento</t>
        </is>
      </c>
      <c r="H7" s="2" t="inlineStr">
        <is>
          <t xml:space="preserve">Gustavo Pereira (UNP)</t>
        </is>
      </c>
      <c r="I7" s="2" t="inlineStr">
        <is>
          <t xml:space="preserve">Alta</t>
        </is>
      </c>
      <c r="J7" s="2" t="inlineStr">
        <is>
          <t xml:space="preserve">Média</t>
        </is>
      </c>
      <c r="K7" s="2" t="inlineStr">
        <is>
          <t xml:space="preserve">Concluído</t>
        </is>
      </c>
      <c r="L7" s="7">
        <f>IF(COUNTIF(Y7:AH7,"Sim")+COUNTIF(Y7:AH7,"Não")=0,"",ROUND(COUNTIF(Y7:AH7,"Sim")/(COUNTIF(Y7:AH7,"Sim")+COUNTIF(Y7:AH7,"Não")),4))</f>
        <v>1</v>
      </c>
      <c r="M7" s="2" t="inlineStr">
        <is>
          <t xml:space="preserve">5. Medir o sucesso</t>
        </is>
      </c>
      <c r="N7" s="2" t="inlineStr">
        <is>
          <t xml:space="preserve">2025-09-01</t>
        </is>
      </c>
      <c r="O7" s="2" t="inlineStr">
        <is>
          <t xml:space="preserve">2026-02-27</t>
        </is>
      </c>
      <c r="P7" s="2" t="inlineStr">
        <is>
          <t xml:space="preserve">2026-02-20</t>
        </is>
      </c>
      <c r="Q7" s="2" t="inlineStr">
        <is>
          <t xml:space="preserve">Diretoria; Unidades</t>
        </is>
      </c>
      <c r="R7" s="2" t="inlineStr">
        <is>
          <t xml:space="preserve">Diretrizes de governo; Diagnóstico institucional</t>
        </is>
      </c>
      <c r="S7" s="2" t="inlineStr">
        <is>
          <t xml:space="preserve">Plano Estratégico; Painel de indicadores; RAG</t>
        </is>
      </c>
      <c r="T7" s="2" t="inlineStr">
        <is>
          <t xml:space="preserve">Diretoria Executiva; Conselhos</t>
        </is>
      </c>
      <c r="U7" s="2" t="inlineStr">
        <is>
          <t xml:space="preserve">e-Codevasf; Painéis de BI</t>
        </is>
      </c>
      <c r="V7" s="2" t="inlineStr">
        <is>
          <t xml:space="preserve">Lei nº 13.303/2016</t>
        </is>
      </c>
      <c r="W7" s="2" t="inlineStr">
        <is>
          <t xml:space="preserve">59500.000015/2025-77</t>
        </is>
      </c>
      <c r="Y7" s="2" t="inlineStr">
        <is>
          <t xml:space="preserve">Sim</t>
        </is>
      </c>
      <c r="Z7" s="2" t="inlineStr">
        <is>
          <t xml:space="preserve">Sim</t>
        </is>
      </c>
      <c r="AA7" s="2" t="inlineStr">
        <is>
          <t xml:space="preserve">Sim</t>
        </is>
      </c>
      <c r="AB7" s="2" t="inlineStr">
        <is>
          <t xml:space="preserve">Sim</t>
        </is>
      </c>
      <c r="AC7" s="2" t="inlineStr">
        <is>
          <t xml:space="preserve">Sim</t>
        </is>
      </c>
      <c r="AD7" s="2" t="inlineStr">
        <is>
          <t xml:space="preserve">Sim</t>
        </is>
      </c>
      <c r="AE7" s="2" t="inlineStr">
        <is>
          <t xml:space="preserve">Sim</t>
        </is>
      </c>
      <c r="AF7" s="2" t="inlineStr">
        <is>
          <t xml:space="preserve">Sim</t>
        </is>
      </c>
      <c r="AG7" s="2" t="inlineStr">
        <is>
          <t xml:space="preserve">Sim</t>
        </is>
      </c>
      <c r="AH7" s="2" t="inlineStr">
        <is>
          <t xml:space="preserve">Sim</t>
        </is>
      </c>
      <c r="AI7" s="2" t="inlineStr">
        <is>
          <t xml:space="preserve">Ciclo de monitoramento trimestral (próximo: set/2026).</t>
        </is>
      </c>
      <c r="AL7" s="2" t="inlineStr">
        <is>
          <t xml:space="preserve">AG/GGP; AT/GTI</t>
        </is>
      </c>
    </row>
    <row r="8">
      <c r="A8" s="3" t="inlineStr">
        <is>
          <t xml:space="preserve">P-07.01</t>
        </is>
      </c>
      <c r="B8" s="7" t="str">
        <f>IF(A8="","",IF(LEFT(A8,2)="P-","MP-"&amp;MID(A8,3,2),""))</f>
        <v>MP-07</v>
      </c>
      <c r="C8" s="3" t="inlineStr">
        <is>
          <t xml:space="preserve">Admissão e Integração de Empregados</t>
        </is>
      </c>
      <c r="D8" s="3" t="inlineStr">
        <is>
          <t xml:space="preserve">Da homologação do concurso à integração do novo empregado, incluindo exames, posse e ambientação.</t>
        </is>
      </c>
      <c r="E8" s="3" t="inlineStr">
        <is>
          <t xml:space="preserve">Admitir e integrar novos empregados com agilidade e conformidade.</t>
        </is>
      </c>
      <c r="F8" s="3" t="inlineStr">
        <is>
          <t xml:space="preserve">AG/GGP</t>
        </is>
      </c>
      <c r="G8" s="3" t="inlineStr">
        <is>
          <t xml:space="preserve">Gerente de Pessoas</t>
        </is>
      </c>
      <c r="H8" s="3" t="inlineStr">
        <is>
          <t xml:space="preserve">Bruna Souza (UNP)</t>
        </is>
      </c>
      <c r="I8" s="3" t="inlineStr">
        <is>
          <t xml:space="preserve">Baixa</t>
        </is>
      </c>
      <c r="J8" s="3" t="inlineStr">
        <is>
          <t xml:space="preserve">Baixa</t>
        </is>
      </c>
      <c r="K8" s="3" t="inlineStr">
        <is>
          <t xml:space="preserve">Não iniciado</t>
        </is>
      </c>
      <c r="L8" s="7">
        <f>IF(COUNTIF(Y8:AH8,"Sim")+COUNTIF(Y8:AH8,"Não")=0,"",ROUND(COUNTIF(Y8:AH8,"Sim")/(COUNTIF(Y8:AH8,"Sim")+COUNTIF(Y8:AH8,"Não")),4))</f>
        <v>0</v>
      </c>
      <c r="M8" s="3" t="inlineStr">
        <is>
          <t xml:space="preserve">1. Alinhamento à estratégia e metas</t>
        </is>
      </c>
      <c r="O8" s="3" t="inlineStr">
        <is>
          <t xml:space="preserve">2027-06-30</t>
        </is>
      </c>
      <c r="Q8" s="3" t="inlineStr">
        <is>
          <t xml:space="preserve">Banca do concurso; Candidatos</t>
        </is>
      </c>
      <c r="R8" s="3" t="inlineStr">
        <is>
          <t xml:space="preserve">Resultado homologado; Documentação do candidato</t>
        </is>
      </c>
      <c r="S8" s="3" t="inlineStr">
        <is>
          <t xml:space="preserve">Empregado admitido e integrado</t>
        </is>
      </c>
      <c r="T8" s="3" t="inlineStr">
        <is>
          <t xml:space="preserve">Novos empregados; Unidades de lotação</t>
        </is>
      </c>
      <c r="U8" s="3" t="inlineStr">
        <is>
          <t xml:space="preserve">SIGEP (fictício); e-Codevasf</t>
        </is>
      </c>
      <c r="V8" s="3" t="inlineStr">
        <is>
          <t xml:space="preserve">CLT; Normas internas de pessoal</t>
        </is>
      </c>
      <c r="Y8" s="3" t="inlineStr">
        <is>
          <t xml:space="preserve">Não</t>
        </is>
      </c>
      <c r="Z8" s="3" t="inlineStr">
        <is>
          <t xml:space="preserve">Não</t>
        </is>
      </c>
      <c r="AA8" s="3" t="inlineStr">
        <is>
          <t xml:space="preserve">Não</t>
        </is>
      </c>
      <c r="AB8" s="3" t="inlineStr">
        <is>
          <t xml:space="preserve">Não</t>
        </is>
      </c>
      <c r="AC8" s="3" t="inlineStr">
        <is>
          <t xml:space="preserve">Não</t>
        </is>
      </c>
      <c r="AD8" s="3" t="inlineStr">
        <is>
          <t xml:space="preserve">Não</t>
        </is>
      </c>
      <c r="AE8" s="3" t="inlineStr">
        <is>
          <t xml:space="preserve">Não</t>
        </is>
      </c>
      <c r="AF8" s="3" t="inlineStr">
        <is>
          <t xml:space="preserve">Não</t>
        </is>
      </c>
      <c r="AG8" s="3" t="inlineStr">
        <is>
          <t xml:space="preserve">Não</t>
        </is>
      </c>
      <c r="AH8" s="3" t="inlineStr">
        <is>
          <t xml:space="preserve">Não</t>
        </is>
      </c>
      <c r="AI8" s="3" t="inlineStr">
        <is>
          <t xml:space="preserve">Aguardando priorização no ciclo 2027.</t>
        </is>
      </c>
      <c r="AL8" s="3" t="inlineStr">
        <is>
          <t xml:space="preserve">AT/GTI; AE/GPE</t>
        </is>
      </c>
    </row>
  </sheetData>
  <autoFilter ref="A1:AL1"/>
  <dataValidations count="14"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I2:I300">
      <formula1>Listas!$D$2:$D$4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J2:J300">
      <formula1>Listas!$E$2:$E$4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K2:K300">
      <formula1>Listas!$B$2:$B$5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M2:M300">
      <formula1>Listas!$C$2:$C$6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Y2:Y300">
      <formula1>Listas!$F$2:$F$4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Z2:Z300">
      <formula1>Listas!$F$2:$F$4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AA2:AA300">
      <formula1>Listas!$F$2:$F$4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AB2:AB300">
      <formula1>Listas!$F$2:$F$4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AC2:AC300">
      <formula1>Listas!$F$2:$F$4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AD2:AD300">
      <formula1>Listas!$F$2:$F$4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AE2:AE300">
      <formula1>Listas!$F$2:$F$4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AF2:AF300">
      <formula1>Listas!$F$2:$F$4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AG2:AG300">
      <formula1>Listas!$F$2:$F$4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AH2:AH300">
      <formula1>Listas!$F$2:$F$4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40B4"/>
  </sheetPr>
  <sheetViews>
    <sheetView zoomScale="90" workbookViewId="0">
      <pane xSplit="3" ySplit="1" topLeftCell="D2" activePane="bottomRight" state="frozen"/>
    </sheetView>
  </sheetViews>
  <sheetFormatPr defaultRowHeight="15"/>
  <cols>
    <col min="1" max="1" width="16" customWidth="1"/>
    <col min="2" max="2" width="16" customWidth="1"/>
    <col min="3" max="3" width="7" customWidth="1"/>
    <col min="4" max="4" width="34" customWidth="1"/>
    <col min="5" max="5" width="46" customWidth="1"/>
    <col min="6" max="6" width="40" customWidth="1"/>
    <col min="7" max="7" width="16" customWidth="1"/>
    <col min="8" max="8" width="24" customWidth="1"/>
    <col min="9" max="9" width="40" customWidth="1"/>
    <col min="10" max="10" width="40" customWidth="1"/>
    <col min="11" max="11" width="28" customWidth="1"/>
    <col min="12" max="12" width="30" customWidth="1"/>
    <col min="13" max="13" width="30" customWidth="1"/>
    <col min="14" max="14" width="13" customWidth="1"/>
    <col min="15" max="15" width="34" customWidth="1"/>
  </cols>
  <sheetData>
    <row r="1" ht="30" customHeight="1">
      <c r="A1" s="1" t="inlineStr">
        <is>
          <t xml:space="preserve">Codigo</t>
        </is>
      </c>
      <c r="B1" s="1" t="inlineStr">
        <is>
          <t xml:space="preserve">Vinculo_Pai</t>
        </is>
      </c>
      <c r="C1" s="1" t="inlineStr">
        <is>
          <t xml:space="preserve">Ordem</t>
        </is>
      </c>
      <c r="D1" s="1" t="inlineStr">
        <is>
          <t xml:space="preserve">Nome</t>
        </is>
      </c>
      <c r="E1" s="1" t="inlineStr">
        <is>
          <t xml:space="preserve">Descricao</t>
        </is>
      </c>
      <c r="F1" s="1" t="inlineStr">
        <is>
          <t xml:space="preserve">Objetivo</t>
        </is>
      </c>
      <c r="G1" s="1" t="inlineStr">
        <is>
          <t xml:space="preserve">Unidade_Responsavel</t>
        </is>
      </c>
      <c r="H1" s="1" t="inlineStr">
        <is>
          <t xml:space="preserve">Dono</t>
        </is>
      </c>
      <c r="I1" s="1" t="inlineStr">
        <is>
          <t xml:space="preserve">Entradas</t>
        </is>
      </c>
      <c r="J1" s="1" t="inlineStr">
        <is>
          <t xml:space="preserve">Saidas</t>
        </is>
      </c>
      <c r="K1" s="1" t="inlineStr">
        <is>
          <t xml:space="preserve">Sistemas</t>
        </is>
      </c>
      <c r="L1" s="1" t="inlineStr">
        <is>
          <t xml:space="preserve">Imagem_Bizagi</t>
        </is>
      </c>
      <c r="M1" s="1" t="inlineStr">
        <is>
          <t xml:space="preserve">Unidades_Corresponsaveis</t>
        </is>
      </c>
      <c r="N1" s="1" t="inlineStr">
        <is>
          <t xml:space="preserve">Reutilizavel</t>
        </is>
      </c>
      <c r="O1" s="1" t="inlineStr">
        <is>
          <t xml:space="preserve">Reutilizado_Em</t>
        </is>
      </c>
    </row>
    <row r="2">
      <c r="A2" s="3" t="inlineStr">
        <is>
          <t xml:space="preserve">SP-06.01.01</t>
        </is>
      </c>
      <c r="B2" s="3" t="inlineStr">
        <is>
          <t xml:space="preserve">P-06.01</t>
        </is>
      </c>
      <c r="C2" s="3" t="inlineStr">
        <is>
          <t xml:space="preserve">1</t>
        </is>
      </c>
      <c r="D2" s="3" t="inlineStr">
        <is>
          <t xml:space="preserve">Estudo Técnico Preliminar (ETP)</t>
        </is>
      </c>
      <c r="E2" s="3" t="inlineStr">
        <is>
          <t xml:space="preserve">Caracterização da necessidade, análise de soluções de mercado e demonstração da viabilidade da contratação.</t>
        </is>
      </c>
      <c r="F2" s="3" t="inlineStr">
        <is>
          <t xml:space="preserve">Fundamentar tecnicamente a melhor solução para a necessidade.</t>
        </is>
      </c>
      <c r="G2" s="3" t="inlineStr">
        <is>
          <t xml:space="preserve">AA/GLC</t>
        </is>
      </c>
      <c r="H2" s="3" t="inlineStr">
        <is>
          <t xml:space="preserve">Gerente de Licitações</t>
        </is>
      </c>
      <c r="I2" s="3" t="inlineStr">
        <is>
          <t xml:space="preserve">DFD; Levantamento de soluções de mercado</t>
        </is>
      </c>
      <c r="J2" s="3" t="inlineStr">
        <is>
          <t xml:space="preserve">ETP aprovado no e-Codevasf</t>
        </is>
      </c>
      <c r="K2" s="3" t="inlineStr">
        <is>
          <t xml:space="preserve">e-Codevasf; Compras.gov.br</t>
        </is>
      </c>
      <c r="M2" s="3" t="inlineStr">
        <is>
          <t xml:space="preserve">AI/GOM</t>
        </is>
      </c>
    </row>
    <row r="3">
      <c r="A3" s="2" t="inlineStr">
        <is>
          <t xml:space="preserve">SP-06.01.02</t>
        </is>
      </c>
      <c r="B3" s="2" t="inlineStr">
        <is>
          <t xml:space="preserve">P-06.01</t>
        </is>
      </c>
      <c r="C3" s="2" t="inlineStr">
        <is>
          <t xml:space="preserve">2</t>
        </is>
      </c>
      <c r="D3" s="2" t="inlineStr">
        <is>
          <t xml:space="preserve">Termo de Referência (TR)</t>
        </is>
      </c>
      <c r="E3" s="2" t="inlineStr">
        <is>
          <t xml:space="preserve">Definição do objeto, requisitos, modelo de execução e gestão contratual, e critérios de julgamento.</t>
        </is>
      </c>
      <c r="F3" s="2" t="inlineStr">
        <is>
          <t xml:space="preserve">Especificar com precisão o objeto e as condições da contratação.</t>
        </is>
      </c>
      <c r="G3" s="2" t="inlineStr">
        <is>
          <t xml:space="preserve">AA/GLC</t>
        </is>
      </c>
      <c r="H3" s="2" t="inlineStr">
        <is>
          <t xml:space="preserve">Gerente de Licitações</t>
        </is>
      </c>
      <c r="I3" s="2" t="inlineStr">
        <is>
          <t xml:space="preserve">ETP aprovado; Modelos padronizados de TR</t>
        </is>
      </c>
      <c r="J3" s="2" t="inlineStr">
        <is>
          <t xml:space="preserve">TR aprovado e validado juridicamente</t>
        </is>
      </c>
      <c r="K3" s="2" t="inlineStr">
        <is>
          <t xml:space="preserve">e-Codevasf</t>
        </is>
      </c>
      <c r="M3" s="2" t="inlineStr">
        <is>
          <t xml:space="preserve">AR/GRB</t>
        </is>
      </c>
    </row>
    <row r="4">
      <c r="A4" s="3" t="inlineStr">
        <is>
          <t xml:space="preserve">SP-06.01.03</t>
        </is>
      </c>
      <c r="B4" s="3" t="inlineStr">
        <is>
          <t xml:space="preserve">P-06.01</t>
        </is>
      </c>
      <c r="C4" s="3" t="inlineStr">
        <is>
          <t xml:space="preserve">3</t>
        </is>
      </c>
      <c r="D4" s="3" t="inlineStr">
        <is>
          <t xml:space="preserve">Pesquisa de Preços</t>
        </is>
      </c>
      <c r="E4" s="3" t="inlineStr">
        <is>
          <t xml:space="preserve">Levantamento de preços em fontes admitidas (Painel de Preços, PNCP, cotações) e consolidação do valor estimado.</t>
        </is>
      </c>
      <c r="F4" s="3" t="inlineStr">
        <is>
          <t xml:space="preserve">Estimar o valor da contratação conforme a IN SEGES nº 65/2021.</t>
        </is>
      </c>
      <c r="G4" s="3" t="inlineStr">
        <is>
          <t xml:space="preserve">AA/GLC</t>
        </is>
      </c>
      <c r="H4" s="3" t="inlineStr">
        <is>
          <t xml:space="preserve">Gerente de Licitações</t>
        </is>
      </c>
      <c r="I4" s="3" t="inlineStr">
        <is>
          <t xml:space="preserve">TR validado; Fontes de preços admitidas</t>
        </is>
      </c>
      <c r="J4" s="3" t="inlineStr">
        <is>
          <t xml:space="preserve">Relatório de pesquisa de preços; Mapa comparativo</t>
        </is>
      </c>
      <c r="K4" s="3" t="inlineStr">
        <is>
          <t xml:space="preserve">Painel de Preços; PNCP; e-Codevasf</t>
        </is>
      </c>
      <c r="M4" s="3" t="inlineStr">
        <is>
          <t xml:space="preserve">AG/GGP</t>
        </is>
      </c>
    </row>
    <row r="5">
      <c r="A5" s="2" t="inlineStr">
        <is>
          <t xml:space="preserve">SP-06.01.03.01</t>
        </is>
      </c>
      <c r="B5" s="2" t="inlineStr">
        <is>
          <t xml:space="preserve">SP-06.01.03</t>
        </is>
      </c>
      <c r="C5" s="2" t="inlineStr">
        <is>
          <t xml:space="preserve">1</t>
        </is>
      </c>
      <c r="D5" s="2" t="inlineStr">
        <is>
          <t xml:space="preserve">Tratamento de Preços Inexequíveis ou Excessivos</t>
        </is>
      </c>
      <c r="E5" s="2" t="inlineStr">
        <is>
          <t xml:space="preserve">Identificação e exclusão de valores discrepantes coletados na pesquisa, com justificativa técnica registrada.</t>
        </is>
      </c>
      <c r="F5" s="2" t="inlineStr">
        <is>
          <t xml:space="preserve">Evitar que outliers de preço distorçam o valor estimado da contratação.</t>
        </is>
      </c>
      <c r="G5" s="2" t="inlineStr">
        <is>
          <t xml:space="preserve">AA/GLC</t>
        </is>
      </c>
      <c r="H5" s="2" t="inlineStr">
        <is>
          <t xml:space="preserve">Gerente de Licitações</t>
        </is>
      </c>
      <c r="I5" s="2" t="inlineStr">
        <is>
          <t xml:space="preserve">Amostra de preços coletados na pesquisa</t>
        </is>
      </c>
      <c r="J5" s="2" t="inlineStr">
        <is>
          <t xml:space="preserve">Valores discrepantes identificados e justificados</t>
        </is>
      </c>
      <c r="K5" s="2" t="inlineStr">
        <is>
          <t xml:space="preserve">Planilha padrão; e-Codevasf</t>
        </is>
      </c>
      <c r="M5" s="2" t="inlineStr">
        <is>
          <t xml:space="preserve">AG/GGP</t>
        </is>
      </c>
      <c r="N5" s="2" t="inlineStr">
        <is>
          <t xml:space="preserve">Sim</t>
        </is>
      </c>
      <c r="O5" s="2" t="inlineStr">
        <is>
          <t xml:space="preserve">P-06.02; P-04.01</t>
        </is>
      </c>
    </row>
    <row r="6">
      <c r="A6" s="3" t="inlineStr">
        <is>
          <t xml:space="preserve">SP-06.02.01</t>
        </is>
      </c>
      <c r="B6" s="3" t="inlineStr">
        <is>
          <t xml:space="preserve">P-06.02</t>
        </is>
      </c>
      <c r="C6" s="3" t="inlineStr">
        <is>
          <t xml:space="preserve">1</t>
        </is>
      </c>
      <c r="D6" s="3" t="inlineStr">
        <is>
          <t xml:space="preserve">Condução da Sessão Pública</t>
        </is>
      </c>
      <c r="E6" s="3" t="inlineStr">
        <is>
          <t xml:space="preserve">Abertura da sessão no sistema, fase de lances, julgamento, habilitação e registro em ata.</t>
        </is>
      </c>
      <c r="F6" s="3" t="inlineStr">
        <is>
          <t xml:space="preserve">Conduzir o certame com transparência e celeridade.</t>
        </is>
      </c>
      <c r="G6" s="3" t="inlineStr">
        <is>
          <t xml:space="preserve">AA/GLC</t>
        </is>
      </c>
      <c r="H6" s="3" t="inlineStr">
        <is>
          <t xml:space="preserve">Gerente de Licitações</t>
        </is>
      </c>
      <c r="I6" s="3" t="inlineStr">
        <is>
          <t xml:space="preserve">Edital publicado; Propostas dos licitantes</t>
        </is>
      </c>
      <c r="J6" s="3" t="inlineStr">
        <is>
          <t xml:space="preserve">Ata da sessão; Resultado por item</t>
        </is>
      </c>
      <c r="K6" s="3" t="inlineStr">
        <is>
          <t xml:space="preserve">Compras.gov.br</t>
        </is>
      </c>
      <c r="M6" s="3" t="inlineStr">
        <is>
          <t xml:space="preserve">AT/GTI</t>
        </is>
      </c>
    </row>
    <row r="7">
      <c r="A7" s="2" t="inlineStr">
        <is>
          <t xml:space="preserve">SP-04.01.01</t>
        </is>
      </c>
      <c r="B7" s="2" t="inlineStr">
        <is>
          <t xml:space="preserve">P-04.01</t>
        </is>
      </c>
      <c r="C7" s="2" t="inlineStr">
        <is>
          <t xml:space="preserve">1</t>
        </is>
      </c>
      <c r="D7" s="2" t="inlineStr">
        <is>
          <t xml:space="preserve">Distribuição de Água aos Irrigantes</t>
        </is>
      </c>
      <c r="E7" s="2" t="inlineStr">
        <is>
          <t xml:space="preserve">Programação semanal, operação de comportas e bombas, e registro de volumes distribuídos.</t>
        </is>
      </c>
      <c r="F7" s="2" t="inlineStr">
        <is>
          <t xml:space="preserve">Entregar a água programada com eficiência e equidade.</t>
        </is>
      </c>
      <c r="G7" s="2" t="inlineStr">
        <is>
          <t xml:space="preserve">AI/GOM</t>
        </is>
      </c>
      <c r="H7" s="2" t="inlineStr">
        <is>
          <t xml:space="preserve">Gerente de Operação</t>
        </is>
      </c>
      <c r="I7" s="2" t="inlineStr">
        <is>
          <t xml:space="preserve">Outorga de uso; Demanda de irrigação</t>
        </is>
      </c>
      <c r="J7" s="2" t="inlineStr">
        <is>
          <t xml:space="preserve">Programação hídrica executada; Registros de volume</t>
        </is>
      </c>
      <c r="K7" s="2" t="inlineStr">
        <is>
          <t xml:space="preserve">SIG-Irrigação (fictício)</t>
        </is>
      </c>
      <c r="M7" s="2" t="inlineStr">
        <is>
          <t xml:space="preserve">AE/GPE</t>
        </is>
      </c>
    </row>
  </sheetData>
  <autoFilter ref="A1:O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40B4"/>
  </sheetPr>
  <sheetViews>
    <sheetView zoomScale="90" workbookViewId="0">
      <pane xSplit="3" ySplit="1" topLeftCell="D2" activePane="bottomRight" state="frozen"/>
    </sheetView>
  </sheetViews>
  <sheetFormatPr defaultRowHeight="15"/>
  <cols>
    <col min="1" max="1" width="16" customWidth="1"/>
    <col min="2" max="2" width="13" customWidth="1"/>
    <col min="3" max="3" width="7" customWidth="1"/>
    <col min="4" max="4" width="36" customWidth="1"/>
    <col min="5" max="5" width="46" customWidth="1"/>
    <col min="6" max="6" width="24" customWidth="1"/>
    <col min="7" max="7" width="38" customWidth="1"/>
    <col min="8" max="8" width="38" customWidth="1"/>
    <col min="9" max="9" width="24" customWidth="1"/>
    <col min="10" max="10" width="30" customWidth="1"/>
    <col min="11" max="11" width="44" customWidth="1"/>
    <col min="12" max="12" width="30" customWidth="1"/>
    <col min="13" max="13" width="30" customWidth="1"/>
    <col min="14" max="14" width="40" customWidth="1"/>
  </cols>
  <sheetData>
    <row r="1" ht="30" customHeight="1">
      <c r="A1" s="1" t="inlineStr">
        <is>
          <t xml:space="preserve">Codigo</t>
        </is>
      </c>
      <c r="B1" s="1" t="inlineStr">
        <is>
          <t xml:space="preserve">Vinculo_Pai</t>
        </is>
      </c>
      <c r="C1" s="1" t="inlineStr">
        <is>
          <t xml:space="preserve">Ordem</t>
        </is>
      </c>
      <c r="D1" s="1" t="inlineStr">
        <is>
          <t xml:space="preserve">Nome</t>
        </is>
      </c>
      <c r="E1" s="1" t="inlineStr">
        <is>
          <t xml:space="preserve">Descricao</t>
        </is>
      </c>
      <c r="F1" s="1" t="inlineStr">
        <is>
          <t xml:space="preserve">Responsavel_Ator</t>
        </is>
      </c>
      <c r="G1" s="1" t="inlineStr">
        <is>
          <t xml:space="preserve">Entradas</t>
        </is>
      </c>
      <c r="H1" s="1" t="inlineStr">
        <is>
          <t xml:space="preserve">Saidas</t>
        </is>
      </c>
      <c r="I1" s="1" t="inlineStr">
        <is>
          <t xml:space="preserve">Sistemas</t>
        </is>
      </c>
      <c r="J1" s="1" t="inlineStr">
        <is>
          <t xml:space="preserve">Base_Normativa</t>
        </is>
      </c>
      <c r="K1" s="1" t="inlineStr">
        <is>
          <t xml:space="preserve">Imagem_Bizagi</t>
        </is>
      </c>
      <c r="L1" s="1" t="inlineStr">
        <is>
          <t xml:space="preserve">Executor</t>
        </is>
      </c>
      <c r="M1" s="1" t="inlineStr">
        <is>
          <t xml:space="preserve">Unidades_Corresponsaveis</t>
        </is>
      </c>
      <c r="N1" s="1" t="inlineStr">
        <is>
          <t xml:space="preserve">Objetivo</t>
        </is>
      </c>
    </row>
    <row r="2">
      <c r="A2" s="3" t="inlineStr">
        <is>
          <t xml:space="preserve">A-06.01.01.01</t>
        </is>
      </c>
      <c r="B2" s="3" t="inlineStr">
        <is>
          <t xml:space="preserve">SP-06.01.01</t>
        </is>
      </c>
      <c r="C2" s="3" t="inlineStr">
        <is>
          <t xml:space="preserve">1</t>
        </is>
      </c>
      <c r="D2" s="3" t="inlineStr">
        <is>
          <t xml:space="preserve">Formalizar a necessidade (DFD)</t>
        </is>
      </c>
      <c r="E2" s="3" t="inlineStr">
        <is>
          <t xml:space="preserve">Registrar o Documento de Formalização da Demanda com justificativa, quantitativos e alinhamento ao PCA.</t>
        </is>
      </c>
      <c r="F2" s="3" t="inlineStr">
        <is>
          <t xml:space="preserve">Área demandante</t>
        </is>
      </c>
      <c r="G2" s="3" t="inlineStr">
        <is>
          <t xml:space="preserve">Necessidade identificada; Plano de Contratações Anual</t>
        </is>
      </c>
      <c r="H2" s="3" t="inlineStr">
        <is>
          <t xml:space="preserve">DFD assinado no e-Codevasf</t>
        </is>
      </c>
      <c r="I2" s="3" t="inlineStr">
        <is>
          <t xml:space="preserve">e-Codevasf</t>
        </is>
      </c>
      <c r="J2" s="3" t="inlineStr">
        <is>
          <t xml:space="preserve">NI-027/2024 (fictícia)</t>
        </is>
      </c>
      <c r="K2" s="3" t="inlineStr">
        <is>
          <t xml:space="preserve">https://placehold.co/960x420/155bcb/ffffff?text=Diagrama+BPMN+A-06.01.01.01</t>
        </is>
      </c>
      <c r="L2" s="3" t="inlineStr">
        <is>
          <t xml:space="preserve">Analista em Desenvolvimento Regional</t>
        </is>
      </c>
      <c r="M2" s="3" t="inlineStr">
        <is>
          <t xml:space="preserve">AR/GRB</t>
        </is>
      </c>
      <c r="N2" s="3" t="inlineStr">
        <is>
          <t xml:space="preserve">Registrar formalmente a necessidade da contratação, alinhada ao Plano de Contratações Anual.</t>
        </is>
      </c>
    </row>
    <row r="3">
      <c r="A3" s="2" t="inlineStr">
        <is>
          <t xml:space="preserve">A-06.01.01.02</t>
        </is>
      </c>
      <c r="B3" s="2" t="inlineStr">
        <is>
          <t xml:space="preserve">SP-06.01.01</t>
        </is>
      </c>
      <c r="C3" s="2" t="inlineStr">
        <is>
          <t xml:space="preserve">2</t>
        </is>
      </c>
      <c r="D3" s="2" t="inlineStr">
        <is>
          <t xml:space="preserve">Levantar soluções de mercado</t>
        </is>
      </c>
      <c r="E3" s="2" t="inlineStr">
        <is>
          <t xml:space="preserve">Pesquisar soluções disponíveis, contratações similares e alternativas (inclusive não contratar).</t>
        </is>
      </c>
      <c r="F3" s="2" t="inlineStr">
        <is>
          <t xml:space="preserve">Equipe de planejamento da contratação</t>
        </is>
      </c>
      <c r="G3" s="2" t="inlineStr">
        <is>
          <t xml:space="preserve">DFD; Catálogos; Contratações similares (PNCP)</t>
        </is>
      </c>
      <c r="H3" s="2" t="inlineStr">
        <is>
          <t xml:space="preserve">Levantamento de soluções documentado</t>
        </is>
      </c>
      <c r="I3" s="2" t="inlineStr">
        <is>
          <t xml:space="preserve">PNCP; Compras.gov.br</t>
        </is>
      </c>
      <c r="J3" s="2" t="inlineStr">
        <is>
          <t xml:space="preserve">Lei nº 14.133/2021, art. 18</t>
        </is>
      </c>
      <c r="L3" s="2" t="inlineStr">
        <is>
          <t xml:space="preserve">Técnico em Desenvolvimento Regional</t>
        </is>
      </c>
      <c r="M3" s="2" t="inlineStr">
        <is>
          <t xml:space="preserve">AA/GLC</t>
        </is>
      </c>
      <c r="N3" s="2" t="inlineStr">
        <is>
          <t xml:space="preserve">Identificar a solução mais adequada para atender à necessidade, considerando alternativas de mercado.</t>
        </is>
      </c>
    </row>
    <row r="4">
      <c r="A4" s="3" t="inlineStr">
        <is>
          <t xml:space="preserve">A-06.01.01.03</t>
        </is>
      </c>
      <c r="B4" s="3" t="inlineStr">
        <is>
          <t xml:space="preserve">SP-06.01.01</t>
        </is>
      </c>
      <c r="C4" s="3" t="inlineStr">
        <is>
          <t xml:space="preserve">3</t>
        </is>
      </c>
      <c r="D4" s="3" t="inlineStr">
        <is>
          <t xml:space="preserve">Estimar quantidades e resultados</t>
        </is>
      </c>
      <c r="E4" s="3" t="inlineStr">
        <is>
          <t xml:space="preserve">Definir quantitativos com memória de cálculo e resultados pretendidos com a contratação.</t>
        </is>
      </c>
      <c r="F4" s="3" t="inlineStr">
        <is>
          <t xml:space="preserve">Equipe de planejamento da contratação</t>
        </is>
      </c>
      <c r="G4" s="3" t="inlineStr">
        <is>
          <t xml:space="preserve">Levantamento de soluções; Séries históricas</t>
        </is>
      </c>
      <c r="H4" s="3" t="inlineStr">
        <is>
          <t xml:space="preserve">Memória de cálculo de quantitativos</t>
        </is>
      </c>
      <c r="I4" s="3" t="inlineStr">
        <is>
          <t xml:space="preserve">e-Codevasf</t>
        </is>
      </c>
      <c r="J4" s="3" t="inlineStr">
        <is>
          <t xml:space="preserve">A definir</t>
        </is>
      </c>
      <c r="L4" s="3" t="inlineStr">
        <is>
          <t xml:space="preserve">Assistente em Desenvolvimento Regional</t>
        </is>
      </c>
      <c r="M4" s="3" t="inlineStr">
        <is>
          <t xml:space="preserve">AG/GGP</t>
        </is>
      </c>
      <c r="N4" s="3" t="inlineStr">
        <is>
          <t xml:space="preserve">Dimensionar com precisão os quantitativos e os resultados esperados da contratação.</t>
        </is>
      </c>
    </row>
    <row r="5">
      <c r="A5" s="2" t="inlineStr">
        <is>
          <t xml:space="preserve">A-06.01.01.04</t>
        </is>
      </c>
      <c r="B5" s="2" t="inlineStr">
        <is>
          <t xml:space="preserve">SP-06.01.01</t>
        </is>
      </c>
      <c r="C5" s="2" t="inlineStr">
        <is>
          <t xml:space="preserve">4</t>
        </is>
      </c>
      <c r="D5" s="2" t="inlineStr">
        <is>
          <t xml:space="preserve">Elaborar e aprovar o ETP</t>
        </is>
      </c>
      <c r="E5" s="2" t="inlineStr">
        <is>
          <t xml:space="preserve">Consolidar o ETP no sistema e submeter à aprovação da autoridade competente.</t>
        </is>
      </c>
      <c r="F5" s="2" t="inlineStr">
        <is>
          <t xml:space="preserve">Equipe de planejamento; Autoridade competente</t>
        </is>
      </c>
      <c r="G5" s="2" t="inlineStr">
        <is>
          <t xml:space="preserve">Levantamentos e memórias anteriores</t>
        </is>
      </c>
      <c r="H5" s="2" t="inlineStr">
        <is>
          <t xml:space="preserve">ETP aprovado</t>
        </is>
      </c>
      <c r="I5" s="2" t="inlineStr">
        <is>
          <t xml:space="preserve">e-Codevasf; Compras.gov.br</t>
        </is>
      </c>
      <c r="J5" s="2" t="inlineStr">
        <is>
          <t xml:space="preserve">Lei nº 14.133/2021, art. 18</t>
        </is>
      </c>
      <c r="L5" s="2" t="inlineStr">
        <is>
          <t xml:space="preserve">Analista em Desenvolvimento Regional</t>
        </is>
      </c>
      <c r="M5" s="2" t="inlineStr">
        <is>
          <t xml:space="preserve">AT/GTI</t>
        </is>
      </c>
      <c r="N5" s="2" t="inlineStr">
        <is>
          <t xml:space="preserve">Consolidar e submeter o Estudo Técnico Preliminar à aprovação da autoridade competente.</t>
        </is>
      </c>
    </row>
    <row r="6">
      <c r="A6" s="3" t="inlineStr">
        <is>
          <t xml:space="preserve">A-06.01.02.01</t>
        </is>
      </c>
      <c r="B6" s="3" t="inlineStr">
        <is>
          <t xml:space="preserve">SP-06.01.02</t>
        </is>
      </c>
      <c r="C6" s="3" t="inlineStr">
        <is>
          <t xml:space="preserve">1</t>
        </is>
      </c>
      <c r="D6" s="3" t="inlineStr">
        <is>
          <t xml:space="preserve">Redigir o Termo de Referência</t>
        </is>
      </c>
      <c r="E6" s="3" t="inlineStr">
        <is>
          <t xml:space="preserve">Elaborar o TR a partir do ETP, definindo objeto, requisitos, modelo de execução e critérios de medição.</t>
        </is>
      </c>
      <c r="F6" s="3" t="inlineStr">
        <is>
          <t xml:space="preserve">Equipe de planejamento da contratação</t>
        </is>
      </c>
      <c r="G6" s="3" t="inlineStr">
        <is>
          <t xml:space="preserve">ETP aprovado; Modelos padronizados</t>
        </is>
      </c>
      <c r="H6" s="3" t="inlineStr">
        <is>
          <t xml:space="preserve">Minuta de TR</t>
        </is>
      </c>
      <c r="I6" s="3" t="inlineStr">
        <is>
          <t xml:space="preserve">e-Codevasf</t>
        </is>
      </c>
      <c r="J6" s="3" t="inlineStr">
        <is>
          <t xml:space="preserve">Lei nº 14.133/2021, art. 6º, XXIII</t>
        </is>
      </c>
      <c r="L6" s="3" t="inlineStr">
        <is>
          <t xml:space="preserve">Técnico em Desenvolvimento Regional</t>
        </is>
      </c>
      <c r="M6" s="3" t="inlineStr">
        <is>
          <t xml:space="preserve">AE/GPE</t>
        </is>
      </c>
      <c r="N6" s="3" t="inlineStr">
        <is>
          <t xml:space="preserve">Traduzir o ETP aprovado em um Termo de Referência claro e completo.</t>
        </is>
      </c>
    </row>
    <row r="7">
      <c r="A7" s="2" t="inlineStr">
        <is>
          <t xml:space="preserve">A-06.01.02.02</t>
        </is>
      </c>
      <c r="B7" s="2" t="inlineStr">
        <is>
          <t xml:space="preserve">SP-06.01.02</t>
        </is>
      </c>
      <c r="C7" s="2" t="inlineStr">
        <is>
          <t xml:space="preserve">2</t>
        </is>
      </c>
      <c r="D7" s="2" t="inlineStr">
        <is>
          <t xml:space="preserve">Validar o TR com a Assessoria Jurídica</t>
        </is>
      </c>
      <c r="E7" s="2" t="inlineStr">
        <is>
          <t xml:space="preserve">Submeter a minuta ao órgão jurídico e ajustar conforme o parecer.</t>
        </is>
      </c>
      <c r="F7" s="2" t="inlineStr">
        <is>
          <t xml:space="preserve">AA/GLC; Assessoria Jurídica</t>
        </is>
      </c>
      <c r="G7" s="2" t="inlineStr">
        <is>
          <t xml:space="preserve">Minuta de TR</t>
        </is>
      </c>
      <c r="H7" s="2" t="inlineStr">
        <is>
          <t xml:space="preserve">TR validado; Parecer jurídico</t>
        </is>
      </c>
      <c r="I7" s="2" t="inlineStr">
        <is>
          <t xml:space="preserve">e-Codevasf</t>
        </is>
      </c>
      <c r="J7" s="2" t="inlineStr">
        <is>
          <t xml:space="preserve">Lei nº 14.133/2021, art. 53</t>
        </is>
      </c>
      <c r="L7" s="2" t="inlineStr">
        <is>
          <t xml:space="preserve">Assistente em Desenvolvimento Regional</t>
        </is>
      </c>
      <c r="M7" s="2" t="inlineStr">
        <is>
          <t xml:space="preserve">AE/GAG</t>
        </is>
      </c>
      <c r="N7" s="2" t="inlineStr">
        <is>
          <t xml:space="preserve">Assegurar a conformidade jurídica do Termo de Referência antes da publicação.</t>
        </is>
      </c>
    </row>
    <row r="8">
      <c r="A8" s="3" t="inlineStr">
        <is>
          <t xml:space="preserve">A-06.01.03.01</t>
        </is>
      </c>
      <c r="B8" s="3" t="inlineStr">
        <is>
          <t xml:space="preserve">SP-06.01.03</t>
        </is>
      </c>
      <c r="C8" s="3" t="inlineStr">
        <is>
          <t xml:space="preserve">1</t>
        </is>
      </c>
      <c r="D8" s="3" t="inlineStr">
        <is>
          <t xml:space="preserve">Realizar a pesquisa de preços</t>
        </is>
      </c>
      <c r="E8" s="3" t="inlineStr">
        <is>
          <t xml:space="preserve">Consultar fontes admitidas, registrar parâmetros e tratar valores inexequíveis ou excessivos.</t>
        </is>
      </c>
      <c r="F8" s="3" t="inlineStr">
        <is>
          <t xml:space="preserve">Equipe de planejamento da contratação</t>
        </is>
      </c>
      <c r="G8" s="3" t="inlineStr">
        <is>
          <t xml:space="preserve">TR validado; Fontes de preços</t>
        </is>
      </c>
      <c r="H8" s="3" t="inlineStr">
        <is>
          <t xml:space="preserve">Relatório de pesquisa de preços</t>
        </is>
      </c>
      <c r="I8" s="3" t="inlineStr">
        <is>
          <t xml:space="preserve">Painel de Preços; PNCP</t>
        </is>
      </c>
      <c r="J8" s="3" t="inlineStr">
        <is>
          <t xml:space="preserve">IN SEGES nº 65/2021</t>
        </is>
      </c>
      <c r="L8" s="3" t="inlineStr">
        <is>
          <t xml:space="preserve">Analista em Desenvolvimento Regional</t>
        </is>
      </c>
      <c r="M8" s="3" t="inlineStr">
        <is>
          <t xml:space="preserve">AR/GDT</t>
        </is>
      </c>
      <c r="N8" s="3" t="inlineStr">
        <is>
          <t xml:space="preserve">Levantar parâmetros de preço confiáveis em fontes oficiais admitidas.</t>
        </is>
      </c>
    </row>
    <row r="9">
      <c r="A9" s="2" t="inlineStr">
        <is>
          <t xml:space="preserve">A-06.01.03.02</t>
        </is>
      </c>
      <c r="B9" s="2" t="inlineStr">
        <is>
          <t xml:space="preserve">SP-06.01.03</t>
        </is>
      </c>
      <c r="C9" s="2" t="inlineStr">
        <is>
          <t xml:space="preserve">2</t>
        </is>
      </c>
      <c r="D9" s="2" t="inlineStr">
        <is>
          <t xml:space="preserve">Consolidar o valor estimado</t>
        </is>
      </c>
      <c r="E9" s="2" t="inlineStr">
        <is>
          <t xml:space="preserve">Aplicar o método definido (média/mediana/menor preço) e justificar a estimativa final.</t>
        </is>
      </c>
      <c r="F9" s="2" t="inlineStr">
        <is>
          <t xml:space="preserve">Equipe de planejamento da contratação</t>
        </is>
      </c>
      <c r="G9" s="2" t="inlineStr">
        <is>
          <t xml:space="preserve">Relatório de pesquisa</t>
        </is>
      </c>
      <c r="H9" s="2" t="inlineStr">
        <is>
          <t xml:space="preserve">Valor estimado consolidado</t>
        </is>
      </c>
      <c r="I9" s="2" t="inlineStr">
        <is>
          <t xml:space="preserve">e-Codevasf</t>
        </is>
      </c>
      <c r="J9" s="2" t="inlineStr">
        <is>
          <t xml:space="preserve">IN SEGES nº 65/2021, art. 6º</t>
        </is>
      </c>
      <c r="L9" s="2" t="inlineStr">
        <is>
          <t xml:space="preserve">Técnico em Desenvolvimento Regional</t>
        </is>
      </c>
      <c r="M9" s="2" t="inlineStr">
        <is>
          <t xml:space="preserve">AI/GOM</t>
        </is>
      </c>
      <c r="N9" s="2" t="inlineStr">
        <is>
          <t xml:space="preserve">Definir e justificar o valor estimado final da contratação.</t>
        </is>
      </c>
    </row>
    <row r="10">
      <c r="A10" s="3" t="inlineStr">
        <is>
          <t xml:space="preserve">A-06.01.03.01.01</t>
        </is>
      </c>
      <c r="B10" s="3" t="inlineStr">
        <is>
          <t xml:space="preserve">SP-06.01.03.01</t>
        </is>
      </c>
      <c r="C10" s="3" t="inlineStr">
        <is>
          <t xml:space="preserve">1</t>
        </is>
      </c>
      <c r="D10" s="3" t="inlineStr">
        <is>
          <t xml:space="preserve">Aplicar critério de exclusão de valores discrepantes</t>
        </is>
      </c>
      <c r="E10" s="3" t="inlineStr">
        <is>
          <t xml:space="preserve">Comparar cada preço coletado à mediana da amostra e excluir, com justificativa registrada, os valores inexequíveis ou excessivos.</t>
        </is>
      </c>
      <c r="F10" s="3" t="inlineStr">
        <is>
          <t xml:space="preserve">Equipe de planejamento da contratação</t>
        </is>
      </c>
      <c r="G10" s="3" t="inlineStr">
        <is>
          <t xml:space="preserve">Amostra de preços coletados</t>
        </is>
      </c>
      <c r="H10" s="3" t="inlineStr">
        <is>
          <t xml:space="preserve">Amostra tratada; Justificativa de exclusão</t>
        </is>
      </c>
      <c r="I10" s="3" t="inlineStr">
        <is>
          <t xml:space="preserve">Planilha padrão</t>
        </is>
      </c>
      <c r="J10" s="3" t="inlineStr">
        <is>
          <t xml:space="preserve">IN SEGES nº 65/2021, art. 6º, §3º</t>
        </is>
      </c>
      <c r="L10" s="3" t="inlineStr">
        <is>
          <t xml:space="preserve">Assistente em Desenvolvimento Regional</t>
        </is>
      </c>
      <c r="M10" s="3" t="inlineStr">
        <is>
          <t xml:space="preserve">AR/GRB</t>
        </is>
      </c>
      <c r="N10" s="3" t="inlineStr">
        <is>
          <t xml:space="preserve">Evitar que preços inexequíveis ou excessivos distorçam a estimativa de valor.</t>
        </is>
      </c>
    </row>
    <row r="11">
      <c r="A11" s="2" t="inlineStr">
        <is>
          <t xml:space="preserve">A-06.02.01.01</t>
        </is>
      </c>
      <c r="B11" s="2" t="inlineStr">
        <is>
          <t xml:space="preserve">SP-06.02.01</t>
        </is>
      </c>
      <c r="C11" s="2" t="inlineStr">
        <is>
          <t xml:space="preserve">1</t>
        </is>
      </c>
      <c r="D11" s="2" t="inlineStr">
        <is>
          <t xml:space="preserve">Publicar o edital</t>
        </is>
      </c>
      <c r="E11" s="2" t="inlineStr">
        <is>
          <t xml:space="preserve">Divulgar o edital no PNCP e no sistema de compras, observando prazos mínimos legais.</t>
        </is>
      </c>
      <c r="F11" s="2" t="inlineStr">
        <is>
          <t xml:space="preserve">Agente de contratação</t>
        </is>
      </c>
      <c r="G11" s="2" t="inlineStr">
        <is>
          <t xml:space="preserve">Edital aprovado; Parecer jurídico</t>
        </is>
      </c>
      <c r="H11" s="2" t="inlineStr">
        <is>
          <t xml:space="preserve">Edital publicado (PNCP)</t>
        </is>
      </c>
      <c r="I11" s="2" t="inlineStr">
        <is>
          <t xml:space="preserve">Compras.gov.br; PNCP</t>
        </is>
      </c>
      <c r="J11" s="2" t="inlineStr">
        <is>
          <t xml:space="preserve">Lei nº 14.133/2021, art. 54</t>
        </is>
      </c>
      <c r="L11" s="2" t="inlineStr">
        <is>
          <t xml:space="preserve">Analista em Desenvolvimento Regional</t>
        </is>
      </c>
      <c r="M11" s="2" t="inlineStr">
        <is>
          <t xml:space="preserve">AA/GLC</t>
        </is>
      </c>
      <c r="N11" s="2" t="inlineStr">
        <is>
          <t xml:space="preserve">Dar publicidade ao certame, observando os prazos legais mínimos.</t>
        </is>
      </c>
    </row>
    <row r="12">
      <c r="A12" s="3" t="inlineStr">
        <is>
          <t xml:space="preserve">A-06.02.01.02</t>
        </is>
      </c>
      <c r="B12" s="3" t="inlineStr">
        <is>
          <t xml:space="preserve">SP-06.02.01</t>
        </is>
      </c>
      <c r="C12" s="3" t="inlineStr">
        <is>
          <t xml:space="preserve">2</t>
        </is>
      </c>
      <c r="D12" s="3" t="inlineStr">
        <is>
          <t xml:space="preserve">Conduzir a sessão e julgar propostas</t>
        </is>
      </c>
      <c r="E12" s="3" t="inlineStr">
        <is>
          <t xml:space="preserve">Operar a fase de lances, julgar propostas, habilitar o vencedor e registrar a ata.</t>
        </is>
      </c>
      <c r="F12" s="3" t="inlineStr">
        <is>
          <t xml:space="preserve">Agente de contratação; Equipe de apoio</t>
        </is>
      </c>
      <c r="G12" s="3" t="inlineStr">
        <is>
          <t xml:space="preserve">Edital publicado; Propostas</t>
        </is>
      </c>
      <c r="H12" s="3" t="inlineStr">
        <is>
          <t xml:space="preserve">Ata da sessão; Resultado do julgamento</t>
        </is>
      </c>
      <c r="I12" s="3" t="inlineStr">
        <is>
          <t xml:space="preserve">Compras.gov.br</t>
        </is>
      </c>
      <c r="J12" s="3" t="inlineStr">
        <is>
          <t xml:space="preserve">Lei nº 14.133/2021</t>
        </is>
      </c>
      <c r="L12" s="3" t="inlineStr">
        <is>
          <t xml:space="preserve">Técnico em Desenvolvimento Regional</t>
        </is>
      </c>
      <c r="M12" s="3" t="inlineStr">
        <is>
          <t xml:space="preserve">AG/GGP</t>
        </is>
      </c>
      <c r="N12" s="3" t="inlineStr">
        <is>
          <t xml:space="preserve">Selecionar a proposta mais vantajosa com transparência e celeridade.</t>
        </is>
      </c>
    </row>
    <row r="13">
      <c r="A13" s="2" t="inlineStr">
        <is>
          <t xml:space="preserve">A-04.01.01.01</t>
        </is>
      </c>
      <c r="B13" s="2" t="inlineStr">
        <is>
          <t xml:space="preserve">SP-04.01.01</t>
        </is>
      </c>
      <c r="C13" s="2" t="inlineStr">
        <is>
          <t xml:space="preserve">1</t>
        </is>
      </c>
      <c r="D13" s="2" t="inlineStr">
        <is>
          <t xml:space="preserve">Programar a distribuição hídrica</t>
        </is>
      </c>
      <c r="E13" s="2" t="inlineStr">
        <is>
          <t xml:space="preserve">Elaborar a programação semanal de distribuição conforme demanda dos lotes e disponibilidade hídrica.</t>
        </is>
      </c>
      <c r="F13" s="2" t="inlineStr">
        <is>
          <t xml:space="preserve">Equipe de operação do perímetro</t>
        </is>
      </c>
      <c r="G13" s="2" t="inlineStr">
        <is>
          <t xml:space="preserve">Plano de cultivo; Disponibilidade hídrica</t>
        </is>
      </c>
      <c r="H13" s="2" t="inlineStr">
        <is>
          <t xml:space="preserve">Programação semanal aprovada</t>
        </is>
      </c>
      <c r="I13" s="2" t="inlineStr">
        <is>
          <t xml:space="preserve">SIG-Irrigação (fictício)</t>
        </is>
      </c>
      <c r="J13" s="2" t="inlineStr">
        <is>
          <t xml:space="preserve">A definir</t>
        </is>
      </c>
      <c r="L13" s="2" t="inlineStr">
        <is>
          <t xml:space="preserve">Assistente em Desenvolvimento Regional</t>
        </is>
      </c>
      <c r="M13" s="2" t="inlineStr">
        <is>
          <t xml:space="preserve">AT/GTI</t>
        </is>
      </c>
      <c r="N13" s="2" t="inlineStr">
        <is>
          <t xml:space="preserve">Equilibrar a demanda dos lotes com a disponibilidade hídrica do perímetro.</t>
        </is>
      </c>
    </row>
    <row r="14">
      <c r="A14" s="3" t="inlineStr">
        <is>
          <t xml:space="preserve">A-04.01.01.02</t>
        </is>
      </c>
      <c r="B14" s="3" t="inlineStr">
        <is>
          <t xml:space="preserve">SP-04.01.01</t>
        </is>
      </c>
      <c r="C14" s="3" t="inlineStr">
        <is>
          <t xml:space="preserve">2</t>
        </is>
      </c>
      <c r="D14" s="3" t="inlineStr">
        <is>
          <t xml:space="preserve">Operar e registrar a distribuição</t>
        </is>
      </c>
      <c r="E14" s="3" t="inlineStr">
        <is>
          <t xml:space="preserve">Operar comportas e bombas conforme programação e registrar volumes por ponto de entrega.</t>
        </is>
      </c>
      <c r="F14" s="3" t="inlineStr">
        <is>
          <t xml:space="preserve">Equipe de operação do perímetro</t>
        </is>
      </c>
      <c r="G14" s="3" t="inlineStr">
        <is>
          <t xml:space="preserve">Programação semanal</t>
        </is>
      </c>
      <c r="H14" s="3" t="inlineStr">
        <is>
          <t xml:space="preserve">Volumes registrados; Ocorrências</t>
        </is>
      </c>
      <c r="I14" s="3" t="inlineStr">
        <is>
          <t xml:space="preserve">SIG-Irrigação (fictício)</t>
        </is>
      </c>
      <c r="J14" s="3" t="inlineStr">
        <is>
          <t xml:space="preserve">A definir</t>
        </is>
      </c>
      <c r="L14" s="3" t="inlineStr">
        <is>
          <t xml:space="preserve">Analista em Desenvolvimento Regional</t>
        </is>
      </c>
      <c r="M14" s="3" t="inlineStr">
        <is>
          <t xml:space="preserve">AE/GPE</t>
        </is>
      </c>
      <c r="N14" s="3" t="inlineStr">
        <is>
          <t xml:space="preserve">Executar a distribuição programada e manter o registro confiável dos volumes entregues.</t>
        </is>
      </c>
    </row>
  </sheetData>
  <autoFilter ref="A1:N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40B4"/>
  </sheetPr>
  <sheetViews>
    <sheetView zoomScale="90" workbookViewId="0">
      <pane xSplit="3" ySplit="1" topLeftCell="D2" activePane="bottomRight" state="frozen"/>
    </sheetView>
  </sheetViews>
  <sheetFormatPr defaultRowHeight="15"/>
  <cols>
    <col min="1" max="1" width="20" customWidth="1"/>
    <col min="2" max="2" width="16" customWidth="1"/>
    <col min="3" max="3" width="7" customWidth="1"/>
    <col min="4" max="4" width="38" customWidth="1"/>
    <col min="5" max="5" width="46" customWidth="1"/>
    <col min="6" max="6" width="16" customWidth="1"/>
    <col min="7" max="7" width="24" customWidth="1"/>
    <col min="8" max="8" width="22" customWidth="1"/>
    <col min="9" max="9" width="14" customWidth="1"/>
    <col min="10" max="10" width="28" customWidth="1"/>
    <col min="11" max="11" width="44" customWidth="1"/>
    <col min="12" max="12" width="30" customWidth="1"/>
  </cols>
  <sheetData>
    <row r="1" ht="30" customHeight="1">
      <c r="A1" s="1" t="inlineStr">
        <is>
          <t xml:space="preserve">Codigo</t>
        </is>
      </c>
      <c r="B1" s="1" t="inlineStr">
        <is>
          <t xml:space="preserve">Atividade</t>
        </is>
      </c>
      <c r="C1" s="1" t="inlineStr">
        <is>
          <t xml:space="preserve">Ordem</t>
        </is>
      </c>
      <c r="D1" s="1" t="inlineStr">
        <is>
          <t xml:space="preserve">Nome</t>
        </is>
      </c>
      <c r="E1" s="1" t="inlineStr">
        <is>
          <t xml:space="preserve">Descricao</t>
        </is>
      </c>
      <c r="F1" s="1" t="inlineStr">
        <is>
          <t xml:space="preserve">Tipo_Tarefa</t>
        </is>
      </c>
      <c r="G1" s="1" t="inlineStr">
        <is>
          <t xml:space="preserve">Responsavel</t>
        </is>
      </c>
      <c r="H1" s="1" t="inlineStr">
        <is>
          <t xml:space="preserve">Sistema</t>
        </is>
      </c>
      <c r="I1" s="1" t="inlineStr">
        <is>
          <t xml:space="preserve">Duracao_Estimada</t>
        </is>
      </c>
      <c r="J1" s="1" t="inlineStr">
        <is>
          <t xml:space="preserve">Observacoes</t>
        </is>
      </c>
      <c r="K1" s="1" t="inlineStr">
        <is>
          <t xml:space="preserve">Imagem_Bizagi</t>
        </is>
      </c>
      <c r="L1" s="1" t="inlineStr">
        <is>
          <t xml:space="preserve">Unidades_Corresponsaveis</t>
        </is>
      </c>
    </row>
    <row r="2">
      <c r="A2" s="3" t="inlineStr">
        <is>
          <t xml:space="preserve">T-06.01.01.01.01</t>
        </is>
      </c>
      <c r="B2" s="3" t="inlineStr">
        <is>
          <t xml:space="preserve">A-06.01.01.01</t>
        </is>
      </c>
      <c r="C2" s="3" t="inlineStr">
        <is>
          <t xml:space="preserve">1</t>
        </is>
      </c>
      <c r="D2" s="3" t="inlineStr">
        <is>
          <t xml:space="preserve">Reunir informações da demanda</t>
        </is>
      </c>
      <c r="E2" s="3" t="inlineStr">
        <is>
          <t xml:space="preserve">Levantar justificativa, quantitativos preliminares e alinhamento ao PCA junto ao gestor da área.</t>
        </is>
      </c>
      <c r="F2" s="3" t="inlineStr">
        <is>
          <t xml:space="preserve">Manual</t>
        </is>
      </c>
      <c r="G2" s="3" t="inlineStr">
        <is>
          <t xml:space="preserve">Área demandante</t>
        </is>
      </c>
      <c r="H2" s="3" t="inlineStr">
        <is>
          <t xml:space="preserve">e-Codevasf</t>
        </is>
      </c>
      <c r="I2" s="3">
        <v>4</v>
      </c>
      <c r="L2" s="3" t="inlineStr">
        <is>
          <t xml:space="preserve">AA/GLC</t>
        </is>
      </c>
    </row>
    <row r="3">
      <c r="A3" s="2" t="inlineStr">
        <is>
          <t xml:space="preserve">T-06.01.01.01.02</t>
        </is>
      </c>
      <c r="B3" s="2" t="inlineStr">
        <is>
          <t xml:space="preserve">A-06.01.01.01</t>
        </is>
      </c>
      <c r="C3" s="2" t="inlineStr">
        <is>
          <t xml:space="preserve">2</t>
        </is>
      </c>
      <c r="D3" s="2" t="inlineStr">
        <is>
          <t xml:space="preserve">Preencher o formulário DFD no e-Codevasf</t>
        </is>
      </c>
      <c r="E3" s="2" t="inlineStr">
        <is>
          <t xml:space="preserve">Registrar o Documento de Formalização da Demanda no modelo padronizado.</t>
        </is>
      </c>
      <c r="F3" s="2" t="inlineStr">
        <is>
          <t xml:space="preserve">Manual</t>
        </is>
      </c>
      <c r="G3" s="2" t="inlineStr">
        <is>
          <t xml:space="preserve">Área demandante</t>
        </is>
      </c>
      <c r="H3" s="2" t="inlineStr">
        <is>
          <t xml:space="preserve">e-Codevasf</t>
        </is>
      </c>
      <c r="I3" s="2">
        <v>4</v>
      </c>
      <c r="J3" s="2" t="inlineStr">
        <is>
          <t xml:space="preserve">Modelo DOC-006/DOC-012.</t>
        </is>
      </c>
      <c r="L3" s="2" t="inlineStr">
        <is>
          <t xml:space="preserve">AG/GGP</t>
        </is>
      </c>
    </row>
    <row r="4">
      <c r="A4" s="3" t="inlineStr">
        <is>
          <t xml:space="preserve">T-06.01.01.01.03</t>
        </is>
      </c>
      <c r="B4" s="3" t="inlineStr">
        <is>
          <t xml:space="preserve">A-06.01.01.01</t>
        </is>
      </c>
      <c r="C4" s="3" t="inlineStr">
        <is>
          <t xml:space="preserve">3</t>
        </is>
      </c>
      <c r="D4" s="3" t="inlineStr">
        <is>
          <t xml:space="preserve">Colher assinatura eletrônica do gestor</t>
        </is>
      </c>
      <c r="E4" s="3" t="inlineStr">
        <is>
          <t xml:space="preserve">Encaminhar o DFD para assinatura da autoridade competente da unidade.</t>
        </is>
      </c>
      <c r="F4" s="3" t="inlineStr">
        <is>
          <t xml:space="preserve">Manual</t>
        </is>
      </c>
      <c r="G4" s="3" t="inlineStr">
        <is>
          <t xml:space="preserve">Área demandante</t>
        </is>
      </c>
      <c r="H4" s="3" t="inlineStr">
        <is>
          <t xml:space="preserve">e-Codevasf</t>
        </is>
      </c>
      <c r="I4" s="3">
        <v>8</v>
      </c>
      <c r="L4" s="3" t="inlineStr">
        <is>
          <t xml:space="preserve">AT/GTI</t>
        </is>
      </c>
    </row>
    <row r="5">
      <c r="A5" s="2" t="inlineStr">
        <is>
          <t xml:space="preserve">T-06.01.03.01.01</t>
        </is>
      </c>
      <c r="B5" s="2" t="inlineStr">
        <is>
          <t xml:space="preserve">A-06.01.03.01</t>
        </is>
      </c>
      <c r="C5" s="2" t="inlineStr">
        <is>
          <t xml:space="preserve">1</t>
        </is>
      </c>
      <c r="D5" s="2" t="inlineStr">
        <is>
          <t xml:space="preserve">Consultar o Painel de Preços</t>
        </is>
      </c>
      <c r="E5" s="2" t="inlineStr">
        <is>
          <t xml:space="preserve">Pesquisar contratações públicas similares e extrair os relatórios de preços.</t>
        </is>
      </c>
      <c r="F5" s="2" t="inlineStr">
        <is>
          <t xml:space="preserve">Manual</t>
        </is>
      </c>
      <c r="G5" s="2" t="inlineStr">
        <is>
          <t xml:space="preserve">Equipe de planejamento</t>
        </is>
      </c>
      <c r="H5" s="2" t="inlineStr">
        <is>
          <t xml:space="preserve">Painel de Preços</t>
        </is>
      </c>
      <c r="I5" s="2">
        <v>4</v>
      </c>
      <c r="L5" s="2" t="inlineStr">
        <is>
          <t xml:space="preserve">AE/GPE</t>
        </is>
      </c>
    </row>
    <row r="6">
      <c r="A6" s="3" t="inlineStr">
        <is>
          <t xml:space="preserve">T-06.01.03.01.02</t>
        </is>
      </c>
      <c r="B6" s="3" t="inlineStr">
        <is>
          <t xml:space="preserve">A-06.01.03.01</t>
        </is>
      </c>
      <c r="C6" s="3" t="inlineStr">
        <is>
          <t xml:space="preserve">2</t>
        </is>
      </c>
      <c r="D6" s="3" t="inlineStr">
        <is>
          <t xml:space="preserve">Consultar contratações no PNCP</t>
        </is>
      </c>
      <c r="E6" s="3" t="inlineStr">
        <is>
          <t xml:space="preserve">Verificar atas e contratos vigentes de objetos equivalentes no PNCP.</t>
        </is>
      </c>
      <c r="F6" s="3" t="inlineStr">
        <is>
          <t xml:space="preserve">Manual</t>
        </is>
      </c>
      <c r="G6" s="3" t="inlineStr">
        <is>
          <t xml:space="preserve">Equipe de planejamento</t>
        </is>
      </c>
      <c r="H6" s="3" t="inlineStr">
        <is>
          <t xml:space="preserve">PNCP</t>
        </is>
      </c>
      <c r="I6" s="3">
        <v>4</v>
      </c>
      <c r="L6" s="3" t="inlineStr">
        <is>
          <t xml:space="preserve">AE/GAG</t>
        </is>
      </c>
    </row>
    <row r="7">
      <c r="A7" s="2" t="inlineStr">
        <is>
          <t xml:space="preserve">T-06.01.03.01.03</t>
        </is>
      </c>
      <c r="B7" s="2" t="inlineStr">
        <is>
          <t xml:space="preserve">A-06.01.03.01</t>
        </is>
      </c>
      <c r="C7" s="2" t="inlineStr">
        <is>
          <t xml:space="preserve">3</t>
        </is>
      </c>
      <c r="D7" s="2" t="inlineStr">
        <is>
          <t xml:space="preserve">Registrar cotações de fornecedores</t>
        </is>
      </c>
      <c r="E7" s="2" t="inlineStr">
        <is>
          <t xml:space="preserve">Solicitar e registrar cotações diretas quando as fontes oficiais forem insuficientes.</t>
        </is>
      </c>
      <c r="F7" s="2" t="inlineStr">
        <is>
          <t xml:space="preserve">Manual</t>
        </is>
      </c>
      <c r="G7" s="2" t="inlineStr">
        <is>
          <t xml:space="preserve">Equipe de planejamento</t>
        </is>
      </c>
      <c r="H7" s="2" t="inlineStr">
        <is>
          <t xml:space="preserve">e-Codevasf</t>
        </is>
      </c>
      <c r="I7" s="2">
        <v>24</v>
      </c>
      <c r="J7" s="2" t="inlineStr">
        <is>
          <t xml:space="preserve">Mínimo de 3 fontes (IN 65/2021).</t>
        </is>
      </c>
      <c r="L7" s="2" t="inlineStr">
        <is>
          <t xml:space="preserve">AR/GDT</t>
        </is>
      </c>
    </row>
    <row r="8">
      <c r="A8" s="3" t="inlineStr">
        <is>
          <t xml:space="preserve">T-06.01.03.01.04</t>
        </is>
      </c>
      <c r="B8" s="3" t="inlineStr">
        <is>
          <t xml:space="preserve">A-06.01.03.01</t>
        </is>
      </c>
      <c r="C8" s="3" t="inlineStr">
        <is>
          <t xml:space="preserve">4</t>
        </is>
      </c>
      <c r="D8" s="3" t="inlineStr">
        <is>
          <t xml:space="preserve">Aplicar tratamento estatístico</t>
        </is>
      </c>
      <c r="E8" s="3" t="inlineStr">
        <is>
          <t xml:space="preserve">Calcular média/mediana, excluir valores inexequíveis ou excessivos e justificar o método.</t>
        </is>
      </c>
      <c r="F8" s="3" t="inlineStr">
        <is>
          <t xml:space="preserve">Regra de negócio</t>
        </is>
      </c>
      <c r="G8" s="3" t="inlineStr">
        <is>
          <t xml:space="preserve">Equipe de planejamento</t>
        </is>
      </c>
      <c r="H8" s="3" t="inlineStr">
        <is>
          <t xml:space="preserve">Planilha padrão</t>
        </is>
      </c>
      <c r="I8" s="3">
        <v>4</v>
      </c>
      <c r="L8" s="3" t="inlineStr">
        <is>
          <t xml:space="preserve">AI/GOM</t>
        </is>
      </c>
    </row>
    <row r="9">
      <c r="A9" s="2" t="inlineStr">
        <is>
          <t xml:space="preserve">T-06.02.01.01.01</t>
        </is>
      </c>
      <c r="B9" s="2" t="inlineStr">
        <is>
          <t xml:space="preserve">A-06.02.01.01</t>
        </is>
      </c>
      <c r="C9" s="2" t="inlineStr">
        <is>
          <t xml:space="preserve">1</t>
        </is>
      </c>
      <c r="D9" s="2" t="inlineStr">
        <is>
          <t xml:space="preserve">Cadastrar o edital no Compras.gov.br</t>
        </is>
      </c>
      <c r="E9" s="2" t="inlineStr">
        <is>
          <t xml:space="preserve">Inserir o edital aprovado, anexos e cronograma do certame no sistema.</t>
        </is>
      </c>
      <c r="F9" s="2" t="inlineStr">
        <is>
          <t xml:space="preserve">Manual</t>
        </is>
      </c>
      <c r="G9" s="2" t="inlineStr">
        <is>
          <t xml:space="preserve">Agente de contratação</t>
        </is>
      </c>
      <c r="H9" s="2" t="inlineStr">
        <is>
          <t xml:space="preserve">Compras.gov.br</t>
        </is>
      </c>
      <c r="I9" s="2">
        <v>4</v>
      </c>
      <c r="L9" s="2" t="inlineStr">
        <is>
          <t xml:space="preserve">AR/GRB</t>
        </is>
      </c>
    </row>
    <row r="10">
      <c r="A10" s="3" t="inlineStr">
        <is>
          <t xml:space="preserve">T-06.02.01.01.02</t>
        </is>
      </c>
      <c r="B10" s="3" t="inlineStr">
        <is>
          <t xml:space="preserve">A-06.02.01.01</t>
        </is>
      </c>
      <c r="C10" s="3" t="inlineStr">
        <is>
          <t xml:space="preserve">2</t>
        </is>
      </c>
      <c r="D10" s="3" t="inlineStr">
        <is>
          <t xml:space="preserve">Publicar o aviso no PNCP</t>
        </is>
      </c>
      <c r="E10" s="3" t="inlineStr">
        <is>
          <t xml:space="preserve">Divulgação automática do aviso de licitação a partir do cadastro no sistema.</t>
        </is>
      </c>
      <c r="F10" s="3" t="inlineStr">
        <is>
          <t xml:space="preserve">Automatizada</t>
        </is>
      </c>
      <c r="G10" s="3" t="inlineStr">
        <is>
          <t xml:space="preserve">Compras.gov.br</t>
        </is>
      </c>
      <c r="H10" s="3" t="inlineStr">
        <is>
          <t xml:space="preserve">PNCP</t>
        </is>
      </c>
      <c r="I10" s="3">
        <v>0</v>
      </c>
      <c r="L10" s="3" t="inlineStr">
        <is>
          <t xml:space="preserve">AA/GLC</t>
        </is>
      </c>
    </row>
    <row r="11">
      <c r="A11" s="2" t="inlineStr">
        <is>
          <t xml:space="preserve">T-04.01.01.01.01</t>
        </is>
      </c>
      <c r="B11" s="2" t="inlineStr">
        <is>
          <t xml:space="preserve">A-04.01.01.01</t>
        </is>
      </c>
      <c r="C11" s="2" t="inlineStr">
        <is>
          <t xml:space="preserve">1</t>
        </is>
      </c>
      <c r="D11" s="2" t="inlineStr">
        <is>
          <t xml:space="preserve">Consolidar demandas semanais dos lotes</t>
        </is>
      </c>
      <c r="E11" s="2" t="inlineStr">
        <is>
          <t xml:space="preserve">Compilar os pedidos de água dos irrigantes por setor hidráulico para a programação.</t>
        </is>
      </c>
      <c r="F11" s="2" t="inlineStr">
        <is>
          <t xml:space="preserve">Manual</t>
        </is>
      </c>
      <c r="G11" s="2" t="inlineStr">
        <is>
          <t xml:space="preserve">Equipe de operação</t>
        </is>
      </c>
      <c r="H11" s="2" t="inlineStr">
        <is>
          <t xml:space="preserve">SIG-Irrigação (fictício)</t>
        </is>
      </c>
      <c r="I11" s="2">
        <v>8</v>
      </c>
      <c r="L11" s="2" t="inlineStr">
        <is>
          <t xml:space="preserve">AG/GGP</t>
        </is>
      </c>
    </row>
  </sheetData>
  <autoFilter ref="A1:L1"/>
  <dataValidations count="1"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F2:F300">
      <formula1>Listas!$H$2:$H$4</formula1>
    </dataValidation>
  </dataValidation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68821"/>
  </sheetPr>
  <sheetViews>
    <sheetView zoomScale="90" workbookViewId="0">
      <pane xSplit="3" ySplit="1" topLeftCell="D2" activePane="bottomRight" state="frozen"/>
    </sheetView>
  </sheetViews>
  <sheetFormatPr defaultRowHeight="15"/>
  <cols>
    <col min="1" max="1" width="10" customWidth="1"/>
    <col min="2" max="2" width="15" customWidth="1"/>
    <col min="3" max="3" width="14" customWidth="1"/>
    <col min="4" max="4" width="26" customWidth="1"/>
    <col min="5" max="5" width="52" customWidth="1"/>
    <col min="6" max="6" width="8" customWidth="1"/>
    <col min="7" max="7" width="12" customWidth="1"/>
    <col min="8" max="8" width="14" customWidth="1"/>
    <col min="9" max="9" width="44" customWidth="1"/>
    <col min="10" max="10" width="30" customWidth="1"/>
  </cols>
  <sheetData>
    <row r="1" ht="30" customHeight="1">
      <c r="A1" s="1" t="inlineStr">
        <is>
          <t xml:space="preserve">ID</t>
        </is>
      </c>
      <c r="B1" s="1" t="inlineStr">
        <is>
          <t xml:space="preserve">Vinculo_Nivel</t>
        </is>
      </c>
      <c r="C1" s="1" t="inlineStr">
        <is>
          <t xml:space="preserve">Vinculo_Codigo</t>
        </is>
      </c>
      <c r="D1" s="1" t="inlineStr">
        <is>
          <t xml:space="preserve">Tipo_Documento</t>
        </is>
      </c>
      <c r="E1" s="1" t="inlineStr">
        <is>
          <t xml:space="preserve">Titulo</t>
        </is>
      </c>
      <c r="F1" s="1" t="inlineStr">
        <is>
          <t xml:space="preserve">Versao</t>
        </is>
      </c>
      <c r="G1" s="1" t="inlineStr">
        <is>
          <t xml:space="preserve">Data</t>
        </is>
      </c>
      <c r="H1" s="1" t="inlineStr">
        <is>
          <t xml:space="preserve">Situacao</t>
        </is>
      </c>
      <c r="I1" s="1" t="inlineStr">
        <is>
          <t xml:space="preserve">Link</t>
        </is>
      </c>
      <c r="J1" s="1" t="inlineStr">
        <is>
          <t xml:space="preserve">Observacoes</t>
        </is>
      </c>
    </row>
    <row r="2">
      <c r="A2" s="3" t="inlineStr">
        <is>
          <t xml:space="preserve">DOC-001</t>
        </is>
      </c>
      <c r="B2" s="7" t="str">
        <f>IF(C2="","",IF(LEFT(C2,3)="MP-","Macroprocesso",IF(LEFT(C2,3)="SP-","Subprocesso",IF(LEFT(C2,2)="P-","Processo",IF(LEFT(C2,2)="A-","Atividade",IF(LEFT(C2,2)="T-","Tarefa",""))))))</f>
        <v>Processo</v>
      </c>
      <c r="C2" s="3" t="inlineStr">
        <is>
          <t xml:space="preserve">P-06.01</t>
        </is>
      </c>
      <c r="D2" s="3" t="inlineStr">
        <is>
          <t xml:space="preserve">Procedimento (PRO)</t>
        </is>
      </c>
      <c r="E2" s="3" t="inlineStr">
        <is>
          <t xml:space="preserve">PRO 06.01 — Planejamento da Contratação</t>
        </is>
      </c>
      <c r="F2" s="3" t="inlineStr">
        <is>
          <t xml:space="preserve">2.0</t>
        </is>
      </c>
      <c r="G2" s="3" t="inlineStr">
        <is>
          <t xml:space="preserve">2026-05-18</t>
        </is>
      </c>
      <c r="H2" s="3" t="inlineStr">
        <is>
          <t xml:space="preserve">Vigente</t>
        </is>
      </c>
      <c r="I2" s="3" t="inlineStr">
        <is>
          <t xml:space="preserve">https://exemplo.codevasf.gov.br/repositorio/pop-06-01.pdf</t>
        </is>
      </c>
      <c r="J2" s="3" t="inlineStr">
        <is>
          <t xml:space="preserve">Publicado após validação do TO-BE.</t>
        </is>
      </c>
    </row>
    <row r="3">
      <c r="A3" s="2" t="inlineStr">
        <is>
          <t xml:space="preserve">DOC-002</t>
        </is>
      </c>
      <c r="B3" s="7" t="str">
        <f>IF(C3="","",IF(LEFT(C3,3)="MP-","Macroprocesso",IF(LEFT(C3,3)="SP-","Subprocesso",IF(LEFT(C3,2)="P-","Processo",IF(LEFT(C3,2)="A-","Atividade",IF(LEFT(C3,2)="T-","Tarefa",""))))))</f>
        <v>Processo</v>
      </c>
      <c r="C3" s="2" t="inlineStr">
        <is>
          <t xml:space="preserve">P-06.01</t>
        </is>
      </c>
      <c r="D3" s="2" t="inlineStr">
        <is>
          <t xml:space="preserve">Diagrama BPMN</t>
        </is>
      </c>
      <c r="E3" s="2" t="inlineStr">
        <is>
          <t xml:space="preserve">Diagrama AS-IS — Planejamento da Contratação (Bizagi)</t>
        </is>
      </c>
      <c r="F3" s="2" t="inlineStr">
        <is>
          <t xml:space="preserve">1.0</t>
        </is>
      </c>
      <c r="G3" s="2" t="inlineStr">
        <is>
          <t xml:space="preserve">2026-03-02</t>
        </is>
      </c>
      <c r="H3" s="2" t="inlineStr">
        <is>
          <t xml:space="preserve">Vigente</t>
        </is>
      </c>
      <c r="I3" s="2" t="inlineStr">
        <is>
          <t xml:space="preserve">https://fluxosti.codevasf.gov.br/incidentes/</t>
        </is>
      </c>
      <c r="J3" s="2" t="inlineStr">
        <is>
          <t xml:space="preserve">Exportado do Bizagi Modeler. Mesmo link da ficha do processo (P-06.01).</t>
        </is>
      </c>
    </row>
    <row r="4">
      <c r="A4" s="3" t="inlineStr">
        <is>
          <t xml:space="preserve">DOC-003</t>
        </is>
      </c>
      <c r="B4" s="7" t="str">
        <f>IF(C4="","",IF(LEFT(C4,3)="MP-","Macroprocesso",IF(LEFT(C4,3)="SP-","Subprocesso",IF(LEFT(C4,2)="P-","Processo",IF(LEFT(C4,2)="A-","Atividade",IF(LEFT(C4,2)="T-","Tarefa",""))))))</f>
        <v>Processo</v>
      </c>
      <c r="C4" s="3" t="inlineStr">
        <is>
          <t xml:space="preserve">P-06.01</t>
        </is>
      </c>
      <c r="D4" s="3" t="inlineStr">
        <is>
          <t xml:space="preserve">Diagrama BPMN</t>
        </is>
      </c>
      <c r="E4" s="3" t="inlineStr">
        <is>
          <t xml:space="preserve">Diagrama TO-BE — Planejamento da Contratação (Bizagi)</t>
        </is>
      </c>
      <c r="F4" s="3" t="inlineStr">
        <is>
          <t xml:space="preserve">1.0</t>
        </is>
      </c>
      <c r="G4" s="3" t="inlineStr">
        <is>
          <t xml:space="preserve">2026-05-04</t>
        </is>
      </c>
      <c r="H4" s="3" t="inlineStr">
        <is>
          <t xml:space="preserve">Vigente</t>
        </is>
      </c>
      <c r="I4" s="3" t="inlineStr">
        <is>
          <t xml:space="preserve">https://exemplo.codevasf.gov.br/repositorio/p-06-01-tobe.pdf</t>
        </is>
      </c>
    </row>
    <row r="5">
      <c r="A5" s="2" t="inlineStr">
        <is>
          <t xml:space="preserve">DOC-004</t>
        </is>
      </c>
      <c r="B5" s="7" t="str">
        <f>IF(C5="","",IF(LEFT(C5,3)="MP-","Macroprocesso",IF(LEFT(C5,3)="SP-","Subprocesso",IF(LEFT(C5,2)="P-","Processo",IF(LEFT(C5,2)="A-","Atividade",IF(LEFT(C5,2)="T-","Tarefa",""))))))</f>
        <v>Processo</v>
      </c>
      <c r="C5" s="2" t="inlineStr">
        <is>
          <t xml:space="preserve">P-06.01</t>
        </is>
      </c>
      <c r="D5" s="2" t="inlineStr">
        <is>
          <t xml:space="preserve">Ata de reunião</t>
        </is>
      </c>
      <c r="E5" s="2" t="inlineStr">
        <is>
          <t xml:space="preserve">Ata — Reunião de contextualização com a GLC</t>
        </is>
      </c>
      <c r="F5" s="2" t="inlineStr">
        <is>
          <t xml:space="preserve">1.0</t>
        </is>
      </c>
      <c r="G5" s="2" t="inlineStr">
        <is>
          <t xml:space="preserve">2026-01-12</t>
        </is>
      </c>
      <c r="H5" s="2" t="inlineStr">
        <is>
          <t xml:space="preserve">Vigente</t>
        </is>
      </c>
      <c r="I5" s="2" t="inlineStr">
        <is>
          <t xml:space="preserve">https://exemplo.codevasf.gov.br/sei/ata-contextualizacao-p0601</t>
        </is>
      </c>
      <c r="J5" s="2" t="inlineStr">
        <is>
          <t xml:space="preserve">e-Codevasf 59500.000123/2026-11.</t>
        </is>
      </c>
    </row>
    <row r="6">
      <c r="A6" s="3" t="inlineStr">
        <is>
          <t xml:space="preserve">DOC-005</t>
        </is>
      </c>
      <c r="B6" s="7" t="str">
        <f>IF(C6="","",IF(LEFT(C6,3)="MP-","Macroprocesso",IF(LEFT(C6,3)="SP-","Subprocesso",IF(LEFT(C6,2)="P-","Processo",IF(LEFT(C6,2)="A-","Atividade",IF(LEFT(C6,2)="T-","Tarefa",""))))))</f>
        <v>Processo</v>
      </c>
      <c r="C6" s="3" t="inlineStr">
        <is>
          <t xml:space="preserve">P-06.01;SP-06.01.03</t>
        </is>
      </c>
      <c r="D6" s="3" t="inlineStr">
        <is>
          <t xml:space="preserve">Relatório</t>
        </is>
      </c>
      <c r="E6" s="3" t="inlineStr">
        <is>
          <t xml:space="preserve">Relatório de oportunidades de melhoria (AS-IS → TO-BE)</t>
        </is>
      </c>
      <c r="F6" s="3" t="inlineStr">
        <is>
          <t xml:space="preserve">1.0</t>
        </is>
      </c>
      <c r="G6" s="3" t="inlineStr">
        <is>
          <t xml:space="preserve">2026-04-13</t>
        </is>
      </c>
      <c r="H6" s="3" t="inlineStr">
        <is>
          <t xml:space="preserve">Vigente</t>
        </is>
      </c>
      <c r="I6" s="3" t="inlineStr">
        <is>
          <t xml:space="preserve">https://exemplo.codevasf.gov.br/repositorio/rel-melhorias-p0601.pdf</t>
        </is>
      </c>
    </row>
    <row r="7">
      <c r="A7" s="2" t="inlineStr">
        <is>
          <t xml:space="preserve">DOC-006</t>
        </is>
      </c>
      <c r="B7" s="7" t="str">
        <f>IF(C7="","",IF(LEFT(C7,3)="MP-","Macroprocesso",IF(LEFT(C7,3)="SP-","Subprocesso",IF(LEFT(C7,2)="P-","Processo",IF(LEFT(C7,2)="A-","Atividade",IF(LEFT(C7,2)="T-","Tarefa",""))))))</f>
        <v>Subprocesso</v>
      </c>
      <c r="C7" s="2" t="inlineStr">
        <is>
          <t xml:space="preserve">SP-06.01.01</t>
        </is>
      </c>
      <c r="D7" s="2" t="inlineStr">
        <is>
          <t xml:space="preserve">Formulário/Modelo</t>
        </is>
      </c>
      <c r="E7" s="2" t="inlineStr">
        <is>
          <t xml:space="preserve">Modelo de DFD — Documento de Formalização da Demanda</t>
        </is>
      </c>
      <c r="F7" s="2" t="inlineStr">
        <is>
          <t xml:space="preserve">3.1</t>
        </is>
      </c>
      <c r="G7" s="2" t="inlineStr">
        <is>
          <t xml:space="preserve">2026-02-10</t>
        </is>
      </c>
      <c r="H7" s="2" t="inlineStr">
        <is>
          <t xml:space="preserve">Vigente</t>
        </is>
      </c>
      <c r="I7" s="2" t="inlineStr">
        <is>
          <t xml:space="preserve">https://exemplo.codevasf.gov.br/modelos/dfd.docx</t>
        </is>
      </c>
    </row>
    <row r="8">
      <c r="A8" s="3" t="inlineStr">
        <is>
          <t xml:space="preserve">DOC-007</t>
        </is>
      </c>
      <c r="B8" s="7" t="str">
        <f>IF(C8="","",IF(LEFT(C8,3)="MP-","Macroprocesso",IF(LEFT(C8,3)="SP-","Subprocesso",IF(LEFT(C8,2)="P-","Processo",IF(LEFT(C8,2)="A-","Atividade",IF(LEFT(C8,2)="T-","Tarefa",""))))))</f>
        <v>Subprocesso</v>
      </c>
      <c r="C8" s="3" t="inlineStr">
        <is>
          <t xml:space="preserve">SP-06.01.03;SP-06.01.03.01</t>
        </is>
      </c>
      <c r="D8" s="3" t="inlineStr">
        <is>
          <t xml:space="preserve">Procedimento (PRO)</t>
        </is>
      </c>
      <c r="E8" s="3" t="inlineStr">
        <is>
          <t xml:space="preserve">Roteiro de pesquisa de preços (IN SEGES nº 65/2021)</t>
        </is>
      </c>
      <c r="F8" s="3" t="inlineStr">
        <is>
          <t xml:space="preserve">1.2</t>
        </is>
      </c>
      <c r="G8" s="3" t="inlineStr">
        <is>
          <t xml:space="preserve">2026-04-27</t>
        </is>
      </c>
      <c r="H8" s="3" t="inlineStr">
        <is>
          <t xml:space="preserve">Vigente</t>
        </is>
      </c>
      <c r="I8" s="3" t="inlineStr">
        <is>
          <t xml:space="preserve">https://exemplo.codevasf.gov.br/repositorio/roteiro-precos.pdf</t>
        </is>
      </c>
    </row>
    <row r="9">
      <c r="A9" s="2" t="inlineStr">
        <is>
          <t xml:space="preserve">DOC-008</t>
        </is>
      </c>
      <c r="B9" s="7" t="str">
        <f>IF(C9="","",IF(LEFT(C9,3)="MP-","Macroprocesso",IF(LEFT(C9,3)="SP-","Subprocesso",IF(LEFT(C9,2)="P-","Processo",IF(LEFT(C9,2)="A-","Atividade",IF(LEFT(C9,2)="T-","Tarefa",""))))))</f>
        <v>Macroprocesso</v>
      </c>
      <c r="C9" s="2" t="inlineStr">
        <is>
          <t xml:space="preserve">MP-06</t>
        </is>
      </c>
      <c r="D9" s="2" t="inlineStr">
        <is>
          <t xml:space="preserve">Norma interna</t>
        </is>
      </c>
      <c r="E9" s="2" t="inlineStr">
        <is>
          <t xml:space="preserve">NI-027/2024 — Norma de Licitações e Contratos (fictícia)</t>
        </is>
      </c>
      <c r="F9" s="2" t="inlineStr">
        <is>
          <t xml:space="preserve">4.0</t>
        </is>
      </c>
      <c r="G9" s="2" t="inlineStr">
        <is>
          <t xml:space="preserve">2024-11-20</t>
        </is>
      </c>
      <c r="H9" s="2" t="inlineStr">
        <is>
          <t xml:space="preserve">Vigente</t>
        </is>
      </c>
      <c r="I9" s="2" t="inlineStr">
        <is>
          <t xml:space="preserve">https://exemplo.codevasf.gov.br/normativos/ni-027</t>
        </is>
      </c>
    </row>
    <row r="10">
      <c r="A10" s="3" t="inlineStr">
        <is>
          <t xml:space="preserve">DOC-009</t>
        </is>
      </c>
      <c r="B10" s="7" t="str">
        <f>IF(C10="","",IF(LEFT(C10,3)="MP-","Macroprocesso",IF(LEFT(C10,3)="SP-","Subprocesso",IF(LEFT(C10,2)="P-","Processo",IF(LEFT(C10,2)="A-","Atividade",IF(LEFT(C10,2)="T-","Tarefa",""))))))</f>
        <v>Processo</v>
      </c>
      <c r="C10" s="3" t="inlineStr">
        <is>
          <t xml:space="preserve">P-06.01;P-06.03</t>
        </is>
      </c>
      <c r="D10" s="3" t="inlineStr">
        <is>
          <t xml:space="preserve">Manual</t>
        </is>
      </c>
      <c r="E10" s="3" t="inlineStr">
        <is>
          <t xml:space="preserve">Manual de Gestão e Fiscalização de Contratos (fictício)</t>
        </is>
      </c>
      <c r="F10" s="3" t="inlineStr">
        <is>
          <t xml:space="preserve">2.3</t>
        </is>
      </c>
      <c r="G10" s="3" t="inlineStr">
        <is>
          <t xml:space="preserve">2025-08-14</t>
        </is>
      </c>
      <c r="H10" s="3" t="inlineStr">
        <is>
          <t xml:space="preserve">Em revisão</t>
        </is>
      </c>
      <c r="I10" s="3" t="inlineStr">
        <is>
          <t xml:space="preserve">https://exemplo.codevasf.gov.br/normativos/manual-fiscalizacao</t>
        </is>
      </c>
    </row>
    <row r="11">
      <c r="A11" s="2" t="inlineStr">
        <is>
          <t xml:space="preserve">DOC-010</t>
        </is>
      </c>
      <c r="B11" s="7" t="str">
        <f>IF(C11="","",IF(LEFT(C11,3)="MP-","Macroprocesso",IF(LEFT(C11,3)="SP-","Subprocesso",IF(LEFT(C11,2)="P-","Processo",IF(LEFT(C11,2)="A-","Atividade",IF(LEFT(C11,2)="T-","Tarefa",""))))))</f>
        <v>Processo</v>
      </c>
      <c r="C11" s="2" t="inlineStr">
        <is>
          <t xml:space="preserve">P-06.02</t>
        </is>
      </c>
      <c r="D11" s="2" t="inlineStr">
        <is>
          <t xml:space="preserve">Ata de reunião</t>
        </is>
      </c>
      <c r="E11" s="2" t="inlineStr">
        <is>
          <t xml:space="preserve">Ata — Contextualização do processo Seleção do Fornecedor</t>
        </is>
      </c>
      <c r="F11" s="2" t="inlineStr">
        <is>
          <t xml:space="preserve">1.0</t>
        </is>
      </c>
      <c r="G11" s="2" t="inlineStr">
        <is>
          <t xml:space="preserve">2026-06-02</t>
        </is>
      </c>
      <c r="H11" s="2" t="inlineStr">
        <is>
          <t xml:space="preserve">Vigente</t>
        </is>
      </c>
      <c r="I11" s="2" t="inlineStr">
        <is>
          <t xml:space="preserve">https://exemplo.codevasf.gov.br/sei/ata-contextualizacao-p0602</t>
        </is>
      </c>
    </row>
    <row r="12">
      <c r="A12" s="3" t="inlineStr">
        <is>
          <t xml:space="preserve">DOC-011</t>
        </is>
      </c>
      <c r="B12" s="7" t="str">
        <f>IF(C12="","",IF(LEFT(C12,3)="MP-","Macroprocesso",IF(LEFT(C12,3)="SP-","Subprocesso",IF(LEFT(C12,2)="P-","Processo",IF(LEFT(C12,2)="A-","Atividade",IF(LEFT(C12,2)="T-","Tarefa",""))))))</f>
        <v>Processo</v>
      </c>
      <c r="C12" s="3" t="inlineStr">
        <is>
          <t xml:space="preserve">P-04.01</t>
        </is>
      </c>
      <c r="D12" s="3" t="inlineStr">
        <is>
          <t xml:space="preserve">Diagrama BPMN</t>
        </is>
      </c>
      <c r="E12" s="3" t="inlineStr">
        <is>
          <t xml:space="preserve">Diagrama AS-IS parcial — O&amp;M de Perímetros (Bizagi)</t>
        </is>
      </c>
      <c r="F12" s="3" t="inlineStr">
        <is>
          <t xml:space="preserve">0.3</t>
        </is>
      </c>
      <c r="G12" s="3" t="inlineStr">
        <is>
          <t xml:space="preserve">2026-07-08</t>
        </is>
      </c>
      <c r="H12" s="3" t="inlineStr">
        <is>
          <t xml:space="preserve">Em elaboração</t>
        </is>
      </c>
      <c r="J12" s="3" t="inlineStr">
        <is>
          <t xml:space="preserve">Modelagem em curso.</t>
        </is>
      </c>
    </row>
    <row r="13">
      <c r="A13" s="2" t="inlineStr">
        <is>
          <t xml:space="preserve">DOC-012</t>
        </is>
      </c>
      <c r="B13" s="7" t="str">
        <f>IF(C13="","",IF(LEFT(C13,3)="MP-","Macroprocesso",IF(LEFT(C13,3)="SP-","Subprocesso",IF(LEFT(C13,2)="P-","Processo",IF(LEFT(C13,2)="A-","Atividade",IF(LEFT(C13,2)="T-","Tarefa",""))))))</f>
        <v>Atividade</v>
      </c>
      <c r="C13" s="2" t="inlineStr">
        <is>
          <t xml:space="preserve">A-06.01.01.01</t>
        </is>
      </c>
      <c r="D13" s="2" t="inlineStr">
        <is>
          <t xml:space="preserve">Formulário/Modelo</t>
        </is>
      </c>
      <c r="E13" s="2" t="inlineStr">
        <is>
          <t xml:space="preserve">Passo a passo do DFD no e-Codevasf</t>
        </is>
      </c>
      <c r="F13" s="2" t="inlineStr">
        <is>
          <t xml:space="preserve">1.0</t>
        </is>
      </c>
      <c r="G13" s="2" t="inlineStr">
        <is>
          <t xml:space="preserve">2026-02-12</t>
        </is>
      </c>
      <c r="H13" s="2" t="inlineStr">
        <is>
          <t xml:space="preserve">Vigente</t>
        </is>
      </c>
      <c r="I13" s="2" t="inlineStr">
        <is>
          <t xml:space="preserve">https://exemplo.codevasf.gov.br/modelos/dfd-sei-passoapasso.pdf</t>
        </is>
      </c>
    </row>
    <row r="14">
      <c r="A14" s="3" t="inlineStr">
        <is>
          <t xml:space="preserve">DOC-013</t>
        </is>
      </c>
      <c r="B14" s="7" t="str">
        <f>IF(C14="","",IF(LEFT(C14,3)="MP-","Macroprocesso",IF(LEFT(C14,3)="SP-","Subprocesso",IF(LEFT(C14,2)="P-","Processo",IF(LEFT(C14,2)="A-","Atividade",IF(LEFT(C14,2)="T-","Tarefa",""))))))</f>
        <v>Processo</v>
      </c>
      <c r="C14" s="3" t="inlineStr">
        <is>
          <t xml:space="preserve">P-01.01</t>
        </is>
      </c>
      <c r="D14" s="3" t="inlineStr">
        <is>
          <t xml:space="preserve">Relatório</t>
        </is>
      </c>
      <c r="E14" s="3" t="inlineStr">
        <is>
          <t xml:space="preserve">Caderno de Indicadores Estratégicos 2026</t>
        </is>
      </c>
      <c r="F14" s="3" t="inlineStr">
        <is>
          <t xml:space="preserve">1.0</t>
        </is>
      </c>
      <c r="G14" s="3" t="inlineStr">
        <is>
          <t xml:space="preserve">2026-03-31</t>
        </is>
      </c>
      <c r="H14" s="3" t="inlineStr">
        <is>
          <t xml:space="preserve">Vigente</t>
        </is>
      </c>
      <c r="I14" s="3" t="inlineStr">
        <is>
          <t xml:space="preserve">https://exemplo.codevasf.gov.br/estrategia/caderno-2026.pdf</t>
        </is>
      </c>
    </row>
    <row r="15">
      <c r="A15" s="2" t="inlineStr">
        <is>
          <t xml:space="preserve">DOC-014</t>
        </is>
      </c>
      <c r="B15" s="7" t="str">
        <f>IF(C15="","",IF(LEFT(C15,3)="MP-","Macroprocesso",IF(LEFT(C15,3)="SP-","Subprocesso",IF(LEFT(C15,2)="P-","Processo",IF(LEFT(C15,2)="A-","Atividade",IF(LEFT(C15,2)="T-","Tarefa",""))))))</f>
        <v>Processo</v>
      </c>
      <c r="C15" s="2" t="inlineStr">
        <is>
          <t xml:space="preserve">P-06.01</t>
        </is>
      </c>
      <c r="D15" s="2" t="inlineStr">
        <is>
          <t xml:space="preserve">Plano</t>
        </is>
      </c>
      <c r="E15" s="2" t="inlineStr">
        <is>
          <t xml:space="preserve">Plano de implantação do TO-BE (PMBOK — plano do projeto)</t>
        </is>
      </c>
      <c r="F15" s="2" t="inlineStr">
        <is>
          <t xml:space="preserve">1.0</t>
        </is>
      </c>
      <c r="G15" s="2" t="inlineStr">
        <is>
          <t xml:space="preserve">2026-05-06</t>
        </is>
      </c>
      <c r="H15" s="2" t="inlineStr">
        <is>
          <t xml:space="preserve">Vigente</t>
        </is>
      </c>
      <c r="I15" s="2" t="inlineStr">
        <is>
          <t xml:space="preserve">https://exemplo.codevasf.gov.br/repositorio/plano-tobe-p0601.pdf</t>
        </is>
      </c>
    </row>
    <row r="16">
      <c r="A16" s="3" t="inlineStr">
        <is>
          <t xml:space="preserve">DOC-015</t>
        </is>
      </c>
      <c r="B16" s="7" t="str">
        <f>IF(C16="","",IF(LEFT(C16,3)="MP-","Macroprocesso",IF(LEFT(C16,3)="SP-","Subprocesso",IF(LEFT(C16,2)="P-","Processo",IF(LEFT(C16,2)="A-","Atividade",IF(LEFT(C16,2)="T-","Tarefa",""))))))</f>
        <v>Processo</v>
      </c>
      <c r="C16" s="3" t="inlineStr">
        <is>
          <t xml:space="preserve">P-06.01</t>
        </is>
      </c>
      <c r="D16" s="3" t="inlineStr">
        <is>
          <t xml:space="preserve">Checklist</t>
        </is>
      </c>
      <c r="E16" s="3" t="inlineStr">
        <is>
          <t xml:space="preserve">Checklist de Conformidade — Planejamento da Contratação</t>
        </is>
      </c>
      <c r="F16" s="3" t="inlineStr">
        <is>
          <t xml:space="preserve">1.0</t>
        </is>
      </c>
      <c r="G16" s="3" t="inlineStr">
        <is>
          <t xml:space="preserve">2026-05-18</t>
        </is>
      </c>
      <c r="H16" s="3" t="inlineStr">
        <is>
          <t xml:space="preserve">Vigente</t>
        </is>
      </c>
      <c r="I16" s="3" t="inlineStr">
        <is>
          <t xml:space="preserve">https://exemplo.codevasf.gov.br/repositorio/checklist-p0601.pdf</t>
        </is>
      </c>
      <c r="J16" s="3" t="inlineStr">
        <is>
          <t xml:space="preserve">Exemplo — checklist ainda não padronizado para os demais processos da carteira.</t>
        </is>
      </c>
    </row>
  </sheetData>
  <autoFilter ref="A1:J1"/>
  <dataValidations count="3"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B2:B300">
      <formula1>Listas!$G$2:$G$6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D2:D300">
      <formula1>Listas!$I$2:$I$11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H2:H300">
      <formula1>Listas!$J$2:$J$5</formula1>
    </dataValidation>
  </dataValidation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68821"/>
  </sheetPr>
  <sheetViews>
    <sheetView zoomScale="90" workbookViewId="0">
      <pane xSplit="3" ySplit="1" topLeftCell="D2" activePane="bottomRight" state="frozen"/>
    </sheetView>
  </sheetViews>
  <sheetFormatPr defaultRowHeight="15"/>
  <cols>
    <col min="1" max="1" width="9" customWidth="1"/>
    <col min="2" max="2" width="15" customWidth="1"/>
    <col min="3" max="3" width="14" customWidth="1"/>
    <col min="4" max="4" width="52" customWidth="1"/>
    <col min="5" max="5" width="22" customWidth="1"/>
    <col min="6" max="6" width="12" customWidth="1"/>
    <col min="7" max="7" width="10" customWidth="1"/>
    <col min="8" max="8" width="9" customWidth="1"/>
    <col min="9" max="9" width="13" customWidth="1"/>
    <col min="10" max="10" width="11" customWidth="1"/>
    <col min="11" max="11" width="46" customWidth="1"/>
    <col min="12" max="12" width="22" customWidth="1"/>
    <col min="13" max="13" width="14" customWidth="1"/>
  </cols>
  <sheetData>
    <row r="1" ht="30" customHeight="1">
      <c r="A1" s="1" t="inlineStr">
        <is>
          <t xml:space="preserve">ID</t>
        </is>
      </c>
      <c r="B1" s="1" t="inlineStr">
        <is>
          <t xml:space="preserve">Vinculo_Nivel</t>
        </is>
      </c>
      <c r="C1" s="1" t="inlineStr">
        <is>
          <t xml:space="preserve">Vinculo_Codigo</t>
        </is>
      </c>
      <c r="D1" s="1" t="inlineStr">
        <is>
          <t xml:space="preserve">Descricao_Risco</t>
        </is>
      </c>
      <c r="E1" s="1" t="inlineStr">
        <is>
          <t xml:space="preserve">Categoria</t>
        </is>
      </c>
      <c r="F1" s="1" t="inlineStr">
        <is>
          <t xml:space="preserve">Probabilidade_1a5</t>
        </is>
      </c>
      <c r="G1" s="1" t="inlineStr">
        <is>
          <t xml:space="preserve">Impacto_1a5</t>
        </is>
      </c>
      <c r="H1" s="1" t="inlineStr">
        <is>
          <t xml:space="preserve">Nivel_PxI</t>
        </is>
      </c>
      <c r="I1" s="1" t="inlineStr">
        <is>
          <t xml:space="preserve">Classificacao</t>
        </is>
      </c>
      <c r="J1" s="1" t="inlineStr">
        <is>
          <t xml:space="preserve">Resposta</t>
        </is>
      </c>
      <c r="K1" s="1" t="inlineStr">
        <is>
          <t xml:space="preserve">Controles_Tratamento</t>
        </is>
      </c>
      <c r="L1" s="1" t="inlineStr">
        <is>
          <t xml:space="preserve">Responsavel</t>
        </is>
      </c>
      <c r="M1" s="1" t="inlineStr">
        <is>
          <t xml:space="preserve">Status</t>
        </is>
      </c>
    </row>
    <row r="2">
      <c r="A2" s="3" t="inlineStr">
        <is>
          <t xml:space="preserve">RIS-001</t>
        </is>
      </c>
      <c r="B2" s="7" t="str">
        <f>IF(C2="","",IF(LEFT(C2,3)="MP-","Macroprocesso",IF(LEFT(C2,3)="SP-","Subprocesso",IF(LEFT(C2,2)="P-","Processo",IF(LEFT(C2,2)="A-","Atividade",IF(LEFT(C2,2)="T-","Tarefa",""))))))</f>
        <v>Processo</v>
      </c>
      <c r="C2" s="3" t="inlineStr">
        <is>
          <t xml:space="preserve">P-06.01</t>
        </is>
      </c>
      <c r="D2" s="3" t="inlineStr">
        <is>
          <t xml:space="preserve">Estimativas de preço defasadas gerando sobrepreço ou licitação deserta.</t>
        </is>
      </c>
      <c r="E2" s="3" t="inlineStr">
        <is>
          <t xml:space="preserve">Operacional</t>
        </is>
      </c>
      <c r="F2" s="3" t="inlineStr">
        <is>
          <t xml:space="preserve">4</t>
        </is>
      </c>
      <c r="G2" s="3" t="inlineStr">
        <is>
          <t xml:space="preserve">4</t>
        </is>
      </c>
      <c r="H2" s="7">
        <f>IF(OR(F2="",G2=""),"",F2*G2)</f>
        <v>16</v>
      </c>
      <c r="I2" s="7" t="str">
        <f>IF(H2="","",IF(H2&gt;=20,"Extremo",IF(H2&gt;=12,"Alto",IF(H2&gt;=5,"Moderado","Baixo"))))</f>
        <v>Alto</v>
      </c>
      <c r="J2" s="3" t="inlineStr">
        <is>
          <t xml:space="preserve">Mitigar</t>
        </is>
      </c>
      <c r="K2" s="3" t="inlineStr">
        <is>
          <t xml:space="preserve">Roteiro de pesquisa com múltiplas fontes (Painel de Preços, PNCP) e revisão pela UNP.</t>
        </is>
      </c>
      <c r="L2" s="3" t="inlineStr">
        <is>
          <t xml:space="preserve">Ricardo Nogueira</t>
        </is>
      </c>
      <c r="M2" s="3" t="inlineStr">
        <is>
          <t xml:space="preserve">Em tratamento</t>
        </is>
      </c>
    </row>
    <row r="3">
      <c r="A3" s="2" t="inlineStr">
        <is>
          <t xml:space="preserve">RIS-002</t>
        </is>
      </c>
      <c r="B3" s="7" t="str">
        <f>IF(C3="","",IF(LEFT(C3,3)="MP-","Macroprocesso",IF(LEFT(C3,3)="SP-","Subprocesso",IF(LEFT(C3,2)="P-","Processo",IF(LEFT(C3,2)="A-","Atividade",IF(LEFT(C3,2)="T-","Tarefa",""))))))</f>
        <v>Processo</v>
      </c>
      <c r="C3" s="2" t="inlineStr">
        <is>
          <t xml:space="preserve">P-06.01</t>
        </is>
      </c>
      <c r="D3" s="2" t="inlineStr">
        <is>
          <t xml:space="preserve">TR genérico ou restritivo provocando impugnações e atrasos no certame.</t>
        </is>
      </c>
      <c r="E3" s="2" t="inlineStr">
        <is>
          <t xml:space="preserve">Legal/Conformidade</t>
        </is>
      </c>
      <c r="F3" s="2" t="inlineStr">
        <is>
          <t xml:space="preserve">3</t>
        </is>
      </c>
      <c r="G3" s="2" t="inlineStr">
        <is>
          <t xml:space="preserve">4</t>
        </is>
      </c>
      <c r="H3" s="7">
        <f>IF(OR(F3="",G3=""),"",F3*G3)</f>
        <v>12</v>
      </c>
      <c r="I3" s="7" t="str">
        <f>IF(H3="","",IF(H3&gt;=20,"Extremo",IF(H3&gt;=12,"Alto",IF(H3&gt;=5,"Moderado","Baixo"))))</f>
        <v>Alto</v>
      </c>
      <c r="J3" s="2" t="inlineStr">
        <is>
          <t xml:space="preserve">Mitigar</t>
        </is>
      </c>
      <c r="K3" s="2" t="inlineStr">
        <is>
          <t xml:space="preserve">Checklist de revisão e validação obrigatória pela Assessoria Jurídica.</t>
        </is>
      </c>
      <c r="L3" s="2" t="inlineStr">
        <is>
          <t xml:space="preserve">Ricardo Nogueira</t>
        </is>
      </c>
      <c r="M3" s="2" t="inlineStr">
        <is>
          <t xml:space="preserve">Em tratamento</t>
        </is>
      </c>
    </row>
    <row r="4">
      <c r="A4" s="3" t="inlineStr">
        <is>
          <t xml:space="preserve">RIS-003</t>
        </is>
      </c>
      <c r="B4" s="7" t="str">
        <f>IF(C4="","",IF(LEFT(C4,3)="MP-","Macroprocesso",IF(LEFT(C4,3)="SP-","Subprocesso",IF(LEFT(C4,2)="P-","Processo",IF(LEFT(C4,2)="A-","Atividade",IF(LEFT(C4,2)="T-","Tarefa",""))))))</f>
        <v>Processo</v>
      </c>
      <c r="C4" s="3" t="inlineStr">
        <is>
          <t xml:space="preserve">P-06.03</t>
        </is>
      </c>
      <c r="D4" s="3" t="inlineStr">
        <is>
          <t xml:space="preserve">Fiscalização intempestiva de contratos, com medições e pagamentos atrasados.</t>
        </is>
      </c>
      <c r="E4" s="3" t="inlineStr">
        <is>
          <t xml:space="preserve">Operacional</t>
        </is>
      </c>
      <c r="F4" s="3" t="inlineStr">
        <is>
          <t xml:space="preserve">3</t>
        </is>
      </c>
      <c r="G4" s="3" t="inlineStr">
        <is>
          <t xml:space="preserve">5</t>
        </is>
      </c>
      <c r="H4" s="7">
        <f>IF(OR(F4="",G4=""),"",F4*G4)</f>
        <v>15</v>
      </c>
      <c r="I4" s="7" t="str">
        <f>IF(H4="","",IF(H4&gt;=20,"Extremo",IF(H4&gt;=12,"Alto",IF(H4&gt;=5,"Moderado","Baixo"))))</f>
        <v>Alto</v>
      </c>
      <c r="J4" s="3" t="inlineStr">
        <is>
          <t xml:space="preserve">Mitigar</t>
        </is>
      </c>
      <c r="K4" s="3" t="inlineStr">
        <is>
          <t xml:space="preserve">Designação formal de fiscais, agenda de medições e alertas no e-Codevasf.</t>
        </is>
      </c>
      <c r="L4" s="3" t="inlineStr">
        <is>
          <t xml:space="preserve">Ricardo Nogueira</t>
        </is>
      </c>
      <c r="M4" s="3" t="inlineStr">
        <is>
          <t xml:space="preserve">Aberto</t>
        </is>
      </c>
    </row>
    <row r="5">
      <c r="A5" s="2" t="inlineStr">
        <is>
          <t xml:space="preserve">RIS-004</t>
        </is>
      </c>
      <c r="B5" s="7" t="str">
        <f>IF(C5="","",IF(LEFT(C5,3)="MP-","Macroprocesso",IF(LEFT(C5,3)="SP-","Subprocesso",IF(LEFT(C5,2)="P-","Processo",IF(LEFT(C5,2)="A-","Atividade",IF(LEFT(C5,2)="T-","Tarefa",""))))))</f>
        <v>Subprocesso</v>
      </c>
      <c r="C5" s="2" t="inlineStr">
        <is>
          <t xml:space="preserve">SP-06.01.01</t>
        </is>
      </c>
      <c r="D5" s="2" t="inlineStr">
        <is>
          <t xml:space="preserve">Conhecimento concentrado em um único empregado (pessoa-chave) na elaboração de ETP.</t>
        </is>
      </c>
      <c r="E5" s="2" t="inlineStr">
        <is>
          <t xml:space="preserve">Pessoas</t>
        </is>
      </c>
      <c r="F5" s="2" t="inlineStr">
        <is>
          <t xml:space="preserve">4</t>
        </is>
      </c>
      <c r="G5" s="2" t="inlineStr">
        <is>
          <t xml:space="preserve">3</t>
        </is>
      </c>
      <c r="H5" s="7">
        <f>IF(OR(F5="",G5=""),"",F5*G5)</f>
        <v>12</v>
      </c>
      <c r="I5" s="7" t="str">
        <f>IF(H5="","",IF(H5&gt;=20,"Extremo",IF(H5&gt;=12,"Alto",IF(H5&gt;=5,"Moderado","Baixo"))))</f>
        <v>Alto</v>
      </c>
      <c r="J5" s="2" t="inlineStr">
        <is>
          <t xml:space="preserve">Mitigar</t>
        </is>
      </c>
      <c r="K5" s="2" t="inlineStr">
        <is>
          <t xml:space="preserve">Publicar o PRO, treinar substitutos e revezar a equipe de planejamento.</t>
        </is>
      </c>
      <c r="L5" s="2" t="inlineStr">
        <is>
          <t xml:space="preserve">Patrícia Ramos</t>
        </is>
      </c>
      <c r="M5" s="2" t="inlineStr">
        <is>
          <t xml:space="preserve">Em tratamento</t>
        </is>
      </c>
    </row>
    <row r="6">
      <c r="A6" s="3" t="inlineStr">
        <is>
          <t xml:space="preserve">RIS-005</t>
        </is>
      </c>
      <c r="B6" s="7" t="str">
        <f>IF(C6="","",IF(LEFT(C6,3)="MP-","Macroprocesso",IF(LEFT(C6,3)="SP-","Subprocesso",IF(LEFT(C6,2)="P-","Processo",IF(LEFT(C6,2)="A-","Atividade",IF(LEFT(C6,2)="T-","Tarefa",""))))))</f>
        <v>Processo</v>
      </c>
      <c r="C6" s="3" t="inlineStr">
        <is>
          <t xml:space="preserve">P-04.01</t>
        </is>
      </c>
      <c r="D6" s="3" t="inlineStr">
        <is>
          <t xml:space="preserve">Indisponibilidade hídrica comprometendo a programação de distribuição.</t>
        </is>
      </c>
      <c r="E6" s="3" t="inlineStr">
        <is>
          <t xml:space="preserve">Operacional</t>
        </is>
      </c>
      <c r="F6" s="3" t="inlineStr">
        <is>
          <t xml:space="preserve">2</t>
        </is>
      </c>
      <c r="G6" s="3" t="inlineStr">
        <is>
          <t xml:space="preserve">5</t>
        </is>
      </c>
      <c r="H6" s="7">
        <f>IF(OR(F6="",G6=""),"",F6*G6)</f>
        <v>10</v>
      </c>
      <c r="I6" s="7" t="str">
        <f>IF(H6="","",IF(H6&gt;=20,"Extremo",IF(H6&gt;=12,"Alto",IF(H6&gt;=5,"Moderado","Baixo"))))</f>
        <v>Moderado</v>
      </c>
      <c r="J6" s="3" t="inlineStr">
        <is>
          <t xml:space="preserve">Mitigar</t>
        </is>
      </c>
      <c r="K6" s="3" t="inlineStr">
        <is>
          <t xml:space="preserve">Plano de contingência hídrica e priorização de culturas conforme regras do perímetro.</t>
        </is>
      </c>
      <c r="L6" s="3" t="inlineStr">
        <is>
          <t xml:space="preserve">Marcos Vinícius</t>
        </is>
      </c>
      <c r="M6" s="3" t="inlineStr">
        <is>
          <t xml:space="preserve">Aberto</t>
        </is>
      </c>
    </row>
    <row r="7">
      <c r="A7" s="2" t="inlineStr">
        <is>
          <t xml:space="preserve">RIS-006</t>
        </is>
      </c>
      <c r="B7" s="7" t="str">
        <f>IF(C7="","",IF(LEFT(C7,3)="MP-","Macroprocesso",IF(LEFT(C7,3)="SP-","Subprocesso",IF(LEFT(C7,2)="P-","Processo",IF(LEFT(C7,2)="A-","Atividade",IF(LEFT(C7,2)="T-","Tarefa",""))))))</f>
        <v>Processo</v>
      </c>
      <c r="C7" s="2" t="inlineStr">
        <is>
          <t xml:space="preserve">P-06.02</t>
        </is>
      </c>
      <c r="D7" s="2" t="inlineStr">
        <is>
          <t xml:space="preserve">Instabilidade do Compras.gov.br durante a sessão pública.</t>
        </is>
      </c>
      <c r="E7" s="2" t="inlineStr">
        <is>
          <t xml:space="preserve">Tecnologia da Informação</t>
        </is>
      </c>
      <c r="F7" s="2" t="inlineStr">
        <is>
          <t xml:space="preserve">2</t>
        </is>
      </c>
      <c r="G7" s="2" t="inlineStr">
        <is>
          <t xml:space="preserve">4</t>
        </is>
      </c>
      <c r="H7" s="7">
        <f>IF(OR(F7="",G7=""),"",F7*G7)</f>
        <v>8</v>
      </c>
      <c r="I7" s="7" t="str">
        <f>IF(H7="","",IF(H7&gt;=20,"Extremo",IF(H7&gt;=12,"Alto",IF(H7&gt;=5,"Moderado","Baixo"))))</f>
        <v>Moderado</v>
      </c>
      <c r="J7" s="2" t="inlineStr">
        <is>
          <t xml:space="preserve">Mitigar</t>
        </is>
      </c>
      <c r="K7" s="2" t="inlineStr">
        <is>
          <t xml:space="preserve">Protocolo de suspensão formal da sessão e comunicação imediata aos licitantes.</t>
        </is>
      </c>
      <c r="L7" s="2" t="inlineStr">
        <is>
          <t xml:space="preserve">Daniela Ribeiro</t>
        </is>
      </c>
      <c r="M7" s="2" t="inlineStr">
        <is>
          <t xml:space="preserve">Aberto</t>
        </is>
      </c>
    </row>
    <row r="8">
      <c r="A8" s="3" t="inlineStr">
        <is>
          <t xml:space="preserve">RIS-007</t>
        </is>
      </c>
      <c r="B8" s="7" t="str">
        <f>IF(C8="","",IF(LEFT(C8,3)="MP-","Macroprocesso",IF(LEFT(C8,3)="SP-","Subprocesso",IF(LEFT(C8,2)="P-","Processo",IF(LEFT(C8,2)="A-","Atividade",IF(LEFT(C8,2)="T-","Tarefa",""))))))</f>
        <v>Macroprocesso</v>
      </c>
      <c r="C8" s="3" t="inlineStr">
        <is>
          <t xml:space="preserve">MP-06</t>
        </is>
      </c>
      <c r="D8" s="3" t="inlineStr">
        <is>
          <t xml:space="preserve">Alterações normativas frequentes exigindo atualização contínua de procedimentos.</t>
        </is>
      </c>
      <c r="E8" s="3" t="inlineStr">
        <is>
          <t xml:space="preserve">Legal/Conformidade</t>
        </is>
      </c>
      <c r="F8" s="3" t="inlineStr">
        <is>
          <t xml:space="preserve">4</t>
        </is>
      </c>
      <c r="G8" s="3" t="inlineStr">
        <is>
          <t xml:space="preserve">2</t>
        </is>
      </c>
      <c r="H8" s="7">
        <f>IF(OR(F8="",G8=""),"",F8*G8)</f>
        <v>8</v>
      </c>
      <c r="I8" s="7" t="str">
        <f>IF(H8="","",IF(H8&gt;=20,"Extremo",IF(H8&gt;=12,"Alto",IF(H8&gt;=5,"Moderado","Baixo"))))</f>
        <v>Moderado</v>
      </c>
      <c r="J8" s="3" t="inlineStr">
        <is>
          <t xml:space="preserve">Mitigar</t>
        </is>
      </c>
      <c r="K8" s="3" t="inlineStr">
        <is>
          <t xml:space="preserve">Monitoramento normativo mensal (resenha) e revisão programada dos PROs.</t>
        </is>
      </c>
      <c r="L8" s="3" t="inlineStr">
        <is>
          <t xml:space="preserve">Bruna Souza</t>
        </is>
      </c>
      <c r="M8" s="3" t="inlineStr">
        <is>
          <t xml:space="preserve">Em tratamento</t>
        </is>
      </c>
    </row>
    <row r="9">
      <c r="A9" s="2" t="inlineStr">
        <is>
          <t xml:space="preserve">RIS-008</t>
        </is>
      </c>
      <c r="B9" s="7" t="str">
        <f>IF(C9="","",IF(LEFT(C9,3)="MP-","Macroprocesso",IF(LEFT(C9,3)="SP-","Subprocesso",IF(LEFT(C9,2)="P-","Processo",IF(LEFT(C9,2)="A-","Atividade",IF(LEFT(C9,2)="T-","Tarefa",""))))))</f>
        <v>Atividade</v>
      </c>
      <c r="C9" s="2" t="inlineStr">
        <is>
          <t xml:space="preserve">A-06.01.03.01</t>
        </is>
      </c>
      <c r="D9" s="2" t="inlineStr">
        <is>
          <t xml:space="preserve">Uso de fontes de preço não admitidas pela IN SEGES nº 65/2021.</t>
        </is>
      </c>
      <c r="E9" s="2" t="inlineStr">
        <is>
          <t xml:space="preserve">Legal/Conformidade</t>
        </is>
      </c>
      <c r="F9" s="2" t="inlineStr">
        <is>
          <t xml:space="preserve">2</t>
        </is>
      </c>
      <c r="G9" s="2" t="inlineStr">
        <is>
          <t xml:space="preserve">3</t>
        </is>
      </c>
      <c r="H9" s="7">
        <f>IF(OR(F9="",G9=""),"",F9*G9)</f>
        <v>6</v>
      </c>
      <c r="I9" s="7" t="str">
        <f>IF(H9="","",IF(H9&gt;=20,"Extremo",IF(H9&gt;=12,"Alto",IF(H9&gt;=5,"Moderado","Baixo"))))</f>
        <v>Moderado</v>
      </c>
      <c r="J9" s="2" t="inlineStr">
        <is>
          <t xml:space="preserve">Mitigar</t>
        </is>
      </c>
      <c r="K9" s="2" t="inlineStr">
        <is>
          <t xml:space="preserve">Validação da pesquisa pela UNP antes da aprovação do valor estimado.</t>
        </is>
      </c>
      <c r="L9" s="2" t="inlineStr">
        <is>
          <t xml:space="preserve">Carlos Eduardo Lima</t>
        </is>
      </c>
      <c r="M9" s="2" t="inlineStr">
        <is>
          <t xml:space="preserve">Encerrado</t>
        </is>
      </c>
    </row>
    <row r="10">
      <c r="A10" s="3" t="inlineStr">
        <is>
          <t xml:space="preserve">RIS-009</t>
        </is>
      </c>
      <c r="B10" s="7" t="str">
        <f>IF(C10="","",IF(LEFT(C10,3)="MP-","Macroprocesso",IF(LEFT(C10,3)="SP-","Subprocesso",IF(LEFT(C10,2)="P-","Processo",IF(LEFT(C10,2)="A-","Atividade",IF(LEFT(C10,2)="T-","Tarefa",""))))))</f>
        <v>Processo</v>
      </c>
      <c r="C10" s="3" t="inlineStr">
        <is>
          <t xml:space="preserve">P-06.01</t>
        </is>
      </c>
      <c r="D10" s="3" t="inlineStr">
        <is>
          <t xml:space="preserve">Baixo engajamento das áreas demandantes no preenchimento do DFD.</t>
        </is>
      </c>
      <c r="E10" s="3" t="inlineStr">
        <is>
          <t xml:space="preserve">Pessoas</t>
        </is>
      </c>
      <c r="F10" s="3" t="inlineStr">
        <is>
          <t xml:space="preserve">3</t>
        </is>
      </c>
      <c r="G10" s="3" t="inlineStr">
        <is>
          <t xml:space="preserve">3</t>
        </is>
      </c>
      <c r="H10" s="7">
        <f>IF(OR(F10="",G10=""),"",F10*G10)</f>
        <v>9</v>
      </c>
      <c r="I10" s="7" t="str">
        <f>IF(H10="","",IF(H10&gt;=20,"Extremo",IF(H10&gt;=12,"Alto",IF(H10&gt;=5,"Moderado","Baixo"))))</f>
        <v>Moderado</v>
      </c>
      <c r="J10" s="3" t="inlineStr">
        <is>
          <t xml:space="preserve">Mitigar</t>
        </is>
      </c>
      <c r="K10" s="3" t="inlineStr">
        <is>
          <t xml:space="preserve">Oficinas de capacitação e modelo simplificado de DFD no e-Codevasf.</t>
        </is>
      </c>
      <c r="L10" s="3" t="inlineStr">
        <is>
          <t xml:space="preserve">Bruna Souza</t>
        </is>
      </c>
      <c r="M10" s="3" t="inlineStr">
        <is>
          <t xml:space="preserve">Encerrado</t>
        </is>
      </c>
    </row>
  </sheetData>
  <autoFilter ref="A1:M1"/>
  <dataValidations count="4"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B2:B300">
      <formula1>Listas!$G$2:$G$6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E2:E300">
      <formula1>Listas!$K$2:$K$7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J2:J300">
      <formula1>Listas!$L$2:$L$5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M2:M300">
      <formula1>Listas!$M$2:$M$4</formula1>
    </dataValidation>
  </dataValidation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68821"/>
  </sheetPr>
  <sheetViews>
    <sheetView zoomScale="90" workbookViewId="0">
      <pane xSplit="3" ySplit="1" topLeftCell="D2" activePane="bottomRight" state="frozen"/>
    </sheetView>
  </sheetViews>
  <sheetFormatPr defaultRowHeight="15"/>
  <cols>
    <col min="1" max="1" width="10" customWidth="1"/>
    <col min="2" max="2" width="15" customWidth="1"/>
    <col min="3" max="3" width="14" customWidth="1"/>
    <col min="4" max="4" width="40" customWidth="1"/>
    <col min="5" max="5" width="46" customWidth="1"/>
    <col min="6" max="6" width="9" customWidth="1"/>
    <col min="7" max="7" width="14" customWidth="1"/>
    <col min="8" max="8" width="8" customWidth="1"/>
    <col min="9" max="9" width="12" customWidth="1"/>
    <col min="10" max="10" width="15" customWidth="1"/>
    <col min="11" max="11" width="13" customWidth="1"/>
    <col min="12" max="12" width="24" customWidth="1"/>
    <col min="13" max="13" width="13" customWidth="1"/>
  </cols>
  <sheetData>
    <row r="1" ht="30" customHeight="1">
      <c r="A1" s="1" t="inlineStr">
        <is>
          <t xml:space="preserve">ID</t>
        </is>
      </c>
      <c r="B1" s="1" t="inlineStr">
        <is>
          <t xml:space="preserve">Vinculo_Nivel</t>
        </is>
      </c>
      <c r="C1" s="1" t="inlineStr">
        <is>
          <t xml:space="preserve">Vinculo_Codigo</t>
        </is>
      </c>
      <c r="D1" s="1" t="inlineStr">
        <is>
          <t xml:space="preserve">Nome</t>
        </is>
      </c>
      <c r="E1" s="1" t="inlineStr">
        <is>
          <t xml:space="preserve">Descricao_Formula</t>
        </is>
      </c>
      <c r="F1" s="1" t="inlineStr">
        <is>
          <t xml:space="preserve">Unidade</t>
        </is>
      </c>
      <c r="G1" s="1" t="inlineStr">
        <is>
          <t xml:space="preserve">Polaridade</t>
        </is>
      </c>
      <c r="H1" s="1" t="inlineStr">
        <is>
          <t xml:space="preserve">Meta</t>
        </is>
      </c>
      <c r="I1" s="1" t="inlineStr">
        <is>
          <t xml:space="preserve">Resultado_Atual</t>
        </is>
      </c>
      <c r="J1" s="1" t="inlineStr">
        <is>
          <t xml:space="preserve">Situacao</t>
        </is>
      </c>
      <c r="K1" s="1" t="inlineStr">
        <is>
          <t xml:space="preserve">Periodicidade</t>
        </is>
      </c>
      <c r="L1" s="1" t="inlineStr">
        <is>
          <t xml:space="preserve">Fonte</t>
        </is>
      </c>
      <c r="M1" s="1" t="inlineStr">
        <is>
          <t xml:space="preserve">Ultima_Medicao</t>
        </is>
      </c>
    </row>
    <row r="2">
      <c r="A2" s="3" t="inlineStr">
        <is>
          <t xml:space="preserve">IND-001</t>
        </is>
      </c>
      <c r="B2" s="7" t="str">
        <f>IF(C2="","",IF(LEFT(C2,3)="MP-","Macroprocesso",IF(LEFT(C2,3)="SP-","Subprocesso",IF(LEFT(C2,2)="P-","Processo",IF(LEFT(C2,2)="A-","Atividade",IF(LEFT(C2,2)="T-","Tarefa",""))))))</f>
        <v>Macroprocesso</v>
      </c>
      <c r="C2" s="3" t="inlineStr">
        <is>
          <t xml:space="preserve">MP-06</t>
        </is>
      </c>
      <c r="D2" s="3" t="inlineStr">
        <is>
          <t xml:space="preserve">Tempo médio do ciclo de contratação</t>
        </is>
      </c>
      <c r="E2" s="3" t="inlineStr">
        <is>
          <t xml:space="preserve">Média de dias entre o DFD e a homologação do certame.</t>
        </is>
      </c>
      <c r="F2" s="3" t="inlineStr">
        <is>
          <t xml:space="preserve">dias</t>
        </is>
      </c>
      <c r="G2" s="3" t="inlineStr">
        <is>
          <t xml:space="preserve">Menor melhor</t>
        </is>
      </c>
      <c r="H2" s="3" t="inlineStr">
        <is>
          <t xml:space="preserve">120</t>
        </is>
      </c>
      <c r="I2" s="3" t="inlineStr">
        <is>
          <t xml:space="preserve">148</t>
        </is>
      </c>
      <c r="J2" s="7" t="str">
        <f>IF(I2="","Sem medição",IF(H2="","Sem meta",IF(LEFT(G2,5)="Maior",IF(I2&gt;=H2,"Meta atingida","Abaixo da meta"),IF(I2&lt;=H2,"Meta atingida","Acima da meta"))))</f>
        <v>Acima da meta</v>
      </c>
      <c r="K2" s="3" t="inlineStr">
        <is>
          <t xml:space="preserve">Trimestral</t>
        </is>
      </c>
      <c r="L2" s="3" t="inlineStr">
        <is>
          <t xml:space="preserve">Compras.gov.br</t>
        </is>
      </c>
      <c r="M2" s="3" t="inlineStr">
        <is>
          <t xml:space="preserve">2026-06-30</t>
        </is>
      </c>
    </row>
    <row r="3">
      <c r="A3" s="2" t="inlineStr">
        <is>
          <t xml:space="preserve">IND-002</t>
        </is>
      </c>
      <c r="B3" s="7" t="str">
        <f>IF(C3="","",IF(LEFT(C3,3)="MP-","Macroprocesso",IF(LEFT(C3,3)="SP-","Subprocesso",IF(LEFT(C3,2)="P-","Processo",IF(LEFT(C3,2)="A-","Atividade",IF(LEFT(C3,2)="T-","Tarefa",""))))))</f>
        <v>Processo</v>
      </c>
      <c r="C3" s="2" t="inlineStr">
        <is>
          <t xml:space="preserve">P-06.01</t>
        </is>
      </c>
      <c r="D3" s="2" t="inlineStr">
        <is>
          <t xml:space="preserve">Prazo médio de elaboração do ETP</t>
        </is>
      </c>
      <c r="E3" s="2" t="inlineStr">
        <is>
          <t xml:space="preserve">Média de dias úteis entre o DFD e a aprovação do ETP.</t>
        </is>
      </c>
      <c r="F3" s="2" t="inlineStr">
        <is>
          <t xml:space="preserve">dias</t>
        </is>
      </c>
      <c r="G3" s="2" t="inlineStr">
        <is>
          <t xml:space="preserve">Menor melhor</t>
        </is>
      </c>
      <c r="H3" s="2" t="inlineStr">
        <is>
          <t xml:space="preserve">30</t>
        </is>
      </c>
      <c r="I3" s="2" t="inlineStr">
        <is>
          <t xml:space="preserve">26</t>
        </is>
      </c>
      <c r="J3" s="7" t="str">
        <f>IF(I3="","Sem medição",IF(H3="","Sem meta",IF(LEFT(G3,5)="Maior",IF(I3&gt;=H3,"Meta atingida","Abaixo da meta"),IF(I3&lt;=H3,"Meta atingida","Acima da meta"))))</f>
        <v>Meta atingida</v>
      </c>
      <c r="K3" s="2" t="inlineStr">
        <is>
          <t xml:space="preserve">Mensal</t>
        </is>
      </c>
      <c r="L3" s="2" t="inlineStr">
        <is>
          <t xml:space="preserve">e-Codevasf</t>
        </is>
      </c>
      <c r="M3" s="2" t="inlineStr">
        <is>
          <t xml:space="preserve">2026-06-30</t>
        </is>
      </c>
    </row>
    <row r="4">
      <c r="A4" s="3" t="inlineStr">
        <is>
          <t xml:space="preserve">IND-003</t>
        </is>
      </c>
      <c r="B4" s="7" t="str">
        <f>IF(C4="","",IF(LEFT(C4,3)="MP-","Macroprocesso",IF(LEFT(C4,3)="SP-","Subprocesso",IF(LEFT(C4,2)="P-","Processo",IF(LEFT(C4,2)="A-","Atividade",IF(LEFT(C4,2)="T-","Tarefa",""))))))</f>
        <v>Processo</v>
      </c>
      <c r="C4" s="3" t="inlineStr">
        <is>
          <t xml:space="preserve">P-06.02</t>
        </is>
      </c>
      <c r="D4" s="3" t="inlineStr">
        <is>
          <t xml:space="preserve">Impugnações por edital</t>
        </is>
      </c>
      <c r="E4" s="3" t="inlineStr">
        <is>
          <t xml:space="preserve">Nº médio de impugnações recebidas por edital publicado.</t>
        </is>
      </c>
      <c r="F4" s="3" t="inlineStr">
        <is>
          <t xml:space="preserve">nº</t>
        </is>
      </c>
      <c r="G4" s="3" t="inlineStr">
        <is>
          <t xml:space="preserve">Menor melhor</t>
        </is>
      </c>
      <c r="H4" s="3" t="inlineStr">
        <is>
          <t xml:space="preserve">1</t>
        </is>
      </c>
      <c r="I4" s="3" t="inlineStr">
        <is>
          <t xml:space="preserve">0.8</t>
        </is>
      </c>
      <c r="J4" s="7" t="str">
        <f>IF(I4="","Sem medição",IF(H4="","Sem meta",IF(LEFT(G4,5)="Maior",IF(I4&gt;=H4,"Meta atingida","Abaixo da meta"),IF(I4&lt;=H4,"Meta atingida","Acima da meta"))))</f>
        <v>Meta atingida</v>
      </c>
      <c r="K4" s="3" t="inlineStr">
        <is>
          <t xml:space="preserve">Trimestral</t>
        </is>
      </c>
      <c r="L4" s="3" t="inlineStr">
        <is>
          <t xml:space="preserve">Compras.gov.br</t>
        </is>
      </c>
      <c r="M4" s="3" t="inlineStr">
        <is>
          <t xml:space="preserve">2026-06-30</t>
        </is>
      </c>
    </row>
    <row r="5">
      <c r="A5" s="2" t="inlineStr">
        <is>
          <t xml:space="preserve">IND-004</t>
        </is>
      </c>
      <c r="B5" s="7" t="str">
        <f>IF(C5="","",IF(LEFT(C5,3)="MP-","Macroprocesso",IF(LEFT(C5,3)="SP-","Subprocesso",IF(LEFT(C5,2)="P-","Processo",IF(LEFT(C5,2)="A-","Atividade",IF(LEFT(C5,2)="T-","Tarefa",""))))))</f>
        <v>Processo</v>
      </c>
      <c r="C5" s="2" t="inlineStr">
        <is>
          <t xml:space="preserve">P-06.03</t>
        </is>
      </c>
      <c r="D5" s="2" t="inlineStr">
        <is>
          <t xml:space="preserve">Contratos com fiscal designado</t>
        </is>
      </c>
      <c r="E5" s="2" t="inlineStr">
        <is>
          <t xml:space="preserve">% de contratos vigentes com fiscal formalmente designado.</t>
        </is>
      </c>
      <c r="F5" s="2" t="inlineStr">
        <is>
          <t xml:space="preserve">%</t>
        </is>
      </c>
      <c r="G5" s="2" t="inlineStr">
        <is>
          <t xml:space="preserve">Maior melhor</t>
        </is>
      </c>
      <c r="H5" s="2" t="inlineStr">
        <is>
          <t xml:space="preserve">100</t>
        </is>
      </c>
      <c r="I5" s="2" t="inlineStr">
        <is>
          <t xml:space="preserve">92</t>
        </is>
      </c>
      <c r="J5" s="7" t="str">
        <f>IF(I5="","Sem medição",IF(H5="","Sem meta",IF(LEFT(G5,5)="Maior",IF(I5&gt;=H5,"Meta atingida","Abaixo da meta"),IF(I5&lt;=H5,"Meta atingida","Acima da meta"))))</f>
        <v>Abaixo da meta</v>
      </c>
      <c r="K5" s="2" t="inlineStr">
        <is>
          <t xml:space="preserve">Mensal</t>
        </is>
      </c>
      <c r="L5" s="2" t="inlineStr">
        <is>
          <t xml:space="preserve">e-Codevasf</t>
        </is>
      </c>
      <c r="M5" s="2" t="inlineStr">
        <is>
          <t xml:space="preserve">2026-06-30</t>
        </is>
      </c>
    </row>
    <row r="6">
      <c r="A6" s="3" t="inlineStr">
        <is>
          <t xml:space="preserve">IND-005</t>
        </is>
      </c>
      <c r="B6" s="7" t="str">
        <f>IF(C6="","",IF(LEFT(C6,3)="MP-","Macroprocesso",IF(LEFT(C6,3)="SP-","Subprocesso",IF(LEFT(C6,2)="P-","Processo",IF(LEFT(C6,2)="A-","Atividade",IF(LEFT(C6,2)="T-","Tarefa",""))))))</f>
        <v>Processo</v>
      </c>
      <c r="C6" s="3" t="inlineStr">
        <is>
          <t xml:space="preserve">P-04.01</t>
        </is>
      </c>
      <c r="D6" s="3" t="inlineStr">
        <is>
          <t xml:space="preserve">Eficiência no uso da água</t>
        </is>
      </c>
      <c r="E6" s="3" t="inlineStr">
        <is>
          <t xml:space="preserve">Relação % entre volume faturado e volume captado no perímetro.</t>
        </is>
      </c>
      <c r="F6" s="3" t="inlineStr">
        <is>
          <t xml:space="preserve">%</t>
        </is>
      </c>
      <c r="G6" s="3" t="inlineStr">
        <is>
          <t xml:space="preserve">Maior melhor</t>
        </is>
      </c>
      <c r="H6" s="3" t="inlineStr">
        <is>
          <t xml:space="preserve">75</t>
        </is>
      </c>
      <c r="I6" s="3" t="inlineStr">
        <is>
          <t xml:space="preserve">71</t>
        </is>
      </c>
      <c r="J6" s="7" t="str">
        <f>IF(I6="","Sem medição",IF(H6="","Sem meta",IF(LEFT(G6,5)="Maior",IF(I6&gt;=H6,"Meta atingida","Abaixo da meta"),IF(I6&lt;=H6,"Meta atingida","Acima da meta"))))</f>
        <v>Abaixo da meta</v>
      </c>
      <c r="K6" s="3" t="inlineStr">
        <is>
          <t xml:space="preserve">Mensal</t>
        </is>
      </c>
      <c r="L6" s="3" t="inlineStr">
        <is>
          <t xml:space="preserve">SIG-Irrigação (fictício)</t>
        </is>
      </c>
      <c r="M6" s="3" t="inlineStr">
        <is>
          <t xml:space="preserve">2026-06-30</t>
        </is>
      </c>
    </row>
    <row r="7">
      <c r="A7" s="2" t="inlineStr">
        <is>
          <t xml:space="preserve">IND-006</t>
        </is>
      </c>
      <c r="B7" s="7" t="str">
        <f>IF(C7="","",IF(LEFT(C7,3)="MP-","Macroprocesso",IF(LEFT(C7,3)="SP-","Subprocesso",IF(LEFT(C7,2)="P-","Processo",IF(LEFT(C7,2)="A-","Atividade",IF(LEFT(C7,2)="T-","Tarefa",""))))))</f>
        <v>Macroprocesso</v>
      </c>
      <c r="C7" s="2" t="inlineStr">
        <is>
          <t xml:space="preserve">MP-06</t>
        </is>
      </c>
      <c r="D7" s="2" t="inlineStr">
        <is>
          <t xml:space="preserve">Processos com mapeamento concluído</t>
        </is>
      </c>
      <c r="E7" s="2" t="inlineStr">
        <is>
          <t xml:space="preserve">% de processos do macroprocesso com marco M9 concluído.</t>
        </is>
      </c>
      <c r="F7" s="2" t="inlineStr">
        <is>
          <t xml:space="preserve">%</t>
        </is>
      </c>
      <c r="G7" s="2" t="inlineStr">
        <is>
          <t xml:space="preserve">Maior melhor</t>
        </is>
      </c>
      <c r="H7" s="2" t="inlineStr">
        <is>
          <t xml:space="preserve">100</t>
        </is>
      </c>
      <c r="I7" s="2" t="inlineStr">
        <is>
          <t xml:space="preserve">33</t>
        </is>
      </c>
      <c r="J7" s="7" t="str">
        <f>IF(I7="","Sem medição",IF(H7="","Sem meta",IF(LEFT(G7,5)="Maior",IF(I7&gt;=H7,"Meta atingida","Abaixo da meta"),IF(I7&lt;=H7,"Meta atingida","Acima da meta"))))</f>
        <v>Abaixo da meta</v>
      </c>
      <c r="K7" s="2" t="inlineStr">
        <is>
          <t xml:space="preserve">Trimestral</t>
        </is>
      </c>
      <c r="L7" s="2" t="inlineStr">
        <is>
          <t xml:space="preserve">Painel de Processos</t>
        </is>
      </c>
      <c r="M7" s="2" t="inlineStr">
        <is>
          <t xml:space="preserve">2026-06-30</t>
        </is>
      </c>
    </row>
    <row r="8">
      <c r="A8" s="3" t="inlineStr">
        <is>
          <t xml:space="preserve">IND-007</t>
        </is>
      </c>
      <c r="B8" s="7" t="str">
        <f>IF(C8="","",IF(LEFT(C8,3)="MP-","Macroprocesso",IF(LEFT(C8,3)="SP-","Subprocesso",IF(LEFT(C8,2)="P-","Processo",IF(LEFT(C8,2)="A-","Atividade",IF(LEFT(C8,2)="T-","Tarefa",""))))))</f>
        <v>Processo</v>
      </c>
      <c r="C8" s="3" t="inlineStr">
        <is>
          <t xml:space="preserve">P-01.01</t>
        </is>
      </c>
      <c r="D8" s="3" t="inlineStr">
        <is>
          <t xml:space="preserve">Ações estratégicas monitoradas no prazo</t>
        </is>
      </c>
      <c r="E8" s="3" t="inlineStr">
        <is>
          <t xml:space="preserve">% de ações do plano com status atualizado no ciclo.</t>
        </is>
      </c>
      <c r="F8" s="3" t="inlineStr">
        <is>
          <t xml:space="preserve">%</t>
        </is>
      </c>
      <c r="G8" s="3" t="inlineStr">
        <is>
          <t xml:space="preserve">Maior melhor</t>
        </is>
      </c>
      <c r="H8" s="3" t="inlineStr">
        <is>
          <t xml:space="preserve">95</t>
        </is>
      </c>
      <c r="I8" s="3" t="inlineStr">
        <is>
          <t xml:space="preserve">97</t>
        </is>
      </c>
      <c r="J8" s="7" t="str">
        <f>IF(I8="","Sem medição",IF(H8="","Sem meta",IF(LEFT(G8,5)="Maior",IF(I8&gt;=H8,"Meta atingida","Abaixo da meta"),IF(I8&lt;=H8,"Meta atingida","Acima da meta"))))</f>
        <v>Meta atingida</v>
      </c>
      <c r="K8" s="3" t="inlineStr">
        <is>
          <t xml:space="preserve">Trimestral</t>
        </is>
      </c>
      <c r="L8" s="3" t="inlineStr">
        <is>
          <t xml:space="preserve">Painéis de BI</t>
        </is>
      </c>
      <c r="M8" s="3" t="inlineStr">
        <is>
          <t xml:space="preserve">2026-06-30</t>
        </is>
      </c>
    </row>
    <row r="9">
      <c r="A9" s="2" t="inlineStr">
        <is>
          <t xml:space="preserve">IND-008</t>
        </is>
      </c>
      <c r="B9" s="7" t="str">
        <f>IF(C9="","",IF(LEFT(C9,3)="MP-","Macroprocesso",IF(LEFT(C9,3)="SP-","Subprocesso",IF(LEFT(C9,2)="P-","Processo",IF(LEFT(C9,2)="A-","Atividade",IF(LEFT(C9,2)="T-","Tarefa",""))))))</f>
        <v>Subprocesso</v>
      </c>
      <c r="C9" s="2" t="inlineStr">
        <is>
          <t xml:space="preserve">SP-06.01.03</t>
        </is>
      </c>
      <c r="D9" s="2" t="inlineStr">
        <is>
          <t xml:space="preserve">Pesquisas de preço com 3+ fontes</t>
        </is>
      </c>
      <c r="E9" s="2" t="inlineStr">
        <is>
          <t xml:space="preserve">% de pesquisas de preços com três ou mais fontes admitidas.</t>
        </is>
      </c>
      <c r="F9" s="2" t="inlineStr">
        <is>
          <t xml:space="preserve">%</t>
        </is>
      </c>
      <c r="G9" s="2" t="inlineStr">
        <is>
          <t xml:space="preserve">Maior melhor</t>
        </is>
      </c>
      <c r="H9" s="2" t="inlineStr">
        <is>
          <t xml:space="preserve">100</t>
        </is>
      </c>
      <c r="I9" s="2" t="inlineStr">
        <is>
          <t xml:space="preserve">88</t>
        </is>
      </c>
      <c r="J9" s="7" t="str">
        <f>IF(I9="","Sem medição",IF(H9="","Sem meta",IF(LEFT(G9,5)="Maior",IF(I9&gt;=H9,"Meta atingida","Abaixo da meta"),IF(I9&lt;=H9,"Meta atingida","Acima da meta"))))</f>
        <v>Abaixo da meta</v>
      </c>
      <c r="K9" s="2" t="inlineStr">
        <is>
          <t xml:space="preserve">Mensal</t>
        </is>
      </c>
      <c r="L9" s="2" t="inlineStr">
        <is>
          <t xml:space="preserve">e-Codevasf</t>
        </is>
      </c>
      <c r="M9" s="2" t="inlineStr">
        <is>
          <t xml:space="preserve">2026-06-30</t>
        </is>
      </c>
    </row>
    <row r="10">
      <c r="A10" s="3" t="inlineStr">
        <is>
          <t xml:space="preserve">IND-009</t>
        </is>
      </c>
      <c r="B10" s="7" t="str">
        <f>IF(C10="","",IF(LEFT(C10,3)="MP-","Macroprocesso",IF(LEFT(C10,3)="SP-","Subprocesso",IF(LEFT(C10,2)="P-","Processo",IF(LEFT(C10,2)="A-","Atividade",IF(LEFT(C10,2)="T-","Tarefa",""))))))</f>
        <v>Macroprocesso</v>
      </c>
      <c r="C10" s="3" t="inlineStr">
        <is>
          <t xml:space="preserve">MP-05</t>
        </is>
      </c>
      <c r="D10" s="3" t="inlineStr">
        <is>
          <t xml:space="preserve">Nascentes recuperadas no ano</t>
        </is>
      </c>
      <c r="E10" s="3" t="inlineStr">
        <is>
          <t xml:space="preserve">Nº de nascentes com recuperação concluída no exercício.</t>
        </is>
      </c>
      <c r="F10" s="3" t="inlineStr">
        <is>
          <t xml:space="preserve">nº</t>
        </is>
      </c>
      <c r="G10" s="3" t="inlineStr">
        <is>
          <t xml:space="preserve">Maior melhor</t>
        </is>
      </c>
      <c r="H10" s="3" t="inlineStr">
        <is>
          <t xml:space="preserve">120</t>
        </is>
      </c>
      <c r="J10" s="7" t="str">
        <f>IF(I10="","Sem medição",IF(H10="","Sem meta",IF(LEFT(G10,5)="Maior",IF(I10&gt;=H10,"Meta atingida","Abaixo da meta"),IF(I10&lt;=H10,"Meta atingida","Acima da meta"))))</f>
        <v>Sem medição</v>
      </c>
      <c r="K10" s="3" t="inlineStr">
        <is>
          <t xml:space="preserve">Anual</t>
        </is>
      </c>
      <c r="L10" s="3" t="inlineStr">
        <is>
          <t xml:space="preserve">GeoPortal (fictício)</t>
        </is>
      </c>
    </row>
  </sheetData>
  <autoFilter ref="A1:M1"/>
  <dataValidations count="3"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B2:B300">
      <formula1>Listas!$G$2:$G$6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G2:G300">
      <formula1>Listas!$N$2:$N$3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K2:K300">
      <formula1>Listas!$O$2:$O$6</formula1>
    </dataValidation>
  </dataValidation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55BCB"/>
  </sheetPr>
  <sheetViews>
    <sheetView zoomScale="90" workbookViewId="0">
      <pane xSplit="3" ySplit="1" topLeftCell="D2" activePane="bottomRight" state="frozen"/>
    </sheetView>
  </sheetViews>
  <sheetFormatPr defaultRowHeight="15"/>
  <cols>
    <col min="1" max="1" width="7" customWidth="1"/>
    <col min="2" max="2" width="13" customWidth="1"/>
    <col min="3" max="3" width="30" customWidth="1"/>
    <col min="4" max="4" width="12" customWidth="1"/>
    <col min="5" max="5" width="44" customWidth="1"/>
    <col min="6" max="6" width="60" customWidth="1"/>
    <col min="7" max="7" width="30" customWidth="1"/>
    <col min="8" max="8" width="40" customWidth="1"/>
    <col min="9" max="9" width="40" customWidth="1"/>
  </cols>
  <sheetData>
    <row r="1" ht="30" customHeight="1">
      <c r="A1" s="1" t="inlineStr">
        <is>
          <t xml:space="preserve">Ordem</t>
        </is>
      </c>
      <c r="B1" s="1" t="inlineStr">
        <is>
          <t xml:space="preserve">Fase</t>
        </is>
      </c>
      <c r="C1" s="1" t="inlineStr">
        <is>
          <t xml:space="preserve">Nome</t>
        </is>
      </c>
      <c r="D1" s="1" t="inlineStr">
        <is>
          <t xml:space="preserve">Duracao</t>
        </is>
      </c>
      <c r="E1" s="1" t="inlineStr">
        <is>
          <t xml:space="preserve">Objetivo</t>
        </is>
      </c>
      <c r="F1" s="1" t="inlineStr">
        <is>
          <t xml:space="preserve">Atividades_Chave</t>
        </is>
      </c>
      <c r="G1" s="1" t="inlineStr">
        <is>
          <t xml:space="preserve">Quem_Faz</t>
        </is>
      </c>
      <c r="H1" s="1" t="inlineStr">
        <is>
          <t xml:space="preserve">Entregaveis</t>
        </is>
      </c>
      <c r="I1" s="1" t="inlineStr">
        <is>
          <t xml:space="preserve">Sentimento_Usuario</t>
        </is>
      </c>
    </row>
    <row r="2">
      <c r="A2" s="3" t="inlineStr">
        <is>
          <t xml:space="preserve">1</t>
        </is>
      </c>
      <c r="B2" s="3" t="inlineStr">
        <is>
          <t xml:space="preserve">Descobrir</t>
        </is>
      </c>
      <c r="C2" s="3" t="inlineStr">
        <is>
          <t xml:space="preserve">Escuta e contextualização</t>
        </is>
      </c>
      <c r="D2" s="3" t="inlineStr">
        <is>
          <t xml:space="preserve">1–2 semanas</t>
        </is>
      </c>
      <c r="E2" s="3" t="inlineStr">
        <is>
          <t xml:space="preserve">Compreender a dor real, o contexto e as expectativas de quem executa e de quem se beneficia do processo.</t>
        </is>
      </c>
      <c r="F2" s="3" t="inlineStr">
        <is>
          <t xml:space="preserve">Reunião de sensibilização com a unidade demandante; Entrevistas semiestruturadas com executores e gestores; Aplicação do formulário de contextualização; Escuta ativa das partes interessadas (jornada empática)</t>
        </is>
      </c>
      <c r="G2" s="3" t="inlineStr">
        <is>
          <t xml:space="preserve">NUGEP; Interlocutor da área; Dono do processo</t>
        </is>
      </c>
      <c r="H2" s="3" t="inlineStr">
        <is>
          <t xml:space="preserve">Ata de reunião; Formulário preenchido; Mapa de partes interessadas</t>
        </is>
      </c>
      <c r="I2" s="3" t="inlineStr">
        <is>
          <t xml:space="preserve">Curiosidade e ansiedade: “por que estão olhando meu trabalho?”</t>
        </is>
      </c>
    </row>
    <row r="3">
      <c r="A3" s="2" t="inlineStr">
        <is>
          <t xml:space="preserve">2</t>
        </is>
      </c>
      <c r="B3" s="2" t="inlineStr">
        <is>
          <t xml:space="preserve">Definir</t>
        </is>
      </c>
      <c r="C3" s="2" t="inlineStr">
        <is>
          <t xml:space="preserve">Delimitação de escopo</t>
        </is>
      </c>
      <c r="D3" s="2" t="inlineStr">
        <is>
          <t xml:space="preserve">1 semana</t>
        </is>
      </c>
      <c r="E3" s="2" t="inlineStr">
        <is>
          <t xml:space="preserve">Traçar limites claros: onde começa, onde termina, quem participa e o que está fora do mapeamento.</t>
        </is>
      </c>
      <c r="F3" s="2" t="inlineStr">
        <is>
          <t xml:space="preserve">SIPOC preliminar (Fornecedores, Entradas, Processo, Saídas, Clientes); Identificação de sistemas e normativos aplicáveis; Definição de premissas, restrições e critérios de sucesso; Termo de abertura do projeto de mapeamento (PMBOK)</t>
        </is>
      </c>
      <c r="G3" s="2" t="inlineStr">
        <is>
          <t xml:space="preserve">Gerente do projeto; NUGEP</t>
        </is>
      </c>
      <c r="H3" s="2" t="inlineStr">
        <is>
          <t xml:space="preserve">Ficha do mapeamento publicada</t>
        </is>
      </c>
      <c r="I3" s="2" t="inlineStr">
        <is>
          <t xml:space="preserve">Segurança: “agora sei o que esperam de mim”</t>
        </is>
      </c>
    </row>
    <row r="4">
      <c r="A4" s="3" t="inlineStr">
        <is>
          <t xml:space="preserve">3</t>
        </is>
      </c>
      <c r="B4" s="3" t="inlineStr">
        <is>
          <t xml:space="preserve">Desenvolver</t>
        </is>
      </c>
      <c r="C4" s="3" t="inlineStr">
        <is>
          <t xml:space="preserve">Modelagem AS-IS</t>
        </is>
      </c>
      <c r="D4" s="3" t="inlineStr">
        <is>
          <t xml:space="preserve">2–4 semanas</t>
        </is>
      </c>
      <c r="E4" s="3" t="inlineStr">
        <is>
          <t xml:space="preserve">Fotografar o processo como ele é hoje, incluindo variações, filas, retrabalhos e workarounds.</t>
        </is>
      </c>
      <c r="F4" s="3" t="inlineStr">
        <is>
          <t xml:space="preserve">Workshops de modelagem com quem executa; Desenho BPMN no Bizagi (com anexação de evidências); Registro de hipóteses, dores e memória do mapeamento (no processo e-Codevasf/e-Codevasf); Identificação de riscos, gargalos e handoffs</t>
        </is>
      </c>
      <c r="G4" s="3" t="inlineStr">
        <is>
          <t xml:space="preserve">Equipe de mapeamento; Executores do processo</t>
        </is>
      </c>
      <c r="H4" s="3" t="inlineStr">
        <is>
          <t xml:space="preserve">Diagrama BPMN AS-IS; Lista de dores e riscos</t>
        </is>
      </c>
      <c r="I4" s="3" t="inlineStr">
        <is>
          <t xml:space="preserve">Reconhecimento: “alguém finalmente enxerga o que a gente vive”</t>
        </is>
      </c>
    </row>
    <row r="5">
      <c r="A5" s="2" t="inlineStr">
        <is>
          <t xml:space="preserve">4</t>
        </is>
      </c>
      <c r="B5" s="2" t="inlineStr">
        <is>
          <t xml:space="preserve">Desenvolver</t>
        </is>
      </c>
      <c r="C5" s="2" t="inlineStr">
        <is>
          <t xml:space="preserve">Validação AS-IS</t>
        </is>
      </c>
      <c r="D5" s="2" t="inlineStr">
        <is>
          <t xml:space="preserve">1 semana</t>
        </is>
      </c>
      <c r="E5" s="2" t="inlineStr">
        <is>
          <t xml:space="preserve">Confirmar com quem executa e com quem decide que o retrato do processo é fiel.</t>
        </is>
      </c>
      <c r="F5" s="2" t="inlineStr">
        <is>
          <t xml:space="preserve">Reunião de validação com donos e executores; Ajustes finos no BPMN e nos artefatos; Homologação formal do AS-IS</t>
        </is>
      </c>
      <c r="G5" s="2" t="inlineStr">
        <is>
          <t xml:space="preserve">Dono do processo; NUGEP</t>
        </is>
      </c>
      <c r="H5" s="2" t="inlineStr">
        <is>
          <t xml:space="preserve">AS-IS homologado e publicado no repositório</t>
        </is>
      </c>
      <c r="I5" s="2" t="inlineStr">
        <is>
          <t xml:space="preserve">Orgulho: “é isso que a gente faz”</t>
        </is>
      </c>
    </row>
    <row r="6">
      <c r="A6" s="3" t="inlineStr">
        <is>
          <t xml:space="preserve">5</t>
        </is>
      </c>
      <c r="B6" s="3" t="inlineStr">
        <is>
          <t xml:space="preserve">Desenvolver</t>
        </is>
      </c>
      <c r="C6" s="3" t="inlineStr">
        <is>
          <t xml:space="preserve">Redesenho TO-BE</t>
        </is>
      </c>
      <c r="D6" s="3" t="inlineStr">
        <is>
          <t xml:space="preserve">2–4 semanas</t>
        </is>
      </c>
      <c r="E6" s="3" t="inlineStr">
        <is>
          <t xml:space="preserve">Desenhar o processo desejado, eliminando desperdícios e melhorando a experiência de quem executa e de quem recebe.</t>
        </is>
      </c>
      <c r="F6" s="3" t="inlineStr">
        <is>
          <t xml:space="preserve">Análise de causas-raiz das dores identificadas; Ideação de melhorias com a equipe da área; Modelagem TO-BE (BPMN) e simulação de cenários; Definição de indicadores de desempenho e riscos residuais</t>
        </is>
      </c>
      <c r="G6" s="3" t="inlineStr">
        <is>
          <t xml:space="preserve">NUGEP; Área; Escritório de Riscos (2ª linha)</t>
        </is>
      </c>
      <c r="H6" s="3" t="inlineStr">
        <is>
          <t xml:space="preserve">Diagrama TO-BE; Indicadores; Plano de transição</t>
        </is>
      </c>
      <c r="I6" s="3" t="inlineStr">
        <is>
          <t xml:space="preserve">Esperança: “dá pra melhorar de verdade”</t>
        </is>
      </c>
    </row>
    <row r="7">
      <c r="A7" s="2" t="inlineStr">
        <is>
          <t xml:space="preserve">6</t>
        </is>
      </c>
      <c r="B7" s="2" t="inlineStr">
        <is>
          <t xml:space="preserve">Entregar</t>
        </is>
      </c>
      <c r="C7" s="2" t="inlineStr">
        <is>
          <t xml:space="preserve">Publicação e transição</t>
        </is>
      </c>
      <c r="D7" s="2" t="inlineStr">
        <is>
          <t xml:space="preserve">2 semanas</t>
        </is>
      </c>
      <c r="E7" s="2" t="inlineStr">
        <is>
          <t xml:space="preserve">Colocar o novo processo em operação com apoio, treinamento e comunicação clara.</t>
        </is>
      </c>
      <c r="F7" s="2" t="inlineStr">
        <is>
          <t xml:space="preserve">Publicação no repositório institucional de processos; Capacitação dos executores e multiplicadores; Atualização de normativos e do e-Codevasf; Lançamento do TO-BE</t>
        </is>
      </c>
      <c r="G7" s="2" t="inlineStr">
        <is>
          <t xml:space="preserve">Área responsável; NUGEP; Comunicação</t>
        </is>
      </c>
      <c r="H7" s="2" t="inlineStr">
        <is>
          <t xml:space="preserve">Processo publicado; Equipe capacitada; Comunicação institucional</t>
        </is>
      </c>
      <c r="I7" s="2" t="inlineStr">
        <is>
          <t xml:space="preserve">Confiança: “fui preparado para o novo jeito”</t>
        </is>
      </c>
    </row>
    <row r="8">
      <c r="A8" s="3" t="inlineStr">
        <is>
          <t xml:space="preserve">7</t>
        </is>
      </c>
      <c r="B8" s="3" t="inlineStr">
        <is>
          <t xml:space="preserve">Evoluir</t>
        </is>
      </c>
      <c r="C8" s="3" t="inlineStr">
        <is>
          <t xml:space="preserve">Monitoramento e indicadores</t>
        </is>
      </c>
      <c r="D8" s="3" t="inlineStr">
        <is>
          <t xml:space="preserve">Contínuo</t>
        </is>
      </c>
      <c r="E8" s="3" t="inlineStr">
        <is>
          <t xml:space="preserve">Acompanhar o desempenho real do processo e a experiência de quem o executa e recebe.</t>
        </is>
      </c>
      <c r="F8" s="3" t="inlineStr">
        <is>
          <t xml:space="preserve">Coleta de indicadores (eficiência, eficácia, qualidade, satisfação); Monitoramento de riscos e controles (2ª linha); Escuta contínua da unidade e dos beneficiários</t>
        </is>
      </c>
      <c r="G8" s="3" t="inlineStr">
        <is>
          <t xml:space="preserve">Dono do processo; NUGEP; Escritório de Riscos</t>
        </is>
      </c>
      <c r="H8" s="3" t="inlineStr">
        <is>
          <t xml:space="preserve">Painel de indicadores; Radar de riscos atualizado</t>
        </is>
      </c>
      <c r="I8" s="3" t="inlineStr">
        <is>
          <t xml:space="preserve">Pertencimento: “meu trabalho é acompanhado e valorizado”</t>
        </is>
      </c>
    </row>
    <row r="9">
      <c r="A9" s="2" t="inlineStr">
        <is>
          <t xml:space="preserve">8</t>
        </is>
      </c>
      <c r="B9" s="2" t="inlineStr">
        <is>
          <t xml:space="preserve">Evoluir</t>
        </is>
      </c>
      <c r="C9" s="2" t="inlineStr">
        <is>
          <t xml:space="preserve">Melhoria contínua</t>
        </is>
      </c>
      <c r="D9" s="2" t="inlineStr">
        <is>
          <t xml:space="preserve">Contínuo</t>
        </is>
      </c>
      <c r="E9" s="2" t="inlineStr">
        <is>
          <t xml:space="preserve">Fechar o ciclo: aprender, ajustar e reiniciar a jornada sempre que necessário (PDCA/CBOK 4.0).</t>
        </is>
      </c>
      <c r="F9" s="2" t="inlineStr">
        <is>
          <t xml:space="preserve">Retrospectivas periódicas com a área; Revisão do processo com base em dados e feedback; Abertura de novo ciclo de redesenho quando necessário</t>
        </is>
      </c>
      <c r="G9" s="2" t="inlineStr">
        <is>
          <t xml:space="preserve">NUGEP; Comunidade de prática BPM</t>
        </is>
      </c>
      <c r="H9" s="2" t="inlineStr">
        <is>
          <t xml:space="preserve">Novo ciclo de mapeamento ou ajustes incrementais</t>
        </is>
      </c>
      <c r="I9" s="2" t="inlineStr">
        <is>
          <t xml:space="preserve">Autonomia: “nosso processo é vivo, evolui com a gente”</t>
        </is>
      </c>
    </row>
  </sheetData>
  <autoFilter ref="A1:I1"/>
  <dataValidations count="1"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B2:B300">
      <formula1>Listas!$P$2:$P$6</formula1>
    </dataValidation>
  </dataValidation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155BCB"/>
  </sheetPr>
  <sheetViews>
    <sheetView zoomScale="90" workbookViewId="0">
      <pane xSplit="4" ySplit="1" topLeftCell="E2" activePane="bottomRight" state="frozen"/>
    </sheetView>
  </sheetViews>
  <sheetFormatPr defaultRowHeight="15"/>
  <cols>
    <col min="1" max="1" width="10" customWidth="1"/>
    <col min="2" max="2" width="18" customWidth="1"/>
    <col min="3" max="3" width="15" customWidth="1"/>
    <col min="4" max="4" width="12" customWidth="1"/>
    <col min="5" max="5" width="42" customWidth="1"/>
    <col min="6" max="6" width="56" customWidth="1"/>
    <col min="7" max="7" width="12" customWidth="1"/>
    <col min="8" max="8" width="50" customWidth="1"/>
    <col min="9" max="9" width="7" customWidth="1"/>
  </cols>
  <sheetData>
    <row r="1" ht="30" customHeight="1">
      <c r="A1" s="1" t="inlineStr">
        <is>
          <t xml:space="preserve">ID</t>
        </is>
      </c>
      <c r="B1" s="1" t="inlineStr">
        <is>
          <t xml:space="preserve">Categoria</t>
        </is>
      </c>
      <c r="C1" s="1" t="inlineStr">
        <is>
          <t xml:space="preserve">Fase_Ciclo</t>
        </is>
      </c>
      <c r="D1" s="1" t="inlineStr">
        <is>
          <t xml:space="preserve">Codigo</t>
        </is>
      </c>
      <c r="E1" s="1" t="inlineStr">
        <is>
          <t xml:space="preserve">Titulo</t>
        </is>
      </c>
      <c r="F1" s="1" t="inlineStr">
        <is>
          <t xml:space="preserve">Descricao</t>
        </is>
      </c>
      <c r="G1" s="1" t="inlineStr">
        <is>
          <t xml:space="preserve">Fonte</t>
        </is>
      </c>
      <c r="H1" s="1" t="inlineStr">
        <is>
          <t xml:space="preserve">Link</t>
        </is>
      </c>
      <c r="I1" s="1" t="inlineStr">
        <is>
          <t xml:space="preserve">Ordem</t>
        </is>
      </c>
    </row>
    <row r="2">
      <c r="A2" s="3" t="inlineStr">
        <is>
          <t xml:space="preserve">REP-001</t>
        </is>
      </c>
      <c r="B2" s="3" t="inlineStr">
        <is>
          <t xml:space="preserve">Documento oficial</t>
        </is>
      </c>
      <c r="D2" s="3" t="inlineStr">
        <is>
          <t xml:space="preserve">RES 031/2025</t>
        </is>
      </c>
      <c r="E2" s="3" t="inlineStr">
        <is>
          <t xml:space="preserve">Metodologia de Gerenciamento de Processos da Codevasf</t>
        </is>
      </c>
      <c r="F2" s="3" t="inlineStr">
        <is>
          <t xml:space="preserve">Documento normativo que institui a metodologia corporativa de gerenciamento de processos (disponível na intranet/e-Codevasf).</t>
        </is>
      </c>
      <c r="G2" s="3" t="inlineStr">
        <is>
          <t xml:space="preserve">Codevasf</t>
        </is>
      </c>
      <c r="H2" s="3" t="inlineStr">
        <is>
          <t xml:space="preserve">https://intraplone.codevasf.gov.br/documentos_normativos_referencia/governanca-e-gestao/copy_of_planos/met_gerenciamento-processos_res-031_2025-01-08.pdf</t>
        </is>
      </c>
      <c r="I2" s="3" t="inlineStr">
        <is>
          <t xml:space="preserve">1</t>
        </is>
      </c>
    </row>
    <row r="3">
      <c r="A3" s="2" t="inlineStr">
        <is>
          <t xml:space="preserve">REP-002</t>
        </is>
      </c>
      <c r="B3" s="2" t="inlineStr">
        <is>
          <t xml:space="preserve">Documento oficial</t>
        </is>
      </c>
      <c r="D3" s="2" t="inlineStr">
        <is>
          <t xml:space="preserve">RES 031/2025</t>
        </is>
      </c>
      <c r="E3" s="2" t="inlineStr">
        <is>
          <t xml:space="preserve">Guia de Gerenciamento de Processos da Codevasf</t>
        </is>
      </c>
      <c r="F3" s="2" t="inlineStr">
        <is>
          <t xml:space="preserve">Guia prático que detalha etapas, papéis, artefatos e padrões do mapeamento (disponível na intranet/e-Codevasf).</t>
        </is>
      </c>
      <c r="G3" s="2" t="inlineStr">
        <is>
          <t xml:space="preserve">Codevasf</t>
        </is>
      </c>
      <c r="H3" s="2" t="inlineStr">
        <is>
          <t xml:space="preserve">https://intraplone.codevasf.gov.br/documentos_normativos_referencia/governanca-e-gestao/copy_of_planos/guia_gerenciamento-processos_res-031_2025-01-08.pdf</t>
        </is>
      </c>
      <c r="I3" s="2" t="inlineStr">
        <is>
          <t xml:space="preserve">2</t>
        </is>
      </c>
    </row>
    <row r="4">
      <c r="A4" s="3" t="inlineStr">
        <is>
          <t xml:space="preserve">REP-005</t>
        </is>
      </c>
      <c r="B4" s="3" t="inlineStr">
        <is>
          <t xml:space="preserve">Template</t>
        </is>
      </c>
      <c r="C4" s="3" t="inlineStr">
        <is>
          <t xml:space="preserve">Desenho</t>
        </is>
      </c>
      <c r="E4" s="3" t="inlineStr">
        <is>
          <t xml:space="preserve">Modelo de Diagramas BPMN</t>
        </is>
      </c>
      <c r="F4" s="3" t="inlineStr">
        <is>
          <t xml:space="preserve">Template padrão para modelagem em BPMN 2.0 (pools, lanes, eventos, atividades e gateways), em formato Bizagi e draw.io.</t>
        </is>
      </c>
      <c r="G4" s="3" t="inlineStr">
        <is>
          <t xml:space="preserve">Codevasf</t>
        </is>
      </c>
      <c r="H4" s="3" t="inlineStr">
        <is>
          <t xml:space="preserve">https://exemplo.codevasf.gov.br/modelos/template-bpmn.bpm</t>
        </is>
      </c>
      <c r="I4" s="3" t="inlineStr">
        <is>
          <t xml:space="preserve">5</t>
        </is>
      </c>
    </row>
    <row r="5">
      <c r="A5" s="2" t="inlineStr">
        <is>
          <t xml:space="preserve">REP-006</t>
        </is>
      </c>
      <c r="B5" s="2" t="inlineStr">
        <is>
          <t xml:space="preserve">Template</t>
        </is>
      </c>
      <c r="C5" s="2" t="inlineStr">
        <is>
          <t xml:space="preserve">Análise</t>
        </is>
      </c>
      <c r="E5" s="2" t="inlineStr">
        <is>
          <t xml:space="preserve">Roteiro de Reunião de Contextualização</t>
        </is>
      </c>
      <c r="F5" s="2" t="inlineStr">
        <is>
          <t xml:space="preserve">Guia para conduzir a reunião de contextualização: perguntas-guia, dinâmicas de elicitação e checklist de tópicos.</t>
        </is>
      </c>
      <c r="G5" s="2" t="inlineStr">
        <is>
          <t xml:space="preserve">Codevasf</t>
        </is>
      </c>
      <c r="H5" s="2" t="inlineStr">
        <is>
          <t xml:space="preserve">https://exemplo.codevasf.gov.br/modelos/roteiro-contextualizacao.docx</t>
        </is>
      </c>
      <c r="I5" s="2" t="inlineStr">
        <is>
          <t xml:space="preserve">6</t>
        </is>
      </c>
    </row>
    <row r="6">
      <c r="A6" s="3" t="inlineStr">
        <is>
          <t xml:space="preserve">REP-011</t>
        </is>
      </c>
      <c r="B6" s="3" t="inlineStr">
        <is>
          <t xml:space="preserve">Instrumento</t>
        </is>
      </c>
      <c r="C6" s="3" t="inlineStr">
        <is>
          <t xml:space="preserve">Desenho</t>
        </is>
      </c>
      <c r="D6" s="3" t="inlineStr">
        <is>
          <t xml:space="preserve">BPMN-01</t>
        </is>
      </c>
      <c r="E6" s="3" t="inlineStr">
        <is>
          <t xml:space="preserve">Checklist BPMN 2.0 (notação)</t>
        </is>
      </c>
      <c r="F6" s="3" t="inlineStr">
        <is>
          <t xml:space="preserve">Lista de verificação dos elementos mínimos para um diagrama BPMN aderente ao padrão.</t>
        </is>
      </c>
      <c r="G6" s="3" t="inlineStr">
        <is>
          <t xml:space="preserve">CBOK 4.0</t>
        </is>
      </c>
      <c r="H6" s="3" t="inlineStr">
        <is>
          <t xml:space="preserve">https://exemplo.codevasf.gov.br/instrumentos/bpmn-01.docx</t>
        </is>
      </c>
      <c r="I6" s="3" t="inlineStr">
        <is>
          <t xml:space="preserve">11</t>
        </is>
      </c>
    </row>
    <row r="7">
      <c r="A7" s="2" t="inlineStr">
        <is>
          <t xml:space="preserve">REP-012</t>
        </is>
      </c>
      <c r="B7" s="2" t="inlineStr">
        <is>
          <t xml:space="preserve">Instrumento</t>
        </is>
      </c>
      <c r="C7" s="2" t="inlineStr">
        <is>
          <t xml:space="preserve">Desenho</t>
        </is>
      </c>
      <c r="D7" s="2" t="inlineStr">
        <is>
          <t xml:space="preserve">RACI-01</t>
        </is>
      </c>
      <c r="E7" s="2" t="inlineStr">
        <is>
          <t xml:space="preserve">Matriz RACI</t>
        </is>
      </c>
      <c r="F7" s="2" t="inlineStr">
        <is>
          <t xml:space="preserve">Atribui Responsável (R), Aprovador (A), Consultado (C) e Informado (I) por atividade.</t>
        </is>
      </c>
      <c r="G7" s="2" t="inlineStr">
        <is>
          <t xml:space="preserve">PMBOK</t>
        </is>
      </c>
      <c r="H7" s="2" t="inlineStr">
        <is>
          <t xml:space="preserve">https://exemplo.codevasf.gov.br/instrumentos/raci-01.xlsx</t>
        </is>
      </c>
      <c r="I7" s="2" t="inlineStr">
        <is>
          <t xml:space="preserve">12</t>
        </is>
      </c>
    </row>
    <row r="8">
      <c r="A8" s="3" t="inlineStr">
        <is>
          <t xml:space="preserve">REP-013</t>
        </is>
      </c>
      <c r="B8" s="3" t="inlineStr">
        <is>
          <t xml:space="preserve">Instrumento</t>
        </is>
      </c>
      <c r="C8" s="3" t="inlineStr">
        <is>
          <t xml:space="preserve">Monitoramento</t>
        </is>
      </c>
      <c r="D8" s="3" t="inlineStr">
        <is>
          <t xml:space="preserve">KPI-01</t>
        </is>
      </c>
      <c r="E8" s="3" t="inlineStr">
        <is>
          <t xml:space="preserve">Canvas de Indicador (KPI)</t>
        </is>
      </c>
      <c r="F8" s="3" t="inlineStr">
        <is>
          <t xml:space="preserve">Define nome, fórmula, fonte, meta, periodicidade e responsável de um indicador.</t>
        </is>
      </c>
      <c r="G8" s="3" t="inlineStr">
        <is>
          <t xml:space="preserve">Codevasf</t>
        </is>
      </c>
      <c r="H8" s="3" t="inlineStr">
        <is>
          <t xml:space="preserve">https://exemplo.codevasf.gov.br/instrumentos/kpi-01.docx</t>
        </is>
      </c>
      <c r="I8" s="3" t="inlineStr">
        <is>
          <t xml:space="preserve">13</t>
        </is>
      </c>
    </row>
    <row r="9">
      <c r="A9" s="2" t="inlineStr">
        <is>
          <t xml:space="preserve">REP-014</t>
        </is>
      </c>
      <c r="B9" s="2" t="inlineStr">
        <is>
          <t xml:space="preserve">Instrumento</t>
        </is>
      </c>
      <c r="C9" s="2" t="inlineStr">
        <is>
          <t xml:space="preserve">Análise</t>
        </is>
      </c>
      <c r="D9" s="2" t="inlineStr">
        <is>
          <t xml:space="preserve">RISK-01</t>
        </is>
      </c>
      <c r="E9" s="2" t="inlineStr">
        <is>
          <t xml:space="preserve">Registro de Riscos (ISO 31000)</t>
        </is>
      </c>
      <c r="F9" s="2" t="inlineStr">
        <is>
          <t xml:space="preserve">Identifica risco, causa, efeito, probabilidade, impacto, resposta e responsável.</t>
        </is>
      </c>
      <c r="G9" s="2" t="inlineStr">
        <is>
          <t xml:space="preserve">ISO 31000</t>
        </is>
      </c>
      <c r="H9" s="2" t="inlineStr">
        <is>
          <t xml:space="preserve">https://exemplo.codevasf.gov.br/instrumentos/risk-01.xlsx</t>
        </is>
      </c>
      <c r="I9" s="2" t="inlineStr">
        <is>
          <t xml:space="preserve">14</t>
        </is>
      </c>
    </row>
    <row r="10">
      <c r="A10" s="3" t="inlineStr">
        <is>
          <t xml:space="preserve">REP-015</t>
        </is>
      </c>
      <c r="B10" s="3" t="inlineStr">
        <is>
          <t xml:space="preserve">Instrumento</t>
        </is>
      </c>
      <c r="C10" s="3" t="inlineStr">
        <is>
          <t xml:space="preserve">Análise</t>
        </is>
      </c>
      <c r="D10" s="3" t="inlineStr">
        <is>
          <t xml:space="preserve">AS-IS-01</t>
        </is>
      </c>
      <c r="E10" s="3" t="inlineStr">
        <is>
          <t xml:space="preserve">Roteiro de entrevista AS-IS</t>
        </is>
      </c>
      <c r="F10" s="3" t="inlineStr">
        <is>
          <t xml:space="preserve">Perguntas-guia para levantar o processo como ele é hoje com quem executa.</t>
        </is>
      </c>
      <c r="G10" s="3" t="inlineStr">
        <is>
          <t xml:space="preserve">CBOK 4.0</t>
        </is>
      </c>
      <c r="H10" s="3" t="inlineStr">
        <is>
          <t xml:space="preserve">https://exemplo.codevasf.gov.br/instrumentos/as-is-01.docx</t>
        </is>
      </c>
      <c r="I10" s="3" t="inlineStr">
        <is>
          <t xml:space="preserve">15</t>
        </is>
      </c>
    </row>
    <row r="11">
      <c r="A11" s="2" t="inlineStr">
        <is>
          <t xml:space="preserve">REP-016</t>
        </is>
      </c>
      <c r="B11" s="2" t="inlineStr">
        <is>
          <t xml:space="preserve">Instrumento</t>
        </is>
      </c>
      <c r="C11" s="2" t="inlineStr">
        <is>
          <t xml:space="preserve">Implementação</t>
        </is>
      </c>
      <c r="D11" s="2" t="inlineStr">
        <is>
          <t xml:space="preserve">TO-BE-01</t>
        </is>
      </c>
      <c r="E11" s="2" t="inlineStr">
        <is>
          <t xml:space="preserve">Plano de transição AS-IS → TO-BE</t>
        </is>
      </c>
      <c r="F11" s="2" t="inlineStr">
        <is>
          <t xml:space="preserve">Compara o processo atual e o futuro e organiza as ações de migração.</t>
        </is>
      </c>
      <c r="G11" s="2" t="inlineStr">
        <is>
          <t xml:space="preserve">CBOK 4.0</t>
        </is>
      </c>
      <c r="H11" s="2" t="inlineStr">
        <is>
          <t xml:space="preserve">https://exemplo.codevasf.gov.br/instrumentos/to-be-01.docx</t>
        </is>
      </c>
      <c r="I11" s="2" t="inlineStr">
        <is>
          <t xml:space="preserve">16</t>
        </is>
      </c>
    </row>
    <row r="12">
      <c r="A12" s="3" t="inlineStr">
        <is>
          <t xml:space="preserve">REP-017</t>
        </is>
      </c>
      <c r="B12" s="3" t="inlineStr">
        <is>
          <t xml:space="preserve">Instrumento</t>
        </is>
      </c>
      <c r="C12" s="3" t="inlineStr">
        <is>
          <t xml:space="preserve">Refinamento</t>
        </is>
      </c>
      <c r="D12" s="3" t="inlineStr">
        <is>
          <t xml:space="preserve">MAT-01</t>
        </is>
      </c>
      <c r="E12" s="3" t="inlineStr">
        <is>
          <t xml:space="preserve">Diagnóstico rápido de maturidade (PEMM)</t>
        </is>
      </c>
      <c r="F12" s="3" t="inlineStr">
        <is>
          <t xml:space="preserve">Autoavaliação em 5 dimensões: desenho, executores, dono, infraestrutura e indicadores.</t>
        </is>
      </c>
      <c r="G12" s="3" t="inlineStr">
        <is>
          <t xml:space="preserve">CBOK 4.0</t>
        </is>
      </c>
      <c r="H12" s="3" t="inlineStr">
        <is>
          <t xml:space="preserve">https://exemplo.codevasf.gov.br/instrumentos/mat-01.xlsx</t>
        </is>
      </c>
      <c r="I12" s="3" t="inlineStr">
        <is>
          <t xml:space="preserve">17</t>
        </is>
      </c>
    </row>
    <row r="13">
      <c r="A13" s="2" t="inlineStr">
        <is>
          <t xml:space="preserve">REP-018</t>
        </is>
      </c>
      <c r="B13" s="2" t="inlineStr">
        <is>
          <t xml:space="preserve">Ferramenta</t>
        </is>
      </c>
      <c r="C13" s="2" t="inlineStr">
        <is>
          <t xml:space="preserve">Desenho</t>
        </is>
      </c>
      <c r="E13" s="2" t="inlineStr">
        <is>
          <t xml:space="preserve">Bizagi Modeler</t>
        </is>
      </c>
      <c r="F13" s="2" t="inlineStr">
        <is>
          <t xml:space="preserve">Ferramenta gratuita de modelagem BPMN 2.0, recomendada pela UNP para os diagramas AS-IS e TO-BE.</t>
        </is>
      </c>
      <c r="G13" s="2" t="inlineStr">
        <is>
          <t xml:space="preserve">Bizagi</t>
        </is>
      </c>
      <c r="H13" s="2" t="inlineStr">
        <is>
          <t xml:space="preserve">https://www.bizagi.com/pt/plataforma/modeler</t>
        </is>
      </c>
      <c r="I13" s="2" t="inlineStr">
        <is>
          <t xml:space="preserve">18</t>
        </is>
      </c>
    </row>
    <row r="14">
      <c r="A14" s="3" t="inlineStr">
        <is>
          <t xml:space="preserve">REP-022</t>
        </is>
      </c>
      <c r="B14" s="3" t="inlineStr">
        <is>
          <t xml:space="preserve">Referência</t>
        </is>
      </c>
      <c r="E14" s="3" t="inlineStr">
        <is>
          <t xml:space="preserve">BPM CBOK 4.0 — ABPMP International</t>
        </is>
      </c>
      <c r="F14" s="3" t="inlineStr">
        <is>
          <t xml:space="preserve">Guia de referência em gerenciamento de processos de negócio; padrão metodológico principal da UNP.</t>
        </is>
      </c>
      <c r="G14" s="3" t="inlineStr">
        <is>
          <t xml:space="preserve">ABPMP</t>
        </is>
      </c>
      <c r="H14" s="3" t="inlineStr">
        <is>
          <t xml:space="preserve">https://www.abpmp-br.org</t>
        </is>
      </c>
      <c r="I14" s="3" t="inlineStr">
        <is>
          <t xml:space="preserve">22</t>
        </is>
      </c>
    </row>
    <row r="15">
      <c r="A15" s="2" t="inlineStr">
        <is>
          <t xml:space="preserve">REP-033</t>
        </is>
      </c>
      <c r="B15" s="2" t="inlineStr">
        <is>
          <t xml:space="preserve">Referência</t>
        </is>
      </c>
      <c r="E15" s="2" t="inlineStr">
        <is>
          <t xml:space="preserve">BPMN 2.0 — Business Process Model and Notation</t>
        </is>
      </c>
      <c r="F15" s="2" t="inlineStr">
        <is>
          <t xml:space="preserve">Especificação oficial da notação usada nos diagramas (Bizagi e demais ferramentas de modelagem): símbolos, semântica de execução e serialização XML.</t>
        </is>
      </c>
      <c r="G15" s="2" t="inlineStr">
        <is>
          <t xml:space="preserve">OMG (Object Management Group)</t>
        </is>
      </c>
      <c r="H15" s="2" t="inlineStr">
        <is>
          <t xml:space="preserve">https://www.omg.org/spec/BPMN/2.0/</t>
        </is>
      </c>
      <c r="I15" s="2" t="inlineStr">
        <is>
          <t xml:space="preserve">23</t>
        </is>
      </c>
    </row>
    <row r="16">
      <c r="A16" s="3" t="inlineStr">
        <is>
          <t xml:space="preserve">REP-025</t>
        </is>
      </c>
      <c r="B16" s="3" t="inlineStr">
        <is>
          <t xml:space="preserve">Template</t>
        </is>
      </c>
      <c r="C16" s="3" t="inlineStr">
        <is>
          <t xml:space="preserve">Análise</t>
        </is>
      </c>
      <c r="E16" s="3" t="inlineStr">
        <is>
          <t xml:space="preserve">Mapa de Partes Interessadas (modelo)</t>
        </is>
      </c>
      <c r="F16" s="3" t="inlineStr">
        <is>
          <t xml:space="preserve">Identifica e classifica stakeholders por interesse e influência, com estratégia de engajamento por grupo.</t>
        </is>
      </c>
      <c r="G16" s="3" t="inlineStr">
        <is>
          <t xml:space="preserve">PMBOK</t>
        </is>
      </c>
      <c r="H16" s="3" t="inlineStr">
        <is>
          <t xml:space="preserve">https://exemplo.codevasf.gov.br/modelos/mapa-partes-interessadas.xlsx</t>
        </is>
      </c>
      <c r="I16" s="3" t="inlineStr">
        <is>
          <t xml:space="preserve">25</t>
        </is>
      </c>
    </row>
  </sheetData>
  <autoFilter ref="A1:I1"/>
  <dataValidations count="2"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B2:B300">
      <formula1>Listas!$Q$2:$Q$6</formula1>
    </dataValidation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C2:C300">
      <formula1>Listas!$R$2:$R$7</formula1>
    </dataValidation>
  </dataValidation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155BCB"/>
  </sheetPr>
  <sheetViews>
    <sheetView zoomScale="90" workbookViewId="0">
      <pane xSplit="2" ySplit="1" topLeftCell="C2" activePane="bottomRight" state="frozen"/>
    </sheetView>
  </sheetViews>
  <sheetFormatPr defaultRowHeight="15"/>
  <cols>
    <col min="1" max="1" width="7" customWidth="1"/>
    <col min="2" max="2" width="24" customWidth="1"/>
    <col min="3" max="3" width="34" customWidth="1"/>
    <col min="4" max="4" width="14" customWidth="1"/>
    <col min="5" max="5" width="38" customWidth="1"/>
    <col min="6" max="6" width="32" customWidth="1"/>
    <col min="7" max="7" width="16" customWidth="1"/>
    <col min="8" max="8" width="46" customWidth="1"/>
    <col min="9" max="9" width="11" customWidth="1"/>
  </cols>
  <sheetData>
    <row r="1" ht="30" customHeight="1">
      <c r="A1" s="1" t="inlineStr">
        <is>
          <t xml:space="preserve">Ordem</t>
        </is>
      </c>
      <c r="B1" s="1" t="inlineStr">
        <is>
          <t xml:space="preserve">Nome</t>
        </is>
      </c>
      <c r="C1" s="1" t="inlineStr">
        <is>
          <t xml:space="preserve">Papel</t>
        </is>
      </c>
      <c r="D1" s="1" t="inlineStr">
        <is>
          <t xml:space="preserve">Unidade_Sigla</t>
        </is>
      </c>
      <c r="E1" s="1" t="inlineStr">
        <is>
          <t xml:space="preserve">Unidade_Nome</t>
        </is>
      </c>
      <c r="F1" s="1" t="inlineStr">
        <is>
          <t xml:space="preserve">Email</t>
        </is>
      </c>
      <c r="G1" s="1" t="inlineStr">
        <is>
          <t xml:space="preserve">Telefone</t>
        </is>
      </c>
      <c r="H1" s="1" t="inlineStr">
        <is>
          <t xml:space="preserve">Foto</t>
        </is>
      </c>
      <c r="I1" s="1" t="inlineStr">
        <is>
          <t xml:space="preserve">Hierarquia</t>
        </is>
      </c>
    </row>
    <row r="2">
      <c r="A2" s="3" t="inlineStr">
        <is>
          <t xml:space="preserve">1</t>
        </is>
      </c>
      <c r="B2" s="3" t="inlineStr">
        <is>
          <t xml:space="preserve">Ricardo Nunes Vasconcelos</t>
        </is>
      </c>
      <c r="C2" s="3" t="inlineStr">
        <is>
          <t xml:space="preserve">Gerente-Executivo da Área de Gestão Estratégica</t>
        </is>
      </c>
      <c r="D2" s="3" t="inlineStr">
        <is>
          <t xml:space="preserve">AE</t>
        </is>
      </c>
      <c r="E2" s="7" t="str">
        <f>IF(D2="","",IFERROR(VLOOKUP(D2,Listas!$V$2:$W$40,2,FALSE),""))</f>
        <v>Área de Gestão Estratégica</v>
      </c>
      <c r="F2" s="3" t="inlineStr">
        <is>
          <t xml:space="preserve">ricardo.vasconcelos@codevasf.gov.br</t>
        </is>
      </c>
      <c r="G2" s="3" t="inlineStr">
        <is>
          <t xml:space="preserve">(61) 2028-4400</t>
        </is>
      </c>
      <c r="H2" s="3" t="inlineStr">
        <is>
          <t xml:space="preserve">https://randomuser.me/api/portraits/men/32.jpg</t>
        </is>
      </c>
      <c r="I2" s="3" t="inlineStr">
        <is>
          <t xml:space="preserve">1</t>
        </is>
      </c>
    </row>
    <row r="3">
      <c r="A3" s="2" t="inlineStr">
        <is>
          <t xml:space="preserve">2</t>
        </is>
      </c>
      <c r="B3" s="2" t="inlineStr">
        <is>
          <t xml:space="preserve">Patrícia Moreira Lopes</t>
        </is>
      </c>
      <c r="C3" s="2" t="inlineStr">
        <is>
          <t xml:space="preserve">Gerente de Planejamento Estratégico</t>
        </is>
      </c>
      <c r="D3" s="2" t="inlineStr">
        <is>
          <t xml:space="preserve">AE/GPE</t>
        </is>
      </c>
      <c r="E3" s="7" t="str">
        <f>IF(D3="","",IFERROR(VLOOKUP(D3,Listas!$V$2:$W$40,2,FALSE),""))</f>
        <v>Gerência de Planejamento Estratégico</v>
      </c>
      <c r="F3" s="2" t="inlineStr">
        <is>
          <t xml:space="preserve">patricia.lopes@codevasf.gov.br</t>
        </is>
      </c>
      <c r="G3" s="2" t="inlineStr">
        <is>
          <t xml:space="preserve">(61) 2028-4430</t>
        </is>
      </c>
      <c r="H3" s="2" t="inlineStr">
        <is>
          <t xml:space="preserve">https://randomuser.me/api/portraits/women/68.jpg</t>
        </is>
      </c>
      <c r="I3" s="2" t="inlineStr">
        <is>
          <t xml:space="preserve">2</t>
        </is>
      </c>
    </row>
    <row r="4">
      <c r="A4" s="3" t="inlineStr">
        <is>
          <t xml:space="preserve">3</t>
        </is>
      </c>
      <c r="B4" s="3" t="inlineStr">
        <is>
          <t xml:space="preserve">Bruna Souza</t>
        </is>
      </c>
      <c r="C4" s="3" t="inlineStr">
        <is>
          <t xml:space="preserve">Coordenadora do NUGEP</t>
        </is>
      </c>
      <c r="D4" s="3" t="inlineStr">
        <is>
          <t xml:space="preserve">AE/GPE/UNP</t>
        </is>
      </c>
      <c r="E4" s="7" t="str">
        <f>IF(D4="","",IFERROR(VLOOKUP(D4,Listas!$V$2:$W$40,2,FALSE),""))</f>
        <v>Unidade de Gestão Normativa e de Processos</v>
      </c>
      <c r="F4" s="3" t="inlineStr">
        <is>
          <t xml:space="preserve">bruna.souza@codevasf.gov.br</t>
        </is>
      </c>
      <c r="G4" s="3" t="inlineStr">
        <is>
          <t xml:space="preserve">(61) 2028-4441</t>
        </is>
      </c>
      <c r="H4" s="3" t="inlineStr">
        <is>
          <t xml:space="preserve">https://randomuser.me/api/portraits/women/44.jpg</t>
        </is>
      </c>
      <c r="I4" s="3" t="inlineStr">
        <is>
          <t xml:space="preserve">3</t>
        </is>
      </c>
    </row>
    <row r="5">
      <c r="A5" s="2" t="inlineStr">
        <is>
          <t xml:space="preserve">4</t>
        </is>
      </c>
      <c r="B5" s="2" t="inlineStr">
        <is>
          <t xml:space="preserve">Carlos Eduardo Lima</t>
        </is>
      </c>
      <c r="C5" s="2" t="inlineStr">
        <is>
          <t xml:space="preserve">Analista de Processos</t>
        </is>
      </c>
      <c r="D5" s="2" t="inlineStr">
        <is>
          <t xml:space="preserve">AE/GPE</t>
        </is>
      </c>
      <c r="E5" s="7" t="str">
        <f>IF(D5="","",IFERROR(VLOOKUP(D5,Listas!$V$2:$W$40,2,FALSE),""))</f>
        <v>Gerência de Planejamento Estratégico</v>
      </c>
      <c r="F5" s="2" t="inlineStr">
        <is>
          <t xml:space="preserve">carlos.lima@codevasf.gov.br</t>
        </is>
      </c>
      <c r="G5" s="2" t="inlineStr">
        <is>
          <t xml:space="preserve">(61) 2028-4442</t>
        </is>
      </c>
      <c r="H5" s="2" t="inlineStr">
        <is>
          <t xml:space="preserve">https://randomuser.me/api/portraits/men/45.jpg</t>
        </is>
      </c>
      <c r="I5" s="2" t="inlineStr">
        <is>
          <t xml:space="preserve">3</t>
        </is>
      </c>
    </row>
    <row r="6">
      <c r="A6" s="3" t="inlineStr">
        <is>
          <t xml:space="preserve">5</t>
        </is>
      </c>
      <c r="B6" s="3" t="inlineStr">
        <is>
          <t xml:space="preserve">Daniela Ribeiro</t>
        </is>
      </c>
      <c r="C6" s="3" t="inlineStr">
        <is>
          <t xml:space="preserve">Especialista em BPM</t>
        </is>
      </c>
      <c r="D6" s="3" t="inlineStr">
        <is>
          <t xml:space="preserve">AT/GTI</t>
        </is>
      </c>
      <c r="E6" s="7" t="str">
        <f>IF(D6="","",IFERROR(VLOOKUP(D6,Listas!$V$2:$W$40,2,FALSE),""))</f>
        <v>Gerência de Tecnologia da Informação</v>
      </c>
      <c r="F6" s="3" t="inlineStr">
        <is>
          <t xml:space="preserve">daniela.ribeiro@codevasf.gov.br</t>
        </is>
      </c>
      <c r="G6" s="3" t="inlineStr">
        <is>
          <t xml:space="preserve">(61) 2028-4501</t>
        </is>
      </c>
      <c r="H6" s="3" t="inlineStr">
        <is>
          <t xml:space="preserve">https://randomuser.me/api/portraits/women/12.jpg</t>
        </is>
      </c>
      <c r="I6" s="3" t="inlineStr">
        <is>
          <t xml:space="preserve">3</t>
        </is>
      </c>
    </row>
    <row r="7">
      <c r="A7" s="2" t="inlineStr">
        <is>
          <t xml:space="preserve">6</t>
        </is>
      </c>
      <c r="B7" s="2" t="inlineStr">
        <is>
          <t xml:space="preserve">Eduardo Martins</t>
        </is>
      </c>
      <c r="C7" s="2" t="inlineStr">
        <is>
          <t xml:space="preserve">Interlocutor de Processos Finalísticos</t>
        </is>
      </c>
      <c r="D7" s="2" t="inlineStr">
        <is>
          <t xml:space="preserve">AR/GPR</t>
        </is>
      </c>
      <c r="E7" s="7" t="str">
        <f>IF(D7="","",IFERROR(VLOOKUP(D7,Listas!$V$2:$W$40,2,FALSE),""))</f>
        <v>Gerência de Projetos de Revitalização</v>
      </c>
      <c r="F7" s="2" t="inlineStr">
        <is>
          <t xml:space="preserve">eduardo.martins@codevasf.gov.br</t>
        </is>
      </c>
      <c r="G7" s="2" t="inlineStr">
        <is>
          <t xml:space="preserve">(61) 2028-4612</t>
        </is>
      </c>
      <c r="H7" s="2" t="inlineStr">
        <is>
          <t xml:space="preserve">https://randomuser.me/api/portraits/men/76.jpg</t>
        </is>
      </c>
      <c r="I7" s="2" t="inlineStr">
        <is>
          <t xml:space="preserve">3</t>
        </is>
      </c>
    </row>
    <row r="8">
      <c r="A8" s="3" t="inlineStr">
        <is>
          <t xml:space="preserve">7</t>
        </is>
      </c>
      <c r="B8" s="3" t="inlineStr">
        <is>
          <t xml:space="preserve">Fernanda Alves</t>
        </is>
      </c>
      <c r="C8" s="3" t="inlineStr">
        <is>
          <t xml:space="preserve">Analista de Riscos e Conformidade</t>
        </is>
      </c>
      <c r="D8" s="3" t="inlineStr">
        <is>
          <t xml:space="preserve">AE/GAG</t>
        </is>
      </c>
      <c r="E8" s="7" t="str">
        <f>IF(D8="","",IFERROR(VLOOKUP(D8,Listas!$V$2:$W$40,2,FALSE),""))</f>
        <v>Gerência de Auditoria e Governança</v>
      </c>
      <c r="F8" s="3" t="inlineStr">
        <is>
          <t xml:space="preserve">fernanda.alves@codevasf.gov.br</t>
        </is>
      </c>
      <c r="G8" s="3" t="inlineStr">
        <is>
          <t xml:space="preserve">(61) 2028-4380</t>
        </is>
      </c>
      <c r="H8" s="3" t="inlineStr">
        <is>
          <t xml:space="preserve">https://randomuser.me/api/portraits/women/29.jpg</t>
        </is>
      </c>
      <c r="I8" s="3" t="inlineStr">
        <is>
          <t xml:space="preserve">3</t>
        </is>
      </c>
    </row>
    <row r="9">
      <c r="A9" s="2" t="inlineStr">
        <is>
          <t xml:space="preserve">8</t>
        </is>
      </c>
      <c r="B9" s="2" t="inlineStr">
        <is>
          <t xml:space="preserve">Gustavo Pereira</t>
        </is>
      </c>
      <c r="C9" s="2" t="inlineStr">
        <is>
          <t xml:space="preserve">Apoio Metodológico — PMBOK/CBOK</t>
        </is>
      </c>
      <c r="D9" s="2" t="inlineStr">
        <is>
          <t xml:space="preserve">AE/GPE/UNP</t>
        </is>
      </c>
      <c r="E9" s="7" t="str">
        <f>IF(D9="","",IFERROR(VLOOKUP(D9,Listas!$V$2:$W$40,2,FALSE),""))</f>
        <v>Unidade de Gestão Normativa e de Processos</v>
      </c>
      <c r="F9" s="2" t="inlineStr">
        <is>
          <t xml:space="preserve">gustavo.pereira@codevasf.gov.br</t>
        </is>
      </c>
      <c r="G9" s="2" t="inlineStr">
        <is>
          <t xml:space="preserve">(61) 2028-4443</t>
        </is>
      </c>
      <c r="H9" s="2" t="inlineStr">
        <is>
          <t xml:space="preserve">https://randomuser.me/api/portraits/men/22.jpg</t>
        </is>
      </c>
      <c r="I9" s="2" t="inlineStr">
        <is>
          <t xml:space="preserve">3</t>
        </is>
      </c>
    </row>
    <row r="10">
      <c r="A10" s="3" t="inlineStr">
        <is>
          <t xml:space="preserve">9</t>
        </is>
      </c>
      <c r="B10" s="3" t="inlineStr">
        <is>
          <t xml:space="preserve">Juliana Tavares</t>
        </is>
      </c>
      <c r="C10" s="3" t="inlineStr">
        <is>
          <t xml:space="preserve">Analista de Processos</t>
        </is>
      </c>
      <c r="D10" s="3" t="inlineStr">
        <is>
          <t xml:space="preserve">AE/GPE/UNP</t>
        </is>
      </c>
      <c r="E10" s="7" t="str">
        <f>IF(D10="","",IFERROR(VLOOKUP(D10,Listas!$V$2:$W$40,2,FALSE),""))</f>
        <v>Unidade de Gestão Normativa e de Processos</v>
      </c>
      <c r="F10" s="3" t="inlineStr">
        <is>
          <t xml:space="preserve">juliana.tavares@codevasf.gov.br</t>
        </is>
      </c>
      <c r="G10" s="3" t="inlineStr">
        <is>
          <t xml:space="preserve">(61) 2028-4444</t>
        </is>
      </c>
      <c r="H10" s="3" t="inlineStr">
        <is>
          <t xml:space="preserve">https://randomuser.me/api/portraits/women/8.jpg</t>
        </is>
      </c>
      <c r="I10" s="3" t="inlineStr">
        <is>
          <t xml:space="preserve">3</t>
        </is>
      </c>
    </row>
    <row r="11">
      <c r="A11" s="2" t="inlineStr">
        <is>
          <t xml:space="preserve">10</t>
        </is>
      </c>
      <c r="B11" s="2" t="inlineStr">
        <is>
          <t xml:space="preserve">Rafael Menezes</t>
        </is>
      </c>
      <c r="C11" s="2" t="inlineStr">
        <is>
          <t xml:space="preserve">Analista de Dados e Indicadores</t>
        </is>
      </c>
      <c r="D11" s="2" t="inlineStr">
        <is>
          <t xml:space="preserve">AE/GPE</t>
        </is>
      </c>
      <c r="E11" s="7" t="str">
        <f>IF(D11="","",IFERROR(VLOOKUP(D11,Listas!$V$2:$W$40,2,FALSE),""))</f>
        <v>Gerência de Planejamento Estratégico</v>
      </c>
      <c r="F11" s="2" t="inlineStr">
        <is>
          <t xml:space="preserve">rafael.menezes@codevasf.gov.br</t>
        </is>
      </c>
      <c r="G11" s="2" t="inlineStr">
        <is>
          <t xml:space="preserve">(61) 2028-4445</t>
        </is>
      </c>
      <c r="H11" s="2" t="inlineStr">
        <is>
          <t xml:space="preserve">https://randomuser.me/api/portraits/men/54.jpg</t>
        </is>
      </c>
      <c r="I11" s="2" t="inlineStr">
        <is>
          <t xml:space="preserve">3</t>
        </is>
      </c>
    </row>
    <row r="12">
      <c r="A12" s="3" t="inlineStr">
        <is>
          <t xml:space="preserve">11</t>
        </is>
      </c>
      <c r="B12" s="3" t="inlineStr">
        <is>
          <t xml:space="preserve">Camila Duarte</t>
        </is>
      </c>
      <c r="C12" s="3" t="inlineStr">
        <is>
          <t xml:space="preserve">Interlocutora de Processos de Suporte</t>
        </is>
      </c>
      <c r="D12" s="3" t="inlineStr">
        <is>
          <t xml:space="preserve">AA/GLC</t>
        </is>
      </c>
      <c r="E12" s="7" t="str">
        <f>IF(D12="","",IFERROR(VLOOKUP(D12,Listas!$V$2:$W$40,2,FALSE),""))</f>
        <v>Gerência de Licitações e Contratos</v>
      </c>
      <c r="F12" s="3" t="inlineStr">
        <is>
          <t xml:space="preserve">camila.duarte@codevasf.gov.br</t>
        </is>
      </c>
      <c r="G12" s="3" t="inlineStr">
        <is>
          <t xml:space="preserve">(61) 2028-4520</t>
        </is>
      </c>
      <c r="H12" s="3" t="inlineStr">
        <is>
          <t xml:space="preserve">https://randomuser.me/api/portraits/women/90.jpg</t>
        </is>
      </c>
      <c r="I12" s="3" t="inlineStr">
        <is>
          <t xml:space="preserve">3</t>
        </is>
      </c>
    </row>
    <row r="13">
      <c r="A13" s="2" t="inlineStr">
        <is>
          <t xml:space="preserve">12</t>
        </is>
      </c>
      <c r="B13" s="2" t="inlineStr">
        <is>
          <t xml:space="preserve">Paulo Henrique Barros</t>
        </is>
      </c>
      <c r="C13" s="2" t="inlineStr">
        <is>
          <t xml:space="preserve">Apoio de Comunicação Institucional</t>
        </is>
      </c>
      <c r="D13" s="2" t="inlineStr">
        <is>
          <t xml:space="preserve">PR/ASCOM</t>
        </is>
      </c>
      <c r="E13" s="7" t="str">
        <f>IF(D13="","",IFERROR(VLOOKUP(D13,Listas!$V$2:$W$40,2,FALSE),""))</f>
        <v>Assessoria de Comunicação</v>
      </c>
      <c r="F13" s="2" t="inlineStr">
        <is>
          <t xml:space="preserve">paulo.barros@codevasf.gov.br</t>
        </is>
      </c>
      <c r="G13" s="2" t="inlineStr">
        <is>
          <t xml:space="preserve">(61) 2028-4630</t>
        </is>
      </c>
      <c r="H13" s="2" t="inlineStr">
        <is>
          <t xml:space="preserve">https://randomuser.me/api/portraits/men/60.jpg</t>
        </is>
      </c>
      <c r="I13" s="2" t="inlineStr">
        <is>
          <t xml:space="preserve">3</t>
        </is>
      </c>
    </row>
  </sheetData>
  <autoFilter ref="A1:I1"/>
  <dataValidations count="1"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I2:I300">
      <formula1>Listas!$U$2:$U$5</formula1>
    </dataValidation>
  </dataValidation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155BCB"/>
  </sheetPr>
  <sheetViews>
    <sheetView zoomScale="90" workbookViewId="0">
      <pane xSplit="1" ySplit="1" topLeftCell="B2" activePane="bottomRight" state="frozen"/>
    </sheetView>
  </sheetViews>
  <sheetFormatPr defaultRowHeight="15"/>
  <cols>
    <col min="1" max="1" width="34" customWidth="1"/>
    <col min="2" max="2" width="22" customWidth="1"/>
    <col min="3" max="3" width="80" customWidth="1"/>
    <col min="4" max="4" width="18" customWidth="1"/>
    <col min="5" max="5" width="40" customWidth="1"/>
  </cols>
  <sheetData>
    <row r="1" ht="30" customHeight="1">
      <c r="A1" s="1" t="inlineStr">
        <is>
          <t xml:space="preserve">Termo</t>
        </is>
      </c>
      <c r="B1" s="1" t="inlineStr">
        <is>
          <t xml:space="preserve">Categoria</t>
        </is>
      </c>
      <c r="C1" s="1" t="inlineStr">
        <is>
          <t xml:space="preserve">Definicao</t>
        </is>
      </c>
      <c r="D1" s="1" t="inlineStr">
        <is>
          <t xml:space="preserve">Fonte</t>
        </is>
      </c>
      <c r="E1" s="1" t="inlineStr">
        <is>
          <t xml:space="preserve">Termos_Relacionados</t>
        </is>
      </c>
    </row>
    <row r="2">
      <c r="A2" s="3" t="inlineStr">
        <is>
          <t xml:space="preserve">ABPMP</t>
        </is>
      </c>
      <c r="B2" s="3" t="inlineStr">
        <is>
          <t xml:space="preserve">BPM (CBOK)</t>
        </is>
      </c>
      <c r="C2" s="3" t="inlineStr">
        <is>
          <t xml:space="preserve">Association of Business Process Management Professionals — entidade internacional sem fins lucrativos que mantém o CBOK e certificações como CBPP (Certified Business Process Professional).</t>
        </is>
      </c>
      <c r="D2" s="3" t="inlineStr">
        <is>
          <t xml:space="preserve">ABPMP</t>
        </is>
      </c>
      <c r="E2" s="3" t="inlineStr">
        <is>
          <t xml:space="preserve">CBOK; BPM</t>
        </is>
      </c>
    </row>
    <row r="3">
      <c r="A3" s="2" t="inlineStr">
        <is>
          <t xml:space="preserve">Atividade</t>
        </is>
      </c>
      <c r="B3" s="2" t="inlineStr">
        <is>
          <t xml:space="preserve">BPM (CBOK)</t>
        </is>
      </c>
      <c r="C3" s="2" t="inlineStr">
        <is>
          <t xml:space="preserve">Conjunto de tarefas executadas para transformar entradas em saídas dentro de um processo. É o nível operacional mapeado em diagramas BPMN.</t>
        </is>
      </c>
      <c r="D3" s="2" t="inlineStr">
        <is>
          <t xml:space="preserve">CBOK 4.0</t>
        </is>
      </c>
      <c r="E3" s="2" t="inlineStr">
        <is>
          <t xml:space="preserve">Tarefa; Subprocesso; BPMN</t>
        </is>
      </c>
    </row>
    <row r="4">
      <c r="A4" s="3" t="inlineStr">
        <is>
          <t xml:space="preserve">Arquitetura de Processos</t>
        </is>
      </c>
      <c r="B4" s="3" t="inlineStr">
        <is>
          <t xml:space="preserve">BPM (CBOK)</t>
        </is>
      </c>
      <c r="C4" s="3" t="inlineStr">
        <is>
          <t xml:space="preserve">Visão estruturada e hierárquica de todos os processos da organização, do macroprocesso à tarefa, mostrando relações, donos e contribuição para a estratégia.</t>
        </is>
      </c>
      <c r="D4" s="3" t="inlineStr">
        <is>
          <t xml:space="preserve">CBOK 4.0</t>
        </is>
      </c>
      <c r="E4" s="3" t="inlineStr">
        <is>
          <t xml:space="preserve">Cadeia de Valor; Macroprocesso</t>
        </is>
      </c>
    </row>
    <row r="5">
      <c r="A5" s="2" t="inlineStr">
        <is>
          <t xml:space="preserve">AS-IS</t>
        </is>
      </c>
      <c r="B5" s="2" t="inlineStr">
        <is>
          <t xml:space="preserve">BPM (CBOK)</t>
        </is>
      </c>
      <c r="C5" s="2" t="inlineStr">
        <is>
          <t xml:space="preserve">Modelo do processo no estado atual (como ele realmente é executado hoje), usado como base de diagnóstico antes de propor melhorias.</t>
        </is>
      </c>
      <c r="D5" s="2" t="inlineStr">
        <is>
          <t xml:space="preserve">CBOK 4.0</t>
        </is>
      </c>
      <c r="E5" s="2" t="inlineStr">
        <is>
          <t xml:space="preserve">TO-BE; Análise de Processos</t>
        </is>
      </c>
    </row>
    <row r="6">
      <c r="A6" s="3" t="inlineStr">
        <is>
          <t xml:space="preserve">Análise de Processos</t>
        </is>
      </c>
      <c r="B6" s="3" t="inlineStr">
        <is>
          <t xml:space="preserve">BPM (CBOK)</t>
        </is>
      </c>
      <c r="C6" s="3" t="inlineStr">
        <is>
          <t xml:space="preserve">Estudo do processo AS-IS para identificar gargalos, retrabalho, desperdícios e oportunidades de melhoria. Usa ferramentas como Ishikawa, 5 porquês e análise de valor agregado.</t>
        </is>
      </c>
      <c r="D6" s="3" t="inlineStr">
        <is>
          <t xml:space="preserve">CBOK 4.0</t>
        </is>
      </c>
      <c r="E6" s="3" t="inlineStr">
        <is>
          <t xml:space="preserve">AS-IS; Melhoria Contínua; Gargalo</t>
        </is>
      </c>
    </row>
    <row r="7">
      <c r="A7" s="2" t="inlineStr">
        <is>
          <t xml:space="preserve">Agile</t>
        </is>
      </c>
      <c r="B7" s="2" t="inlineStr">
        <is>
          <t xml:space="preserve">Projetos (PMBOK)</t>
        </is>
      </c>
      <c r="C7" s="2" t="inlineStr">
        <is>
          <t xml:space="preserve">Abordagem iterativa e incremental de gerenciamento, baseada no Manifesto Ágil, com entregas frequentes e adaptação contínua.</t>
        </is>
      </c>
      <c r="D7" s="2" t="inlineStr">
        <is>
          <t xml:space="preserve">Manifesto Ágil</t>
        </is>
      </c>
      <c r="E7" s="2" t="inlineStr">
        <is>
          <t xml:space="preserve">Scrum; Kanban; Sprint</t>
        </is>
      </c>
    </row>
    <row r="8">
      <c r="A8" s="3" t="inlineStr">
        <is>
          <t xml:space="preserve">AE</t>
        </is>
      </c>
      <c r="B8" s="3" t="inlineStr">
        <is>
          <t xml:space="preserve">Metodologia Codevasf</t>
        </is>
      </c>
      <c r="C8" s="3" t="inlineStr">
        <is>
          <t xml:space="preserve">Área de Estratégia e Finanças da Codevasf, instância superior da GPE/UNP.</t>
        </is>
      </c>
      <c r="D8" s="3" t="inlineStr">
        <is>
          <t xml:space="preserve">Codevasf</t>
        </is>
      </c>
      <c r="E8" s="3" t="inlineStr">
        <is>
          <t xml:space="preserve">GPE; UNP</t>
        </is>
      </c>
    </row>
    <row r="9">
      <c r="A9" s="2" t="inlineStr">
        <is>
          <t xml:space="preserve">Accountability</t>
        </is>
      </c>
      <c r="B9" s="2" t="inlineStr">
        <is>
          <t xml:space="preserve">Governança e Papéis</t>
        </is>
      </c>
      <c r="C9" s="2" t="inlineStr">
        <is>
          <t xml:space="preserve">Obrigação de prestar contas e responder pelos resultados, especialmente no setor público.</t>
        </is>
      </c>
      <c r="D9" s="2" t="inlineStr">
        <is>
          <t xml:space="preserve">TCU</t>
        </is>
      </c>
      <c r="E9" s="2" t="inlineStr">
        <is>
          <t xml:space="preserve">Governança Pública</t>
        </is>
      </c>
    </row>
    <row r="10">
      <c r="A10" s="3" t="inlineStr">
        <is>
          <t xml:space="preserve">BPM</t>
        </is>
      </c>
      <c r="B10" s="3" t="inlineStr">
        <is>
          <t xml:space="preserve">BPM (CBOK)</t>
        </is>
      </c>
      <c r="C10" s="3" t="inlineStr">
        <is>
          <t xml:space="preserve">Business Process Management — disciplina gerencial integrada que combina técnicas, métodos e ferramentas para identificar, modelar, executar, monitorar e melhorar continuamente os processos de negócio, alinhando-os à estratégia e à entrega de valor ao cliente.</t>
        </is>
      </c>
      <c r="D10" s="3" t="inlineStr">
        <is>
          <t xml:space="preserve">ABPMP CBOK 4.0</t>
        </is>
      </c>
      <c r="E10" s="3" t="inlineStr">
        <is>
          <t xml:space="preserve">Processo de Negócio; Ciclo de Vida BPM; Governança de Processos</t>
        </is>
      </c>
    </row>
    <row r="11">
      <c r="A11" s="2" t="inlineStr">
        <is>
          <t xml:space="preserve">BPMN</t>
        </is>
      </c>
      <c r="B11" s="2" t="inlineStr">
        <is>
          <t xml:space="preserve">BPM (CBOK)</t>
        </is>
      </c>
      <c r="C11" s="2" t="inlineStr">
        <is>
          <t xml:space="preserve">Business Process Model and Notation — padrão da OMG para modelagem gráfica de processos de negócio. Define símbolos para atividades, eventos, gateways, fluxos e raias.</t>
        </is>
      </c>
      <c r="D11" s="2" t="inlineStr">
        <is>
          <t xml:space="preserve">OMG / CBOK 4.0</t>
        </is>
      </c>
      <c r="E11" s="2" t="inlineStr">
        <is>
          <t xml:space="preserve">Notação; Raia (Swimlane); Pool</t>
        </is>
      </c>
    </row>
    <row r="12">
      <c r="A12" s="3" t="inlineStr">
        <is>
          <t xml:space="preserve">Beneficiário / Cidadão-usuário</t>
        </is>
      </c>
      <c r="B12" s="3" t="inlineStr">
        <is>
          <t xml:space="preserve">SIPOC e Modelagem</t>
        </is>
      </c>
      <c r="C12" s="3" t="inlineStr">
        <is>
          <t xml:space="preserve">Destinatário da saída do processo no setor público. Pode ser interno (outra unidade da Codevasf) ou externo — cidadão, irrigante, comunidade beneficiária, ente federativo ou órgão parceiro.</t>
        </is>
      </c>
      <c r="D12" s="3" t="inlineStr">
        <is>
          <t xml:space="preserve">SIPOC</t>
        </is>
      </c>
      <c r="E12" s="3" t="inlineStr">
        <is>
          <t xml:space="preserve">SIPOC</t>
        </is>
      </c>
    </row>
    <row r="13">
      <c r="A13" s="2" t="inlineStr">
        <is>
          <t xml:space="preserve">Linha de Base (Indicador)</t>
        </is>
      </c>
      <c r="B13" s="2" t="inlineStr">
        <is>
          <t xml:space="preserve">Indicadores e Riscos</t>
        </is>
      </c>
      <c r="C13" s="2" t="inlineStr">
        <is>
          <t xml:space="preserve">Valor de referência inicial de um indicador, usado como base para comparar resultados futuros.</t>
        </is>
      </c>
      <c r="D13" s="2" t="inlineStr">
        <is>
          <t xml:space="preserve">PMBOK</t>
        </is>
      </c>
      <c r="E13" s="2" t="inlineStr">
        <is>
          <t xml:space="preserve">Indicador; Meta</t>
        </is>
      </c>
    </row>
    <row r="14">
      <c r="A14" s="3" t="inlineStr">
        <is>
          <t xml:space="preserve">Burndown</t>
        </is>
      </c>
      <c r="B14" s="3" t="inlineStr">
        <is>
          <t xml:space="preserve">Projetos (PMBOK)</t>
        </is>
      </c>
      <c r="C14" s="3" t="inlineStr">
        <is>
          <t xml:space="preserve">Gráfico que mostra a quantidade de trabalho restante ao longo do tempo, comum em métodos ágeis.</t>
        </is>
      </c>
      <c r="D14" s="3" t="inlineStr">
        <is>
          <t xml:space="preserve">Scrum</t>
        </is>
      </c>
      <c r="E14" s="3" t="inlineStr">
        <is>
          <t xml:space="preserve">Agile; Sprint</t>
        </is>
      </c>
    </row>
    <row r="15">
      <c r="A15" s="2" t="inlineStr">
        <is>
          <t xml:space="preserve">Burnup</t>
        </is>
      </c>
      <c r="B15" s="2" t="inlineStr">
        <is>
          <t xml:space="preserve">Projetos (PMBOK)</t>
        </is>
      </c>
      <c r="C15" s="2" t="inlineStr">
        <is>
          <t xml:space="preserve">Gráfico que mostra o trabalho concluído acumulado ao longo do tempo, comparando com o escopo total.</t>
        </is>
      </c>
      <c r="D15" s="2" t="inlineStr">
        <is>
          <t xml:space="preserve">Agile</t>
        </is>
      </c>
      <c r="E15" s="2" t="inlineStr">
        <is>
          <t xml:space="preserve">Burndown; Agile</t>
        </is>
      </c>
    </row>
    <row r="16">
      <c r="A16" s="3" t="inlineStr">
        <is>
          <t xml:space="preserve">CBOK</t>
        </is>
      </c>
      <c r="B16" s="3" t="inlineStr">
        <is>
          <t xml:space="preserve">BPM (CBOK)</t>
        </is>
      </c>
      <c r="C16" s="3" t="inlineStr">
        <is>
          <t xml:space="preserve">Guide to the Business Process Management Common Body of Knowledge — referência da ABPMP que consolida conceitos, práticas e competências essenciais de BPM. A versão 4.0 reorganiza o conteúdo em 9 áreas de conhecimento.</t>
        </is>
      </c>
      <c r="D16" s="3" t="inlineStr">
        <is>
          <t xml:space="preserve">ABPMP CBOK 4.0</t>
        </is>
      </c>
      <c r="E16" s="3" t="inlineStr">
        <is>
          <t xml:space="preserve">BPM; ABPMP</t>
        </is>
      </c>
    </row>
    <row r="17">
      <c r="A17" s="2" t="inlineStr">
        <is>
          <t xml:space="preserve">Cadeia de Valor</t>
        </is>
      </c>
      <c r="B17" s="2" t="inlineStr">
        <is>
          <t xml:space="preserve">BPM (CBOK)</t>
        </is>
      </c>
      <c r="C17" s="2" t="inlineStr">
        <is>
          <t xml:space="preserve">Representação visual dos macroprocessos de uma organização ordenados segundo sua contribuição para a entrega de valor. Permite visão sistêmica e priorização do mapeamento.</t>
        </is>
      </c>
      <c r="D17" s="2" t="inlineStr">
        <is>
          <t xml:space="preserve">Porter / CBOK 4.0</t>
        </is>
      </c>
      <c r="E17" s="2" t="inlineStr">
        <is>
          <t xml:space="preserve">Macroprocesso; Arquitetura de Processos</t>
        </is>
      </c>
    </row>
    <row r="18">
      <c r="A18" s="3" t="inlineStr">
        <is>
          <t xml:space="preserve">Ciclo de Vida BPM</t>
        </is>
      </c>
      <c r="B18" s="3" t="inlineStr">
        <is>
          <t xml:space="preserve">BPM (CBOK)</t>
        </is>
      </c>
      <c r="C18" s="3" t="inlineStr">
        <is>
          <t xml:space="preserve">Sequência iterativa de fases para gerenciar processos: planejar, analisar, desenhar, implementar, monitorar e refinar (PDCA aplicado a processos).</t>
        </is>
      </c>
      <c r="D18" s="3" t="inlineStr">
        <is>
          <t xml:space="preserve">CBOK 4.0</t>
        </is>
      </c>
      <c r="E18" s="3" t="inlineStr">
        <is>
          <t xml:space="preserve">BPM; Análise de Processos</t>
        </is>
      </c>
    </row>
    <row r="19">
      <c r="A19" s="2" t="inlineStr">
        <is>
          <t xml:space="preserve">Cronograma</t>
        </is>
      </c>
      <c r="B19" s="2" t="inlineStr">
        <is>
          <t xml:space="preserve">Projetos (PMBOK)</t>
        </is>
      </c>
      <c r="C19" s="2" t="inlineStr">
        <is>
          <t xml:space="preserve">Modelo que apresenta a sequência, datas e durações das atividades do projeto.</t>
        </is>
      </c>
      <c r="D19" s="2" t="inlineStr">
        <is>
          <t xml:space="preserve">PMBOK</t>
        </is>
      </c>
      <c r="E19" s="2" t="inlineStr">
        <is>
          <t xml:space="preserve">Gantt</t>
        </is>
      </c>
    </row>
    <row r="20">
      <c r="A20" s="3" t="inlineStr">
        <is>
          <t xml:space="preserve">Caminho Crítico</t>
        </is>
      </c>
      <c r="B20" s="3" t="inlineStr">
        <is>
          <t xml:space="preserve">Projetos (PMBOK)</t>
        </is>
      </c>
      <c r="C20" s="3" t="inlineStr">
        <is>
          <t xml:space="preserve">Sequência de atividades que determina a menor duração possível do projeto. Atrasos em qualquer atividade do caminho crítico atrasam o projeto.</t>
        </is>
      </c>
      <c r="D20" s="3" t="inlineStr">
        <is>
          <t xml:space="preserve">PMBOK / CPM</t>
        </is>
      </c>
      <c r="E20" s="3" t="inlineStr">
        <is>
          <t xml:space="preserve">Cronograma</t>
        </is>
      </c>
    </row>
    <row r="21">
      <c r="A21" s="2" t="inlineStr">
        <is>
          <t xml:space="preserve">CPI</t>
        </is>
      </c>
      <c r="B21" s="2" t="inlineStr">
        <is>
          <t xml:space="preserve">Projetos (PMBOK)</t>
        </is>
      </c>
      <c r="C21" s="2" t="inlineStr">
        <is>
          <t xml:space="preserve">Cost Performance Index — índice de desempenho de custo. CPI &lt; 1 indica estouro de orçamento.</t>
        </is>
      </c>
      <c r="D21" s="2" t="inlineStr">
        <is>
          <t xml:space="preserve">EVM</t>
        </is>
      </c>
      <c r="E21" s="2" t="inlineStr">
        <is>
          <t xml:space="preserve">EVM; SPI</t>
        </is>
      </c>
    </row>
    <row r="22">
      <c r="A22" s="3" t="inlineStr">
        <is>
          <t xml:space="preserve">Compliance</t>
        </is>
      </c>
      <c r="B22" s="3" t="inlineStr">
        <is>
          <t xml:space="preserve">Governança e Papéis</t>
        </is>
      </c>
      <c r="C22" s="3" t="inlineStr">
        <is>
          <t xml:space="preserve">Conformidade com leis, regulamentos, normas e políticas internas. Inclui prevenção a fraudes e corrupção.</t>
        </is>
      </c>
      <c r="D22" s="3" t="inlineStr">
        <is>
          <t xml:space="preserve">Lei 12.846/2013</t>
        </is>
      </c>
      <c r="E22" s="3" t="inlineStr">
        <is>
          <t xml:space="preserve">Governança Pública; Controle Interno</t>
        </is>
      </c>
    </row>
    <row r="23">
      <c r="A23" s="2" t="inlineStr">
        <is>
          <t xml:space="preserve">Controle Interno</t>
        </is>
      </c>
      <c r="B23" s="2" t="inlineStr">
        <is>
          <t xml:space="preserve">Governança e Papéis</t>
        </is>
      </c>
      <c r="C23" s="2" t="inlineStr">
        <is>
          <t xml:space="preserve">Conjunto de atividades, planos e métodos adotados para salvaguardar ativos, conferir exatidão e segurança aos dados e promover a eficiência operacional.</t>
        </is>
      </c>
      <c r="D23" s="2" t="inlineStr">
        <is>
          <t xml:space="preserve">INTOSAI / IN 03/2017</t>
        </is>
      </c>
      <c r="E23" s="2" t="inlineStr">
        <is>
          <t xml:space="preserve">Compliance</t>
        </is>
      </c>
    </row>
    <row r="24">
      <c r="A24" s="3" t="inlineStr">
        <is>
          <t xml:space="preserve">Desperdício (Muda)</t>
        </is>
      </c>
      <c r="B24" s="3" t="inlineStr">
        <is>
          <t xml:space="preserve">BPM (CBOK)</t>
        </is>
      </c>
      <c r="C24" s="3" t="inlineStr">
        <is>
          <t xml:space="preserve">Toda atividade que consome recursos sem agregar valor ao cliente. Os 7+1 desperdícios clássicos: superprodução, espera, transporte, processamento excessivo, estoque, movimento, defeito e talento não utilizado.</t>
        </is>
      </c>
      <c r="D24" s="3" t="inlineStr">
        <is>
          <t xml:space="preserve">Lean</t>
        </is>
      </c>
      <c r="E24" s="3" t="inlineStr">
        <is>
          <t xml:space="preserve">Lean; Valor Agregado</t>
        </is>
      </c>
    </row>
    <row r="25">
      <c r="A25" s="2" t="inlineStr">
        <is>
          <t xml:space="preserve">Dono do Processo</t>
        </is>
      </c>
      <c r="B25" s="2" t="inlineStr">
        <is>
          <t xml:space="preserve">BPM (CBOK)</t>
        </is>
      </c>
      <c r="C25" s="2" t="inlineStr">
        <is>
          <t xml:space="preserve">Pessoa formalmente responsável pelo desempenho, integridade e melhoria contínua de um processo de ponta a ponta, independentemente da estrutura hierárquica.</t>
        </is>
      </c>
      <c r="D25" s="2" t="inlineStr">
        <is>
          <t xml:space="preserve">CBOK 4.0</t>
        </is>
      </c>
      <c r="E25" s="2" t="inlineStr">
        <is>
          <t xml:space="preserve">Governança de Processos</t>
        </is>
      </c>
    </row>
    <row r="26">
      <c r="A26" s="3" t="inlineStr">
        <is>
          <t xml:space="preserve">Diagrama de Tartaruga</t>
        </is>
      </c>
      <c r="B26" s="3" t="inlineStr">
        <is>
          <t xml:space="preserve">SIPOC e Modelagem</t>
        </is>
      </c>
      <c r="C26" s="3" t="inlineStr">
        <is>
          <t xml:space="preserve">Ferramenta de modelagem que detalha um processo por entradas, saídas, recursos, métodos, pessoas e indicadores, formando o desenho de uma tartaruga.</t>
        </is>
      </c>
      <c r="D26" s="3" t="inlineStr">
        <is>
          <t xml:space="preserve">ISO 9001</t>
        </is>
      </c>
      <c r="E26" s="3" t="inlineStr">
        <is>
          <t xml:space="preserve">SIPOC</t>
        </is>
      </c>
    </row>
    <row r="27">
      <c r="A27" s="2" t="inlineStr">
        <is>
          <t xml:space="preserve">Evento</t>
        </is>
      </c>
      <c r="B27" s="2" t="inlineStr">
        <is>
          <t xml:space="preserve">BPM (CBOK)</t>
        </is>
      </c>
      <c r="C27" s="2" t="inlineStr">
        <is>
          <t xml:space="preserve">Acontecimento que afeta o fluxo do processo: início, fim, intermediário, de tempo, mensagem ou erro.</t>
        </is>
      </c>
      <c r="D27" s="2" t="inlineStr">
        <is>
          <t xml:space="preserve">BPMN</t>
        </is>
      </c>
      <c r="E27" s="2" t="inlineStr">
        <is>
          <t xml:space="preserve">BPMN</t>
        </is>
      </c>
    </row>
    <row r="28">
      <c r="A28" s="3" t="inlineStr">
        <is>
          <t xml:space="preserve">Escritório de Processos (BPM Office)</t>
        </is>
      </c>
      <c r="B28" s="3" t="inlineStr">
        <is>
          <t xml:space="preserve">BPM (CBOK)</t>
        </is>
      </c>
      <c r="C28" s="3" t="inlineStr">
        <is>
          <t xml:space="preserve">Unidade organizacional responsável por orientar metodologia, manter o repositório de processos e apoiar áreas no mapeamento. Na Codevasf, esse papel é da UNP/GPE.</t>
        </is>
      </c>
      <c r="D28" s="3" t="inlineStr">
        <is>
          <t xml:space="preserve">CBOK 4.0</t>
        </is>
      </c>
      <c r="E28" s="3" t="inlineStr">
        <is>
          <t xml:space="preserve">UNP; Governança de Processos</t>
        </is>
      </c>
    </row>
    <row r="29">
      <c r="A29" s="2" t="inlineStr">
        <is>
          <t xml:space="preserve">Entrada</t>
        </is>
      </c>
      <c r="B29" s="2" t="inlineStr">
        <is>
          <t xml:space="preserve">SIPOC e Modelagem</t>
        </is>
      </c>
      <c r="C29" s="2" t="inlineStr">
        <is>
          <t xml:space="preserve">Insumo, informação, documento ou recurso necessário para iniciar ou executar uma atividade do processo.</t>
        </is>
      </c>
      <c r="D29" s="2" t="inlineStr">
        <is>
          <t xml:space="preserve">SIPOC</t>
        </is>
      </c>
      <c r="E29" s="2" t="inlineStr">
        <is>
          <t xml:space="preserve">SIPOC</t>
        </is>
      </c>
    </row>
    <row r="30">
      <c r="A30" s="3" t="inlineStr">
        <is>
          <t xml:space="preserve">Eficiência</t>
        </is>
      </c>
      <c r="B30" s="3" t="inlineStr">
        <is>
          <t xml:space="preserve">Indicadores e Riscos</t>
        </is>
      </c>
      <c r="C30" s="3" t="inlineStr">
        <is>
          <t xml:space="preserve">Relação entre o que foi produzido (saída) e os recursos consumidos (entrada). “Fazer certo as coisas”.</t>
        </is>
      </c>
      <c r="D30" s="3" t="inlineStr">
        <is>
          <t xml:space="preserve">CBOK</t>
        </is>
      </c>
      <c r="E30" s="3" t="inlineStr">
        <is>
          <t xml:space="preserve">Eficácia; Efetividade</t>
        </is>
      </c>
    </row>
    <row r="31">
      <c r="A31" s="2" t="inlineStr">
        <is>
          <t xml:space="preserve">Eficácia</t>
        </is>
      </c>
      <c r="B31" s="2" t="inlineStr">
        <is>
          <t xml:space="preserve">Indicadores e Riscos</t>
        </is>
      </c>
      <c r="C31" s="2" t="inlineStr">
        <is>
          <t xml:space="preserve">Grau em que os resultados pretendidos foram alcançados. “Fazer as coisas certas”.</t>
        </is>
      </c>
      <c r="D31" s="2" t="inlineStr">
        <is>
          <t xml:space="preserve">CBOK</t>
        </is>
      </c>
      <c r="E31" s="2" t="inlineStr">
        <is>
          <t xml:space="preserve">Eficiência; Efetividade</t>
        </is>
      </c>
    </row>
    <row r="32">
      <c r="A32" s="3" t="inlineStr">
        <is>
          <t xml:space="preserve">Efetividade</t>
        </is>
      </c>
      <c r="B32" s="3" t="inlineStr">
        <is>
          <t xml:space="preserve">Indicadores e Riscos</t>
        </is>
      </c>
      <c r="C32" s="3" t="inlineStr">
        <is>
          <t xml:space="preserve">Impacto real e duradouro do processo no público-alvo ou na sociedade. Combina eficiência e eficácia com sustentabilidade.</t>
        </is>
      </c>
      <c r="D32" s="3" t="inlineStr">
        <is>
          <t xml:space="preserve">Gestão Pública</t>
        </is>
      </c>
      <c r="E32" s="3" t="inlineStr">
        <is>
          <t xml:space="preserve">Eficiência; Eficácia</t>
        </is>
      </c>
    </row>
    <row r="33">
      <c r="A33" s="2" t="inlineStr">
        <is>
          <t xml:space="preserve">Escopo</t>
        </is>
      </c>
      <c r="B33" s="2" t="inlineStr">
        <is>
          <t xml:space="preserve">Projetos (PMBOK)</t>
        </is>
      </c>
      <c r="C33" s="2" t="inlineStr">
        <is>
          <t xml:space="preserve">Soma dos produtos, serviços e resultados a serem entregues no projeto. Inclui escopo do produto e escopo do trabalho.</t>
        </is>
      </c>
      <c r="D33" s="2" t="inlineStr">
        <is>
          <t xml:space="preserve">PMBOK</t>
        </is>
      </c>
      <c r="E33" s="2" t="inlineStr">
        <is>
          <t xml:space="preserve">EAP; Entrega</t>
        </is>
      </c>
    </row>
    <row r="34">
      <c r="A34" s="3" t="inlineStr">
        <is>
          <t xml:space="preserve">EAP</t>
        </is>
      </c>
      <c r="B34" s="3" t="inlineStr">
        <is>
          <t xml:space="preserve">Projetos (PMBOK)</t>
        </is>
      </c>
      <c r="C34" s="3" t="inlineStr">
        <is>
          <t xml:space="preserve">Estrutura Analítica do Projeto (Work Breakdown Structure — WBS) — decomposição hierárquica do escopo em entregas e pacotes de trabalho.</t>
        </is>
      </c>
      <c r="D34" s="3" t="inlineStr">
        <is>
          <t xml:space="preserve">PMBOK</t>
        </is>
      </c>
      <c r="E34" s="3" t="inlineStr">
        <is>
          <t xml:space="preserve">Escopo; Entrega; Pacote de Trabalho</t>
        </is>
      </c>
    </row>
    <row r="35">
      <c r="A35" s="2" t="inlineStr">
        <is>
          <t xml:space="preserve">Entrega</t>
        </is>
      </c>
      <c r="B35" s="2" t="inlineStr">
        <is>
          <t xml:space="preserve">Projetos (PMBOK)</t>
        </is>
      </c>
      <c r="C35" s="2" t="inlineStr">
        <is>
          <t xml:space="preserve">Produto, resultado ou capacidade único e verificável, obtido a partir de uma fase ou de todo o projeto.</t>
        </is>
      </c>
      <c r="D35" s="2" t="inlineStr">
        <is>
          <t xml:space="preserve">PMBOK</t>
        </is>
      </c>
      <c r="E35" s="2" t="inlineStr">
        <is>
          <t xml:space="preserve">Escopo</t>
        </is>
      </c>
    </row>
    <row r="36">
      <c r="A36" s="3" t="inlineStr">
        <is>
          <t xml:space="preserve">EVM</t>
        </is>
      </c>
      <c r="B36" s="3" t="inlineStr">
        <is>
          <t xml:space="preserve">Projetos (PMBOK)</t>
        </is>
      </c>
      <c r="C36" s="3" t="inlineStr">
        <is>
          <t xml:space="preserve">Earned Value Management — técnica que integra escopo, prazo e custo para medir o desempenho do projeto (SPI, CPI).</t>
        </is>
      </c>
      <c r="D36" s="3" t="inlineStr">
        <is>
          <t xml:space="preserve">PMBOK</t>
        </is>
      </c>
      <c r="E36" s="3" t="inlineStr">
        <is>
          <t xml:space="preserve">SPI; CPI; Cronograma</t>
        </is>
      </c>
    </row>
    <row r="37">
      <c r="A37" s="2" t="inlineStr">
        <is>
          <t xml:space="preserve">Fornecedor</t>
        </is>
      </c>
      <c r="B37" s="2" t="inlineStr">
        <is>
          <t xml:space="preserve">SIPOC e Modelagem</t>
        </is>
      </c>
      <c r="C37" s="2" t="inlineStr">
        <is>
          <t xml:space="preserve">Pessoa, área ou sistema que fornece insumos (entradas) ao processo.</t>
        </is>
      </c>
      <c r="D37" s="2" t="inlineStr">
        <is>
          <t xml:space="preserve">SIPOC</t>
        </is>
      </c>
      <c r="E37" s="2" t="inlineStr">
        <is>
          <t xml:space="preserve">SIPOC</t>
        </is>
      </c>
    </row>
    <row r="38">
      <c r="A38" s="3" t="inlineStr">
        <is>
          <t xml:space="preserve">Fluxograma</t>
        </is>
      </c>
      <c r="B38" s="3" t="inlineStr">
        <is>
          <t xml:space="preserve">SIPOC e Modelagem</t>
        </is>
      </c>
      <c r="C38" s="3" t="inlineStr">
        <is>
          <t xml:space="preserve">Representação gráfica sequencial das etapas de um processo, usando símbolos padronizados para atividade, decisão, início e fim.</t>
        </is>
      </c>
      <c r="D38" s="3" t="inlineStr">
        <is>
          <t xml:space="preserve">ASME / ISO</t>
        </is>
      </c>
      <c r="E38" s="3" t="inlineStr">
        <is>
          <t xml:space="preserve">BPMN</t>
        </is>
      </c>
    </row>
    <row r="39">
      <c r="A39" s="2" t="inlineStr">
        <is>
          <t xml:space="preserve">Gateway</t>
        </is>
      </c>
      <c r="B39" s="2" t="inlineStr">
        <is>
          <t xml:space="preserve">BPM (CBOK)</t>
        </is>
      </c>
      <c r="C39" s="2" t="inlineStr">
        <is>
          <t xml:space="preserve">Elemento BPMN que controla a divergência ou convergência do fluxo: decisão exclusiva, paralela ou inclusiva.</t>
        </is>
      </c>
      <c r="D39" s="2" t="inlineStr">
        <is>
          <t xml:space="preserve">BPMN</t>
        </is>
      </c>
      <c r="E39" s="2" t="inlineStr">
        <is>
          <t xml:space="preserve">BPMN</t>
        </is>
      </c>
    </row>
    <row r="40">
      <c r="A40" s="3" t="inlineStr">
        <is>
          <t xml:space="preserve">Gargalo</t>
        </is>
      </c>
      <c r="B40" s="3" t="inlineStr">
        <is>
          <t xml:space="preserve">BPM (CBOK)</t>
        </is>
      </c>
      <c r="C40" s="3" t="inlineStr">
        <is>
          <t xml:space="preserve">Ponto do processo onde a capacidade é menor que a demanda, restringindo a vazão de todo o fluxo. Identificado por filas, atrasos e acúmulo de trabalho.</t>
        </is>
      </c>
      <c r="D40" s="3" t="inlineStr">
        <is>
          <t xml:space="preserve">Teoria das Restrições</t>
        </is>
      </c>
      <c r="E40" s="3" t="inlineStr">
        <is>
          <t xml:space="preserve">Análise de Processos</t>
        </is>
      </c>
    </row>
    <row r="41">
      <c r="A41" s="2" t="inlineStr">
        <is>
          <t xml:space="preserve">Governança de Processos</t>
        </is>
      </c>
      <c r="B41" s="2" t="inlineStr">
        <is>
          <t xml:space="preserve">BPM (CBOK)</t>
        </is>
      </c>
      <c r="C41" s="2" t="inlineStr">
        <is>
          <t xml:space="preserve">Estrutura de papéis, responsabilidades, políticas e instâncias decisórias que garante que os processos sejam executados, monitorados e melhorados conforme a estratégia.</t>
        </is>
      </c>
      <c r="D41" s="2" t="inlineStr">
        <is>
          <t xml:space="preserve">CBOK 4.0</t>
        </is>
      </c>
      <c r="E41" s="2" t="inlineStr">
        <is>
          <t xml:space="preserve">Dono do Processo</t>
        </is>
      </c>
    </row>
    <row r="42">
      <c r="A42" s="3" t="inlineStr">
        <is>
          <t xml:space="preserve">Gantt</t>
        </is>
      </c>
      <c r="B42" s="3" t="inlineStr">
        <is>
          <t xml:space="preserve">Projetos (PMBOK)</t>
        </is>
      </c>
      <c r="C42" s="3" t="inlineStr">
        <is>
          <t xml:space="preserve">Gráfico de barras horizontais que representa o cronograma do projeto ao longo do tempo, com início, duração e fim de cada atividade.</t>
        </is>
      </c>
      <c r="D42" s="3" t="inlineStr">
        <is>
          <t xml:space="preserve">Henry Gantt</t>
        </is>
      </c>
      <c r="E42" s="3" t="inlineStr">
        <is>
          <t xml:space="preserve">Cronograma</t>
        </is>
      </c>
    </row>
    <row r="43">
      <c r="A43" s="2" t="inlineStr">
        <is>
          <t xml:space="preserve">GPE</t>
        </is>
      </c>
      <c r="B43" s="2" t="inlineStr">
        <is>
          <t xml:space="preserve">Metodologia Codevasf</t>
        </is>
      </c>
      <c r="C43" s="2" t="inlineStr">
        <is>
          <t xml:space="preserve">Gerência de Planejamento Estratégico da Codevasf, à qual a UNP está subordinada.</t>
        </is>
      </c>
      <c r="D43" s="2" t="inlineStr">
        <is>
          <t xml:space="preserve">Codevasf</t>
        </is>
      </c>
      <c r="E43" s="2" t="inlineStr">
        <is>
          <t xml:space="preserve">UNP; AE</t>
        </is>
      </c>
    </row>
    <row r="44">
      <c r="A44" s="3" t="inlineStr">
        <is>
          <t xml:space="preserve">Governança Pública</t>
        </is>
      </c>
      <c r="B44" s="3" t="inlineStr">
        <is>
          <t xml:space="preserve">Governança e Papéis</t>
        </is>
      </c>
      <c r="C44" s="3" t="inlineStr">
        <is>
          <t xml:space="preserve">Conjunto de mecanismos de liderança, estratégia e controle postos em prática para avaliar, direcionar e monitorar a gestão pública.</t>
        </is>
      </c>
      <c r="D44" s="3" t="inlineStr">
        <is>
          <t xml:space="preserve">Decreto 9.203/2017</t>
        </is>
      </c>
      <c r="E44" s="3" t="inlineStr">
        <is>
          <t xml:space="preserve">Accountability; Governança de Processos</t>
        </is>
      </c>
    </row>
    <row r="45">
      <c r="A45" s="2" t="inlineStr">
        <is>
          <t xml:space="preserve">Handoff</t>
        </is>
      </c>
      <c r="B45" s="2" t="inlineStr">
        <is>
          <t xml:space="preserve">BPM (CBOK)</t>
        </is>
      </c>
      <c r="C45" s="2" t="inlineStr">
        <is>
          <t xml:space="preserve">Transferência de responsabilidade entre áreas, sistemas ou pessoas no fluxo do processo. Cada handoff é ponto crítico de falha e atraso.</t>
        </is>
      </c>
      <c r="D45" s="2" t="inlineStr">
        <is>
          <t xml:space="preserve">CBOK 4.0</t>
        </is>
      </c>
      <c r="E45" s="2" t="inlineStr">
        <is>
          <t xml:space="preserve">Processo Ponta a Ponta</t>
        </is>
      </c>
    </row>
    <row r="46">
      <c r="A46" s="3" t="inlineStr">
        <is>
          <t xml:space="preserve">Indicador</t>
        </is>
      </c>
      <c r="B46" s="3" t="inlineStr">
        <is>
          <t xml:space="preserve">Indicadores e Riscos</t>
        </is>
      </c>
      <c r="C46" s="3" t="inlineStr">
        <is>
          <t xml:space="preserve">Medida quantitativa ou qualitativa que reflete o desempenho de um processo, atividade ou objetivo. Deve ter fórmula, fonte, meta, periodicidade e responsável.</t>
        </is>
      </c>
      <c r="D46" s="3" t="inlineStr">
        <is>
          <t xml:space="preserve">CBOK 4.0</t>
        </is>
      </c>
      <c r="E46" s="3" t="inlineStr">
        <is>
          <t xml:space="preserve">KPI; Meta; Linha de Base (Indicador)</t>
        </is>
      </c>
    </row>
    <row r="47">
      <c r="A47" s="2" t="inlineStr">
        <is>
          <t xml:space="preserve">Impacto</t>
        </is>
      </c>
      <c r="B47" s="2" t="inlineStr">
        <is>
          <t xml:space="preserve">Indicadores e Riscos</t>
        </is>
      </c>
      <c r="C47" s="2" t="inlineStr">
        <is>
          <t xml:space="preserve">Magnitude das consequências de um evento de risco caso ele se concretize, normalmente avaliado em escala.</t>
        </is>
      </c>
      <c r="D47" s="2" t="inlineStr">
        <is>
          <t xml:space="preserve">ISO 31000</t>
        </is>
      </c>
      <c r="E47" s="2" t="inlineStr">
        <is>
          <t xml:space="preserve">Risco; Probabilidade</t>
        </is>
      </c>
    </row>
    <row r="48">
      <c r="A48" s="3" t="inlineStr">
        <is>
          <t xml:space="preserve">Interlocutor de Processos</t>
        </is>
      </c>
      <c r="B48" s="3" t="inlineStr">
        <is>
          <t xml:space="preserve">Metodologia Codevasf</t>
        </is>
      </c>
      <c r="C48" s="3" t="inlineStr">
        <is>
          <t xml:space="preserve">Empregado indicado pela unidade gestora para representar a área no projeto de mapeamento: facilita reuniões, valida modelos e mobiliza especialistas.</t>
        </is>
      </c>
      <c r="D48" s="3" t="inlineStr">
        <is>
          <t xml:space="preserve">Metodologia Codevasf</t>
        </is>
      </c>
      <c r="E48" s="3" t="inlineStr">
        <is>
          <t xml:space="preserve">Dono do Processo; UNP</t>
        </is>
      </c>
    </row>
    <row r="49">
      <c r="A49" s="2" t="inlineStr">
        <is>
          <t xml:space="preserve">Kaizen</t>
        </is>
      </c>
      <c r="B49" s="2" t="inlineStr">
        <is>
          <t xml:space="preserve">BPM (CBOK)</t>
        </is>
      </c>
      <c r="C49" s="2" t="inlineStr">
        <is>
          <t xml:space="preserve">Filosofia japonesa de melhoria contínua que promove pequenas mudanças incrementais com participação de toda a equipe.</t>
        </is>
      </c>
      <c r="D49" s="2" t="inlineStr">
        <is>
          <t xml:space="preserve">Lean</t>
        </is>
      </c>
      <c r="E49" s="2" t="inlineStr">
        <is>
          <t xml:space="preserve">PDCA; Melhoria Contínua</t>
        </is>
      </c>
    </row>
    <row r="50">
      <c r="A50" s="3" t="inlineStr">
        <is>
          <t xml:space="preserve">KPI</t>
        </is>
      </c>
      <c r="B50" s="3" t="inlineStr">
        <is>
          <t xml:space="preserve">Indicadores e Riscos</t>
        </is>
      </c>
      <c r="C50" s="3" t="inlineStr">
        <is>
          <t xml:space="preserve">Key Performance Indicator — indicador-chave de desempenho. Métrica quantificável usada para avaliar o sucesso de um processo, projeto ou objetivo estratégico.</t>
        </is>
      </c>
      <c r="D50" s="3" t="inlineStr">
        <is>
          <t xml:space="preserve">BSC / CBOK</t>
        </is>
      </c>
      <c r="E50" s="3" t="inlineStr">
        <is>
          <t xml:space="preserve">Indicador; Meta; SLA</t>
        </is>
      </c>
    </row>
    <row r="51">
      <c r="A51" s="2" t="inlineStr">
        <is>
          <t xml:space="preserve">Kanban</t>
        </is>
      </c>
      <c r="B51" s="2" t="inlineStr">
        <is>
          <t xml:space="preserve">Projetos (PMBOK)</t>
        </is>
      </c>
      <c r="C51" s="2" t="inlineStr">
        <is>
          <t xml:space="preserve">Método visual de gestão do fluxo de trabalho, com cartões e colunas (To Do, Doing, Done) e limites de WIP.</t>
        </is>
      </c>
      <c r="D51" s="2" t="inlineStr">
        <is>
          <t xml:space="preserve">Toyota / Kanban Method</t>
        </is>
      </c>
      <c r="E51" s="2" t="inlineStr">
        <is>
          <t xml:space="preserve">Agile; WIP</t>
        </is>
      </c>
    </row>
    <row r="52">
      <c r="A52" s="3" t="inlineStr">
        <is>
          <t xml:space="preserve">Lean</t>
        </is>
      </c>
      <c r="B52" s="3" t="inlineStr">
        <is>
          <t xml:space="preserve">BPM (CBOK)</t>
        </is>
      </c>
      <c r="C52" s="3" t="inlineStr">
        <is>
          <t xml:space="preserve">Conjunto de práticas focadas na eliminação de desperdícios (muda) e maximização de valor para o cliente, oriundas do Sistema Toyota de Produção.</t>
        </is>
      </c>
      <c r="D52" s="3" t="inlineStr">
        <is>
          <t xml:space="preserve">Toyota / Lean</t>
        </is>
      </c>
      <c r="E52" s="3" t="inlineStr">
        <is>
          <t xml:space="preserve">Valor Agregado; Desperdício (Muda)</t>
        </is>
      </c>
    </row>
    <row r="53">
      <c r="A53" s="2" t="inlineStr">
        <is>
          <t xml:space="preserve">Linha de Base (Projeto)</t>
        </is>
      </c>
      <c r="B53" s="2" t="inlineStr">
        <is>
          <t xml:space="preserve">Projetos (PMBOK)</t>
        </is>
      </c>
      <c r="C53" s="2" t="inlineStr">
        <is>
          <t xml:space="preserve">Versão aprovada do escopo, prazo ou custo, usada como referência para comparação com o desempenho real.</t>
        </is>
      </c>
      <c r="D53" s="2" t="inlineStr">
        <is>
          <t xml:space="preserve">PMBOK</t>
        </is>
      </c>
      <c r="E53" s="2" t="inlineStr">
        <is>
          <t xml:space="preserve">Baseline; Escopo; Cronograma</t>
        </is>
      </c>
    </row>
    <row r="54">
      <c r="A54" s="3" t="inlineStr">
        <is>
          <t xml:space="preserve">Lições Aprendidas</t>
        </is>
      </c>
      <c r="B54" s="3" t="inlineStr">
        <is>
          <t xml:space="preserve">Projetos (PMBOK)</t>
        </is>
      </c>
      <c r="C54" s="3" t="inlineStr">
        <is>
          <t xml:space="preserve">Conhecimento adquirido durante o projeto, registrado para uso em projetos futuros. Inclui o que deu certo, o que deu errado e recomendações.</t>
        </is>
      </c>
      <c r="D54" s="3" t="inlineStr">
        <is>
          <t xml:space="preserve">PMBOK</t>
        </is>
      </c>
    </row>
    <row r="55">
      <c r="A55" s="2" t="inlineStr">
        <is>
          <t xml:space="preserve">LGPD</t>
        </is>
      </c>
      <c r="B55" s="2" t="inlineStr">
        <is>
          <t xml:space="preserve">Governança e Papéis</t>
        </is>
      </c>
      <c r="C55" s="2" t="inlineStr">
        <is>
          <t xml:space="preserve">Lei Geral de Proteção de Dados Pessoais (Lei 13.709/2018) — disciplina o tratamento de dados pessoais por pessoas físicas e jurídicas, públicas e privadas.</t>
        </is>
      </c>
      <c r="D55" s="2" t="inlineStr">
        <is>
          <t xml:space="preserve">Lei 13.709/2018</t>
        </is>
      </c>
      <c r="E55" s="2" t="inlineStr">
        <is>
          <t xml:space="preserve">Controle Interno</t>
        </is>
      </c>
    </row>
    <row r="56">
      <c r="A56" s="3" t="inlineStr">
        <is>
          <t xml:space="preserve">Macroprocesso</t>
        </is>
      </c>
      <c r="B56" s="3" t="inlineStr">
        <is>
          <t xml:space="preserve">BPM (CBOK)</t>
        </is>
      </c>
      <c r="C56" s="3" t="inlineStr">
        <is>
          <t xml:space="preserve">Agrupamento dos grandes processos de uma organização que atravessam várias áreas e contribuem de forma estratégica para a cadeia de valor. Na Codevasf, são classificados em gerenciais, finalísticos e de suporte.</t>
        </is>
      </c>
      <c r="D56" s="3" t="inlineStr">
        <is>
          <t xml:space="preserve">CBOK 4.0 / Codevasf</t>
        </is>
      </c>
      <c r="E56" s="3" t="inlineStr">
        <is>
          <t xml:space="preserve">Cadeia de Valor; Processo de Negócio; Subprocesso</t>
        </is>
      </c>
    </row>
    <row r="57">
      <c r="A57" s="2" t="inlineStr">
        <is>
          <t xml:space="preserve">Modelagem de Processos</t>
        </is>
      </c>
      <c r="B57" s="2" t="inlineStr">
        <is>
          <t xml:space="preserve">BPM (CBOK)</t>
        </is>
      </c>
      <c r="C57" s="2" t="inlineStr">
        <is>
          <t xml:space="preserve">Representação gráfica e textual de um processo, mostrando atividades, papéis, fluxos, decisões e eventos. Geralmente utiliza notação BPMN.</t>
        </is>
      </c>
      <c r="D57" s="2" t="inlineStr">
        <is>
          <t xml:space="preserve">CBOK 4.0</t>
        </is>
      </c>
      <c r="E57" s="2" t="inlineStr">
        <is>
          <t xml:space="preserve">BPMN; AS-IS; TO-BE; SIPOC</t>
        </is>
      </c>
    </row>
    <row r="58">
      <c r="A58" s="3" t="inlineStr">
        <is>
          <t xml:space="preserve">Melhoria Contínua</t>
        </is>
      </c>
      <c r="B58" s="3" t="inlineStr">
        <is>
          <t xml:space="preserve">BPM (CBOK)</t>
        </is>
      </c>
      <c r="C58" s="3" t="inlineStr">
        <is>
          <t xml:space="preserve">Esforço sistemático e incremental para aperfeiçoar processos, fundamentado em ciclos PDCA e Kaizen.</t>
        </is>
      </c>
      <c r="D58" s="3" t="inlineStr">
        <is>
          <t xml:space="preserve">Deming / CBOK 4.0</t>
        </is>
      </c>
      <c r="E58" s="3" t="inlineStr">
        <is>
          <t xml:space="preserve">PDCA; Kaizen; Ciclo de Vida BPM</t>
        </is>
      </c>
    </row>
    <row r="59">
      <c r="A59" s="2" t="inlineStr">
        <is>
          <t xml:space="preserve">Maturidade em Processos</t>
        </is>
      </c>
      <c r="B59" s="2" t="inlineStr">
        <is>
          <t xml:space="preserve">BPM (CBOK)</t>
        </is>
      </c>
      <c r="C59" s="2" t="inlineStr">
        <is>
          <t xml:space="preserve">Grau de evolução da gestão por processos em uma organização, geralmente medido em 5 níveis (inicial, gerenciado, definido, mensurado, otimizado).</t>
        </is>
      </c>
      <c r="D59" s="2" t="inlineStr">
        <is>
          <t xml:space="preserve">CMMI / BPM-MM</t>
        </is>
      </c>
      <c r="E59" s="2" t="inlineStr">
        <is>
          <t xml:space="preserve">BPM; Governança de Processos</t>
        </is>
      </c>
    </row>
    <row r="60">
      <c r="A60" s="3" t="inlineStr">
        <is>
          <t xml:space="preserve">Meta</t>
        </is>
      </c>
      <c r="B60" s="3" t="inlineStr">
        <is>
          <t xml:space="preserve">Indicadores e Riscos</t>
        </is>
      </c>
      <c r="C60" s="3" t="inlineStr">
        <is>
          <t xml:space="preserve">Valor numérico que se deseja alcançar para um indicador em um prazo determinado, geralmente desafiador e mensurável.</t>
        </is>
      </c>
      <c r="D60" s="3" t="inlineStr">
        <is>
          <t xml:space="preserve">BSC</t>
        </is>
      </c>
      <c r="E60" s="3" t="inlineStr">
        <is>
          <t xml:space="preserve">Indicador; KPI</t>
        </is>
      </c>
    </row>
    <row r="61">
      <c r="A61" s="2" t="inlineStr">
        <is>
          <t xml:space="preserve">Matriz de Risco</t>
        </is>
      </c>
      <c r="B61" s="2" t="inlineStr">
        <is>
          <t xml:space="preserve">Indicadores e Riscos</t>
        </is>
      </c>
      <c r="C61" s="2" t="inlineStr">
        <is>
          <t xml:space="preserve">Ferramenta que cruza probabilidade e impacto para classificar e priorizar riscos (baixo, moderado, alto, extremo).</t>
        </is>
      </c>
      <c r="D61" s="2" t="inlineStr">
        <is>
          <t xml:space="preserve">ISO 31000</t>
        </is>
      </c>
      <c r="E61" s="2" t="inlineStr">
        <is>
          <t xml:space="preserve">Risco; Probabilidade; Impacto</t>
        </is>
      </c>
    </row>
    <row r="62">
      <c r="A62" s="3" t="inlineStr">
        <is>
          <t xml:space="preserve">Mitigação</t>
        </is>
      </c>
      <c r="B62" s="3" t="inlineStr">
        <is>
          <t xml:space="preserve">Indicadores e Riscos</t>
        </is>
      </c>
      <c r="C62" s="3" t="inlineStr">
        <is>
          <t xml:space="preserve">Ação para reduzir a probabilidade ou o impacto de um risco, ou para tratar suas consequências.</t>
        </is>
      </c>
      <c r="D62" s="3" t="inlineStr">
        <is>
          <t xml:space="preserve">PMBOK</t>
        </is>
      </c>
      <c r="E62" s="3" t="inlineStr">
        <is>
          <t xml:space="preserve">Risco; Plano de Mitigação</t>
        </is>
      </c>
    </row>
    <row r="63">
      <c r="A63" s="2" t="inlineStr">
        <is>
          <t xml:space="preserve">Marco</t>
        </is>
      </c>
      <c r="B63" s="2" t="inlineStr">
        <is>
          <t xml:space="preserve">Projetos (PMBOK)</t>
        </is>
      </c>
      <c r="C63" s="2" t="inlineStr">
        <is>
          <t xml:space="preserve">Ponto significativo no cronograma, normalmente a conclusão de uma entrega importante. Não consome tempo.</t>
        </is>
      </c>
      <c r="D63" s="2" t="inlineStr">
        <is>
          <t xml:space="preserve">PMBOK</t>
        </is>
      </c>
      <c r="E63" s="2" t="inlineStr">
        <is>
          <t xml:space="preserve">Cronograma; Entrega</t>
        </is>
      </c>
    </row>
    <row r="64">
      <c r="A64" s="3" t="inlineStr">
        <is>
          <t xml:space="preserve">Matriz RACI</t>
        </is>
      </c>
      <c r="B64" s="3" t="inlineStr">
        <is>
          <t xml:space="preserve">Projetos (PMBOK)</t>
        </is>
      </c>
      <c r="C64" s="3" t="inlineStr">
        <is>
          <t xml:space="preserve">Matriz de responsabilidades que define quem é Responsável (executa), Accountable (responde), Consultado e Informado em cada atividade.</t>
        </is>
      </c>
      <c r="D64" s="3" t="inlineStr">
        <is>
          <t xml:space="preserve">PMBOK</t>
        </is>
      </c>
      <c r="E64" s="3" t="inlineStr">
        <is>
          <t xml:space="preserve">Stakeholder; Dono do Processo</t>
        </is>
      </c>
    </row>
    <row r="65">
      <c r="A65" s="2" t="inlineStr">
        <is>
          <t xml:space="preserve">Mapeamento de Processos (Codevasf)</t>
        </is>
      </c>
      <c r="B65" s="2" t="inlineStr">
        <is>
          <t xml:space="preserve">Metodologia Codevasf</t>
        </is>
      </c>
      <c r="C65" s="2" t="inlineStr">
        <is>
          <t xml:space="preserve">Trabalho conduzido pela UNP em parceria com as unidades gestoras para documentar processos em formato padronizado (SIPOC, BPMN, indicadores e riscos), conforme a RES 031/2025.</t>
        </is>
      </c>
      <c r="D65" s="2" t="inlineStr">
        <is>
          <t xml:space="preserve">RES 031/2025</t>
        </is>
      </c>
      <c r="E65" s="2" t="inlineStr">
        <is>
          <t xml:space="preserve">SIPOC; BPMN; Metodologia Codevasf</t>
        </is>
      </c>
    </row>
    <row r="66">
      <c r="A66" s="3" t="inlineStr">
        <is>
          <t xml:space="preserve">Metodologia Codevasf</t>
        </is>
      </c>
      <c r="B66" s="3" t="inlineStr">
        <is>
          <t xml:space="preserve">Metodologia Codevasf</t>
        </is>
      </c>
      <c r="C66" s="3" t="inlineStr">
        <is>
          <t xml:space="preserve">Conjunto de etapas, artefatos e padrões definidos na Metodologia e no Guia de Gerenciamento de Processos (RES 031/2025) para conduzir o mapeamento e a melhoria dos processos.</t>
        </is>
      </c>
      <c r="D66" s="3" t="inlineStr">
        <is>
          <t xml:space="preserve">RES 031/2025</t>
        </is>
      </c>
      <c r="E66" s="3" t="inlineStr">
        <is>
          <t xml:space="preserve">Mapeamento de Processos (Codevasf); UNP</t>
        </is>
      </c>
    </row>
    <row r="67">
      <c r="A67" s="2" t="inlineStr">
        <is>
          <t xml:space="preserve">Notação</t>
        </is>
      </c>
      <c r="B67" s="2" t="inlineStr">
        <is>
          <t xml:space="preserve">SIPOC e Modelagem</t>
        </is>
      </c>
      <c r="C67" s="2" t="inlineStr">
        <is>
          <t xml:space="preserve">Conjunto padronizado de símbolos para representar processos. BPMN é a mais usada em BPM.</t>
        </is>
      </c>
      <c r="D67" s="2" t="inlineStr">
        <is>
          <t xml:space="preserve">CBOK</t>
        </is>
      </c>
      <c r="E67" s="2" t="inlineStr">
        <is>
          <t xml:space="preserve">BPMN; Fluxograma</t>
        </is>
      </c>
    </row>
    <row r="68">
      <c r="A68" s="3" t="inlineStr">
        <is>
          <t xml:space="preserve">Processo de Negócio</t>
        </is>
      </c>
      <c r="B68" s="3" t="inlineStr">
        <is>
          <t xml:space="preserve">BPM (CBOK)</t>
        </is>
      </c>
      <c r="C68" s="3" t="inlineStr">
        <is>
          <t xml:space="preserve">Conjunto definido de atividades, executadas por pessoas ou sistemas, que entrega um resultado de valor a um cliente interno ou externo. Tem início, fim, entradas, saídas e mensuração claros.</t>
        </is>
      </c>
      <c r="D68" s="3" t="inlineStr">
        <is>
          <t xml:space="preserve">CBOK 4.0</t>
        </is>
      </c>
      <c r="E68" s="3" t="inlineStr">
        <is>
          <t xml:space="preserve">Macroprocesso; Subprocesso; Atividade; Tarefa</t>
        </is>
      </c>
    </row>
    <row r="69">
      <c r="A69" s="2" t="inlineStr">
        <is>
          <t xml:space="preserve">Pool</t>
        </is>
      </c>
      <c r="B69" s="2" t="inlineStr">
        <is>
          <t xml:space="preserve">BPM (CBOK)</t>
        </is>
      </c>
      <c r="C69" s="2" t="inlineStr">
        <is>
          <t xml:space="preserve">Contêiner BPMN que representa um participante (organização, sistema ou área) e agrupa raias.</t>
        </is>
      </c>
      <c r="D69" s="2" t="inlineStr">
        <is>
          <t xml:space="preserve">BPMN</t>
        </is>
      </c>
      <c r="E69" s="2" t="inlineStr">
        <is>
          <t xml:space="preserve">BPMN; Raia (Swimlane)</t>
        </is>
      </c>
    </row>
    <row r="70">
      <c r="A70" s="3" t="inlineStr">
        <is>
          <t xml:space="preserve">PDCA</t>
        </is>
      </c>
      <c r="B70" s="3" t="inlineStr">
        <is>
          <t xml:space="preserve">BPM (CBOK)</t>
        </is>
      </c>
      <c r="C70" s="3" t="inlineStr">
        <is>
          <t xml:space="preserve">Plan-Do-Check-Act — ciclo de melhoria contínua atribuído a Deming/Shewhart: planejar, executar, verificar e agir corretivamente.</t>
        </is>
      </c>
      <c r="D70" s="3" t="inlineStr">
        <is>
          <t xml:space="preserve">Deming</t>
        </is>
      </c>
      <c r="E70" s="3" t="inlineStr">
        <is>
          <t xml:space="preserve">Melhoria Contínua; Kaizen</t>
        </is>
      </c>
    </row>
    <row r="71">
      <c r="A71" s="2" t="inlineStr">
        <is>
          <t xml:space="preserve">Processo de Trabalho</t>
        </is>
      </c>
      <c r="B71" s="2" t="inlineStr">
        <is>
          <t xml:space="preserve">Metodologia Codevasf</t>
        </is>
      </c>
      <c r="C71" s="2" t="inlineStr">
        <is>
          <t xml:space="preserve">Expressão usual na administração pública brasileira para o conjunto de atividades executadas por uma unidade. Não é um nível da hierarquia do CBOK 4.0, que adota processo de negócio → subprocesso → atividade → tarefa — nomenclatura seguida por este painel.</t>
        </is>
      </c>
      <c r="D71" s="2" t="inlineStr">
        <is>
          <t xml:space="preserve">Adm. Pública / CBOK 4.0</t>
        </is>
      </c>
      <c r="E71" s="2" t="inlineStr">
        <is>
          <t xml:space="preserve">Processo de Negócio; Subprocesso; Atividade; Tarefa</t>
        </is>
      </c>
    </row>
    <row r="72">
      <c r="A72" s="3" t="inlineStr">
        <is>
          <t xml:space="preserve">Processo Ponta a Ponta</t>
        </is>
      </c>
      <c r="B72" s="3" t="inlineStr">
        <is>
          <t xml:space="preserve">BPM (CBOK)</t>
        </is>
      </c>
      <c r="C72" s="3" t="inlineStr">
        <is>
          <t xml:space="preserve">Visão completa do processo, do primeiro evento desencadeador até a entrega final ao cliente, atravessando todas as áreas envolvidas.</t>
        </is>
      </c>
      <c r="D72" s="3" t="inlineStr">
        <is>
          <t xml:space="preserve">CBOK 4.0</t>
        </is>
      </c>
      <c r="E72" s="3" t="inlineStr">
        <is>
          <t xml:space="preserve">Processo de Negócio; Handoff</t>
        </is>
      </c>
    </row>
    <row r="73">
      <c r="A73" s="2" t="inlineStr">
        <is>
          <t xml:space="preserve">Probabilidade</t>
        </is>
      </c>
      <c r="B73" s="2" t="inlineStr">
        <is>
          <t xml:space="preserve">Indicadores e Riscos</t>
        </is>
      </c>
      <c r="C73" s="2" t="inlineStr">
        <is>
          <t xml:space="preserve">Estimativa da chance de ocorrência de um evento de risco, geralmente em escala (muito baixa, baixa, média, alta, muito alta).</t>
        </is>
      </c>
      <c r="D73" s="2" t="inlineStr">
        <is>
          <t xml:space="preserve">ISO 31000</t>
        </is>
      </c>
      <c r="E73" s="2" t="inlineStr">
        <is>
          <t xml:space="preserve">Risco; Impacto</t>
        </is>
      </c>
    </row>
    <row r="74">
      <c r="A74" s="3" t="inlineStr">
        <is>
          <t xml:space="preserve">Plano de Mitigação</t>
        </is>
      </c>
      <c r="B74" s="3" t="inlineStr">
        <is>
          <t xml:space="preserve">Indicadores e Riscos</t>
        </is>
      </c>
      <c r="C74" s="3" t="inlineStr">
        <is>
          <t xml:space="preserve">Conjunto estruturado de ações, prazos e responsáveis para tratar um risco específico.</t>
        </is>
      </c>
      <c r="D74" s="3" t="inlineStr">
        <is>
          <t xml:space="preserve">PMBOK</t>
        </is>
      </c>
      <c r="E74" s="3" t="inlineStr">
        <is>
          <t xml:space="preserve">Mitigação; Risco</t>
        </is>
      </c>
    </row>
    <row r="75">
      <c r="A75" s="2" t="inlineStr">
        <is>
          <t xml:space="preserve">PMBOK</t>
        </is>
      </c>
      <c r="B75" s="2" t="inlineStr">
        <is>
          <t xml:space="preserve">Projetos (PMBOK)</t>
        </is>
      </c>
      <c r="C75" s="2" t="inlineStr">
        <is>
          <t xml:space="preserve">Project Management Body of Knowledge — guia do PMI que consolida boas práticas, princípios e domínios de desempenho em gerenciamento de projetos.</t>
        </is>
      </c>
      <c r="D75" s="2" t="inlineStr">
        <is>
          <t xml:space="preserve">PMI</t>
        </is>
      </c>
      <c r="E75" s="2" t="inlineStr">
        <is>
          <t xml:space="preserve">PMI; Projeto</t>
        </is>
      </c>
    </row>
    <row r="76">
      <c r="A76" s="3" t="inlineStr">
        <is>
          <t xml:space="preserve">PMI</t>
        </is>
      </c>
      <c r="B76" s="3" t="inlineStr">
        <is>
          <t xml:space="preserve">Projetos (PMBOK)</t>
        </is>
      </c>
      <c r="C76" s="3" t="inlineStr">
        <is>
          <t xml:space="preserve">Project Management Institute — instituto internacional que mantém o PMBOK e certificações como PMP.</t>
        </is>
      </c>
      <c r="D76" s="3" t="inlineStr">
        <is>
          <t xml:space="preserve">PMI</t>
        </is>
      </c>
      <c r="E76" s="3" t="inlineStr">
        <is>
          <t xml:space="preserve">PMBOK</t>
        </is>
      </c>
    </row>
    <row r="77">
      <c r="A77" s="2" t="inlineStr">
        <is>
          <t xml:space="preserve">Projeto</t>
        </is>
      </c>
      <c r="B77" s="2" t="inlineStr">
        <is>
          <t xml:space="preserve">Projetos (PMBOK)</t>
        </is>
      </c>
      <c r="C77" s="2" t="inlineStr">
        <is>
          <t xml:space="preserve">Esforço temporário empreendido para criar um produto, serviço ou resultado único. Tem início e fim definidos.</t>
        </is>
      </c>
      <c r="D77" s="2" t="inlineStr">
        <is>
          <t xml:space="preserve">PMBOK</t>
        </is>
      </c>
      <c r="E77" s="2" t="inlineStr">
        <is>
          <t xml:space="preserve">Programa; Portfólio; Entrega</t>
        </is>
      </c>
    </row>
    <row r="78">
      <c r="A78" s="3" t="inlineStr">
        <is>
          <t xml:space="preserve">Programa</t>
        </is>
      </c>
      <c r="B78" s="3" t="inlineStr">
        <is>
          <t xml:space="preserve">Projetos (PMBOK)</t>
        </is>
      </c>
      <c r="C78" s="3" t="inlineStr">
        <is>
          <t xml:space="preserve">Conjunto de projetos relacionados, gerenciados de forma coordenada para obter benefícios que não seriam alcançados se gerenciados individualmente.</t>
        </is>
      </c>
      <c r="D78" s="3" t="inlineStr">
        <is>
          <t xml:space="preserve">PMBOK</t>
        </is>
      </c>
      <c r="E78" s="3" t="inlineStr">
        <is>
          <t xml:space="preserve">Projeto; Portfólio</t>
        </is>
      </c>
    </row>
    <row r="79">
      <c r="A79" s="2" t="inlineStr">
        <is>
          <t xml:space="preserve">Portfólio</t>
        </is>
      </c>
      <c r="B79" s="2" t="inlineStr">
        <is>
          <t xml:space="preserve">Projetos (PMBOK)</t>
        </is>
      </c>
      <c r="C79" s="2" t="inlineStr">
        <is>
          <t xml:space="preserve">Conjunto de projetos, programas e operações gerenciados em grupo para atingir objetivos estratégicos.</t>
        </is>
      </c>
      <c r="D79" s="2" t="inlineStr">
        <is>
          <t xml:space="preserve">PMBOK</t>
        </is>
      </c>
      <c r="E79" s="2" t="inlineStr">
        <is>
          <t xml:space="preserve">Projeto; Programa</t>
        </is>
      </c>
    </row>
    <row r="80">
      <c r="A80" s="3" t="inlineStr">
        <is>
          <t xml:space="preserve">Pacote de Trabalho</t>
        </is>
      </c>
      <c r="B80" s="3" t="inlineStr">
        <is>
          <t xml:space="preserve">Projetos (PMBOK)</t>
        </is>
      </c>
      <c r="C80" s="3" t="inlineStr">
        <is>
          <t xml:space="preserve">Componente de menor nível da EAP, para o qual se pode estimar custo, prazo e responsável.</t>
        </is>
      </c>
      <c r="D80" s="3" t="inlineStr">
        <is>
          <t xml:space="preserve">PMBOK</t>
        </is>
      </c>
      <c r="E80" s="3" t="inlineStr">
        <is>
          <t xml:space="preserve">EAP; Escopo</t>
        </is>
      </c>
    </row>
    <row r="81">
      <c r="A81" s="2" t="inlineStr">
        <is>
          <t xml:space="preserve">Plano de Ações AE/GPE</t>
        </is>
      </c>
      <c r="B81" s="2" t="inlineStr">
        <is>
          <t xml:space="preserve">Metodologia Codevasf</t>
        </is>
      </c>
      <c r="C81" s="2" t="inlineStr">
        <is>
          <t xml:space="preserve">Plano de Ações 2026 conduzido pela AE/GPE/UNP para estruturar o escritório de processos, mapear processos prioritários e implantar a governança.</t>
        </is>
      </c>
      <c r="D81" s="2" t="inlineStr">
        <is>
          <t xml:space="preserve">Codevasf 2026</t>
        </is>
      </c>
      <c r="E81" s="2" t="inlineStr">
        <is>
          <t xml:space="preserve">UNP; GPE; AE</t>
        </is>
      </c>
    </row>
    <row r="82">
      <c r="A82" s="3" t="inlineStr">
        <is>
          <t xml:space="preserve">Raia (Swimlane)</t>
        </is>
      </c>
      <c r="B82" s="3" t="inlineStr">
        <is>
          <t xml:space="preserve">BPM (CBOK)</t>
        </is>
      </c>
      <c r="C82" s="3" t="inlineStr">
        <is>
          <t xml:space="preserve">Faixa horizontal ou vertical no diagrama BPMN que indica o papel, área ou sistema responsável pelas atividades nela contidas.</t>
        </is>
      </c>
      <c r="D82" s="3" t="inlineStr">
        <is>
          <t xml:space="preserve">BPMN</t>
        </is>
      </c>
      <c r="E82" s="3" t="inlineStr">
        <is>
          <t xml:space="preserve">BPMN; Pool</t>
        </is>
      </c>
    </row>
    <row r="83">
      <c r="A83" s="2" t="inlineStr">
        <is>
          <t xml:space="preserve">Reengenharia</t>
        </is>
      </c>
      <c r="B83" s="2" t="inlineStr">
        <is>
          <t xml:space="preserve">BPM (CBOK)</t>
        </is>
      </c>
      <c r="C83" s="2" t="inlineStr">
        <is>
          <t xml:space="preserve">Repensar e redesenhar radicalmente processos para obter ganhos expressivos em custo, qualidade, serviço e velocidade. Diferente da melhoria contínua incremental.</t>
        </is>
      </c>
      <c r="D83" s="2" t="inlineStr">
        <is>
          <t xml:space="preserve">Hammer &amp; Champy</t>
        </is>
      </c>
      <c r="E83" s="2" t="inlineStr">
        <is>
          <t xml:space="preserve">TO-BE; Melhoria Contínua</t>
        </is>
      </c>
    </row>
    <row r="84">
      <c r="A84" s="3" t="inlineStr">
        <is>
          <t xml:space="preserve">Risco</t>
        </is>
      </c>
      <c r="B84" s="3" t="inlineStr">
        <is>
          <t xml:space="preserve">Indicadores e Riscos</t>
        </is>
      </c>
      <c r="C84" s="3" t="inlineStr">
        <is>
          <t xml:space="preserve">Efeito da incerteza sobre os objetivos. Pode ser ameaça (negativo) ou oportunidade (positivo). Tem causa, evento e consequência.</t>
        </is>
      </c>
      <c r="D84" s="3" t="inlineStr">
        <is>
          <t xml:space="preserve">ISO 31000 / PMBOK</t>
        </is>
      </c>
      <c r="E84" s="3" t="inlineStr">
        <is>
          <t xml:space="preserve">Probabilidade; Impacto; Mitigação</t>
        </is>
      </c>
    </row>
    <row r="85">
      <c r="A85" s="2" t="inlineStr">
        <is>
          <t xml:space="preserve">Subprocesso</t>
        </is>
      </c>
      <c r="B85" s="2" t="inlineStr">
        <is>
          <t xml:space="preserve">BPM (CBOK)</t>
        </is>
      </c>
      <c r="C85" s="2" t="inlineStr">
        <is>
          <t xml:space="preserve">Recorte de um processo, com objetivo específico, que pode ser detalhado em atividades e tarefas. Permite gerenciar partes complexas do processo separadamente.</t>
        </is>
      </c>
      <c r="D85" s="2" t="inlineStr">
        <is>
          <t xml:space="preserve">CBOK 4.0</t>
        </is>
      </c>
      <c r="E85" s="2" t="inlineStr">
        <is>
          <t xml:space="preserve">Processo de Negócio; Atividade</t>
        </is>
      </c>
    </row>
    <row r="86">
      <c r="A86" s="3" t="inlineStr">
        <is>
          <t xml:space="preserve">SIPOC</t>
        </is>
      </c>
      <c r="B86" s="3" t="inlineStr">
        <is>
          <t xml:space="preserve">SIPOC e Modelagem</t>
        </is>
      </c>
      <c r="C86" s="3" t="inlineStr">
        <is>
          <t xml:space="preserve">Ferramenta visual que descreve um processo em alto nível por meio de cinco elementos: Fornecedores, Entradas, Processo, Saídas e Beneficiários.</t>
        </is>
      </c>
      <c r="D86" s="3" t="inlineStr">
        <is>
          <t xml:space="preserve">Six Sigma / CBOK</t>
        </is>
      </c>
      <c r="E86" s="3" t="inlineStr">
        <is>
          <t xml:space="preserve">Fornecedor; Entrada; Saída</t>
        </is>
      </c>
    </row>
    <row r="87">
      <c r="A87" s="2" t="inlineStr">
        <is>
          <t xml:space="preserve">Saída</t>
        </is>
      </c>
      <c r="B87" s="2" t="inlineStr">
        <is>
          <t xml:space="preserve">SIPOC e Modelagem</t>
        </is>
      </c>
      <c r="C87" s="2" t="inlineStr">
        <is>
          <t xml:space="preserve">Produto, serviço, informação ou decisão gerada pelo processo e entregue a um cliente.</t>
        </is>
      </c>
      <c r="D87" s="2" t="inlineStr">
        <is>
          <t xml:space="preserve">SIPOC</t>
        </is>
      </c>
      <c r="E87" s="2" t="inlineStr">
        <is>
          <t xml:space="preserve">SIPOC</t>
        </is>
      </c>
    </row>
    <row r="88">
      <c r="A88" s="3" t="inlineStr">
        <is>
          <t xml:space="preserve">SLA</t>
        </is>
      </c>
      <c r="B88" s="3" t="inlineStr">
        <is>
          <t xml:space="preserve">Indicadores e Riscos</t>
        </is>
      </c>
      <c r="C88" s="3" t="inlineStr">
        <is>
          <t xml:space="preserve">Service Level Agreement — acordo formal entre prestador e cliente que define níveis de serviço, prazos, qualidade e penalidades.</t>
        </is>
      </c>
      <c r="D88" s="3" t="inlineStr">
        <is>
          <t xml:space="preserve">ITIL</t>
        </is>
      </c>
      <c r="E88" s="3" t="inlineStr">
        <is>
          <t xml:space="preserve">KPI; Indicador</t>
        </is>
      </c>
    </row>
    <row r="89">
      <c r="A89" s="2" t="inlineStr">
        <is>
          <t xml:space="preserve">Stakeholder</t>
        </is>
      </c>
      <c r="B89" s="2" t="inlineStr">
        <is>
          <t xml:space="preserve">Projetos (PMBOK)</t>
        </is>
      </c>
      <c r="C89" s="2" t="inlineStr">
        <is>
          <t xml:space="preserve">Parte interessada — pessoa, grupo ou organização que afeta ou é afetada pelo projeto.</t>
        </is>
      </c>
      <c r="D89" s="2" t="inlineStr">
        <is>
          <t xml:space="preserve">PMBOK</t>
        </is>
      </c>
      <c r="E89" s="2" t="inlineStr">
        <is>
          <t xml:space="preserve">Matriz RACI</t>
        </is>
      </c>
    </row>
    <row r="90">
      <c r="A90" s="3" t="inlineStr">
        <is>
          <t xml:space="preserve">Scrum</t>
        </is>
      </c>
      <c r="B90" s="3" t="inlineStr">
        <is>
          <t xml:space="preserve">Projetos (PMBOK)</t>
        </is>
      </c>
      <c r="C90" s="3" t="inlineStr">
        <is>
          <t xml:space="preserve">Framework ágil baseado em sprints curtas, papéis definidos (Product Owner, Scrum Master, Time) e cerimônias (planning, daily, review, retro).</t>
        </is>
      </c>
      <c r="D90" s="3" t="inlineStr">
        <is>
          <t xml:space="preserve">Schwaber &amp; Sutherland</t>
        </is>
      </c>
      <c r="E90" s="3" t="inlineStr">
        <is>
          <t xml:space="preserve">Agile; Sprint</t>
        </is>
      </c>
    </row>
    <row r="91">
      <c r="A91" s="2" t="inlineStr">
        <is>
          <t xml:space="preserve">Sprint</t>
        </is>
      </c>
      <c r="B91" s="2" t="inlineStr">
        <is>
          <t xml:space="preserve">Projetos (PMBOK)</t>
        </is>
      </c>
      <c r="C91" s="2" t="inlineStr">
        <is>
          <t xml:space="preserve">Iteração de duração fixa (geralmente 1 a 4 semanas) em Scrum, ao final da qual se entrega um incremento potencialmente utilizável.</t>
        </is>
      </c>
      <c r="D91" s="2" t="inlineStr">
        <is>
          <t xml:space="preserve">Scrum</t>
        </is>
      </c>
      <c r="E91" s="2" t="inlineStr">
        <is>
          <t xml:space="preserve">Scrum; Agile</t>
        </is>
      </c>
    </row>
    <row r="92">
      <c r="A92" s="3" t="inlineStr">
        <is>
          <t xml:space="preserve">SPI</t>
        </is>
      </c>
      <c r="B92" s="3" t="inlineStr">
        <is>
          <t xml:space="preserve">Projetos (PMBOK)</t>
        </is>
      </c>
      <c r="C92" s="3" t="inlineStr">
        <is>
          <t xml:space="preserve">Schedule Performance Index — índice de desempenho de prazo do projeto. SPI &lt; 1 indica atraso.</t>
        </is>
      </c>
      <c r="D92" s="3" t="inlineStr">
        <is>
          <t xml:space="preserve">EVM</t>
        </is>
      </c>
      <c r="E92" s="3" t="inlineStr">
        <is>
          <t xml:space="preserve">EVM; CPI</t>
        </is>
      </c>
    </row>
    <row r="93">
      <c r="A93" s="2" t="inlineStr">
        <is>
          <t xml:space="preserve">Status de Mapeamento</t>
        </is>
      </c>
      <c r="B93" s="2" t="inlineStr">
        <is>
          <t xml:space="preserve">Metodologia Codevasf</t>
        </is>
      </c>
      <c r="C93" s="2" t="inlineStr">
        <is>
          <t xml:space="preserve">Indicador do estágio em que se encontra o mapeamento de um processo: Não iniciado, Em andamento, Concluído ou Suspenso.</t>
        </is>
      </c>
      <c r="D93" s="2" t="inlineStr">
        <is>
          <t xml:space="preserve">Codevasf</t>
        </is>
      </c>
      <c r="E93" s="2" t="inlineStr">
        <is>
          <t xml:space="preserve">Semáforo do Processo</t>
        </is>
      </c>
    </row>
    <row r="94">
      <c r="A94" s="3" t="inlineStr">
        <is>
          <t xml:space="preserve">Semáforo do Processo</t>
        </is>
      </c>
      <c r="B94" s="3" t="inlineStr">
        <is>
          <t xml:space="preserve">Metodologia Codevasf</t>
        </is>
      </c>
      <c r="C94" s="3" t="inlineStr">
        <is>
          <t xml:space="preserve">Sinal visual (verde, amarelo, vermelho) que combina prazo e percentual de execução do mapeamento.</t>
        </is>
      </c>
      <c r="D94" s="3" t="inlineStr">
        <is>
          <t xml:space="preserve">Codevasf</t>
        </is>
      </c>
      <c r="E94" s="3" t="inlineStr">
        <is>
          <t xml:space="preserve">Status de Mapeamento</t>
        </is>
      </c>
    </row>
    <row r="95">
      <c r="A95" s="2" t="inlineStr">
        <is>
          <t xml:space="preserve">Tarefa</t>
        </is>
      </c>
      <c r="B95" s="2" t="inlineStr">
        <is>
          <t xml:space="preserve">BPM (CBOK)</t>
        </is>
      </c>
      <c r="C95" s="2" t="inlineStr">
        <is>
          <t xml:space="preserve">Menor unidade de trabalho identificada em uma atividade. Pode ser manual, automatizada ou de regra de negócio.</t>
        </is>
      </c>
      <c r="D95" s="2" t="inlineStr">
        <is>
          <t xml:space="preserve">CBOK 4.0</t>
        </is>
      </c>
      <c r="E95" s="2" t="inlineStr">
        <is>
          <t xml:space="preserve">Atividade</t>
        </is>
      </c>
    </row>
    <row r="96">
      <c r="A96" s="3" t="inlineStr">
        <is>
          <t xml:space="preserve">TO-BE</t>
        </is>
      </c>
      <c r="B96" s="3" t="inlineStr">
        <is>
          <t xml:space="preserve">BPM (CBOK)</t>
        </is>
      </c>
      <c r="C96" s="3" t="inlineStr">
        <is>
          <t xml:space="preserve">Modelo do processo no estado futuro desejado, após análise e proposta de melhorias. Serve de referência para a implementação.</t>
        </is>
      </c>
      <c r="D96" s="3" t="inlineStr">
        <is>
          <t xml:space="preserve">CBOK 4.0</t>
        </is>
      </c>
      <c r="E96" s="3" t="inlineStr">
        <is>
          <t xml:space="preserve">AS-IS; Melhoria Contínua</t>
        </is>
      </c>
    </row>
    <row r="97">
      <c r="A97" s="2" t="inlineStr">
        <is>
          <t xml:space="preserve">UNP</t>
        </is>
      </c>
      <c r="B97" s="2" t="inlineStr">
        <is>
          <t xml:space="preserve">Metodologia Codevasf</t>
        </is>
      </c>
      <c r="C97" s="2" t="inlineStr">
        <is>
          <t xml:space="preserve">Unidade de Gestão Normativa e de Processos da Codevasf — vinculada à GPE/AE. Responsável por conduzir a metodologia de mapeamento e a governança dos processos da Empresa.</t>
        </is>
      </c>
      <c r="D97" s="2" t="inlineStr">
        <is>
          <t xml:space="preserve">RES 031/2025</t>
        </is>
      </c>
      <c r="E97" s="2" t="inlineStr">
        <is>
          <t xml:space="preserve">GPE; AE</t>
        </is>
      </c>
    </row>
    <row r="98">
      <c r="A98" s="3" t="inlineStr">
        <is>
          <t xml:space="preserve">Unidade Gestora</t>
        </is>
      </c>
      <c r="B98" s="3" t="inlineStr">
        <is>
          <t xml:space="preserve">Metodologia Codevasf</t>
        </is>
      </c>
      <c r="C98" s="3" t="inlineStr">
        <is>
          <t xml:space="preserve">Área da Codevasf responsável pelo processo, por seus resultados e pela manutenção da documentação atualizada.</t>
        </is>
      </c>
      <c r="D98" s="3" t="inlineStr">
        <is>
          <t xml:space="preserve">Metodologia Codevasf</t>
        </is>
      </c>
      <c r="E98" s="3" t="inlineStr">
        <is>
          <t xml:space="preserve">Dono do Processo</t>
        </is>
      </c>
    </row>
    <row r="99">
      <c r="A99" s="2" t="inlineStr">
        <is>
          <t xml:space="preserve">Valor Agregado</t>
        </is>
      </c>
      <c r="B99" s="2" t="inlineStr">
        <is>
          <t xml:space="preserve">BPM (CBOK)</t>
        </is>
      </c>
      <c r="C99" s="2" t="inlineStr">
        <is>
          <t xml:space="preserve">Atributo de uma atividade que transforma a entrada de forma percebida como valiosa pelo cliente. Atividades sem valor agregado devem ser eliminadas ou reduzidas.</t>
        </is>
      </c>
      <c r="D99" s="2" t="inlineStr">
        <is>
          <t xml:space="preserve">Lean / CBOK</t>
        </is>
      </c>
      <c r="E99" s="2" t="inlineStr">
        <is>
          <t xml:space="preserve">Análise de Processos</t>
        </is>
      </c>
    </row>
    <row r="100">
      <c r="A100" s="3" t="inlineStr">
        <is>
          <t xml:space="preserve">WIP</t>
        </is>
      </c>
      <c r="B100" s="3" t="inlineStr">
        <is>
          <t xml:space="preserve">Projetos (PMBOK)</t>
        </is>
      </c>
      <c r="C100" s="3" t="inlineStr">
        <is>
          <t xml:space="preserve">Work in Progress — quantidade de trabalho em andamento. Limitar o WIP reduz multitarefa e acelera entregas.</t>
        </is>
      </c>
      <c r="D100" s="3" t="inlineStr">
        <is>
          <t xml:space="preserve">Kanban / Lean</t>
        </is>
      </c>
      <c r="E100" s="3" t="inlineStr">
        <is>
          <t xml:space="preserve">Kanban; Lean</t>
        </is>
      </c>
    </row>
  </sheetData>
  <autoFilter ref="A1:E1"/>
  <dataValidations count="1"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B2:B300">
      <formula1>Listas!$S$2:$S$7</formula1>
    </dataValidation>
  </dataValidation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155BCB"/>
  </sheetPr>
  <sheetViews>
    <sheetView zoomScale="90" workbookViewId="0">
      <pane xSplit="2" ySplit="1" topLeftCell="C2" activePane="bottomRight" state="frozen"/>
    </sheetView>
  </sheetViews>
  <sheetFormatPr defaultRowHeight="15"/>
  <cols>
    <col min="1" max="1" width="7" customWidth="1"/>
    <col min="2" max="2" width="26" customWidth="1"/>
    <col min="3" max="3" width="50" customWidth="1"/>
    <col min="4" max="4" width="90" customWidth="1"/>
  </cols>
  <sheetData>
    <row r="1" ht="30" customHeight="1">
      <c r="A1" s="1" t="inlineStr">
        <is>
          <t xml:space="preserve">Ordem</t>
        </is>
      </c>
      <c r="B1" s="1" t="inlineStr">
        <is>
          <t xml:space="preserve">Categoria</t>
        </is>
      </c>
      <c r="C1" s="1" t="inlineStr">
        <is>
          <t xml:space="preserve">Pergunta</t>
        </is>
      </c>
      <c r="D1" s="1" t="inlineStr">
        <is>
          <t xml:space="preserve">Resposta</t>
        </is>
      </c>
    </row>
    <row r="2">
      <c r="A2" s="3" t="inlineStr">
        <is>
          <t xml:space="preserve">1</t>
        </is>
      </c>
      <c r="B2" s="3" t="inlineStr">
        <is>
          <t xml:space="preserve">Conceitos básicos</t>
        </is>
      </c>
      <c r="C2" s="3" t="inlineStr">
        <is>
          <t xml:space="preserve">O que é Gestão de Processos (BPM)?</t>
        </is>
      </c>
      <c r="D2" s="3" t="inlineStr">
        <is>
          <t xml:space="preserve">Business Process Management é uma disciplina gerencial integrada que combina técnicas, métodos e ferramentas para identificar, modelar, executar, monitorar e melhorar continuamente os processos de negócio, alinhando-os à estratégia e à entrega de valor (CBOK 4.0).</t>
        </is>
      </c>
    </row>
    <row r="3">
      <c r="A3" s="2" t="inlineStr">
        <is>
          <t xml:space="preserve">2</t>
        </is>
      </c>
      <c r="B3" s="2" t="inlineStr">
        <is>
          <t xml:space="preserve">Conceitos básicos</t>
        </is>
      </c>
      <c r="C3" s="2" t="inlineStr">
        <is>
          <t xml:space="preserve">Qual a diferença entre Gestão DE Processos e Gestão POR Processos?</t>
        </is>
      </c>
      <c r="D3" s="2" t="inlineStr">
        <is>
          <t xml:space="preserve">Gestão DE processos é o trabalho de melhorar processos individualmente: mapear, analisar, redesenhar e medir cada um. Gestão POR processos é o modelo de gestão da organização orientado a processos ponta a ponta — com donos, indicadores e decisões estruturadas pelos fluxos de valor, e não pelos silos funcionais. Este painel evidencia os dois: o repositório de processos (DE) e a cadeia de valor com governança (POR).</t>
        </is>
      </c>
    </row>
    <row r="4">
      <c r="A4" s="3" t="inlineStr">
        <is>
          <t xml:space="preserve">3</t>
        </is>
      </c>
      <c r="B4" s="3" t="inlineStr">
        <is>
          <t xml:space="preserve">Conceitos básicos</t>
        </is>
      </c>
      <c r="C4" s="3" t="inlineStr">
        <is>
          <t xml:space="preserve">Qual a diferença entre macroprocesso, processo, subprocesso, atividade e tarefa?</t>
        </is>
      </c>
      <c r="D4" s="3" t="inlineStr">
        <is>
          <t xml:space="preserve">São os níveis da arquitetura de processos (CBOK 4.0): o macroprocesso agrupa grandes conjuntos de processos da cadeia de valor; o processo entrega um resultado a um cliente interno ou externo; o subprocesso é um recorte gerenciável do processo; a atividade é o nível operacional modelado em BPMN; e a tarefa é a menor unidade de trabalho dentro de uma atividade.</t>
        </is>
      </c>
    </row>
    <row r="5">
      <c r="A5" s="2" t="inlineStr">
        <is>
          <t xml:space="preserve">4</t>
        </is>
      </c>
      <c r="B5" s="2" t="inlineStr">
        <is>
          <t xml:space="preserve">Conceitos básicos</t>
        </is>
      </c>
      <c r="C5" s="2" t="inlineStr">
        <is>
          <t xml:space="preserve">O que é um processo finalístico, gerencial e de suporte?</t>
        </is>
      </c>
      <c r="D5" s="2" t="inlineStr">
        <is>
          <t xml:space="preserve">Finalísticos (ou primários) entregam valor diretamente ao beneficiário — na Codevasf, irrigação, revitalização e desenvolvimento territorial. De suporte habilitam os demais (licitações, pessoas, TI). Gerenciais medem, controlam e direcionam a organização (estratégia, riscos e governança).</t>
        </is>
      </c>
    </row>
    <row r="6">
      <c r="A6" s="3" t="inlineStr">
        <is>
          <t xml:space="preserve">5</t>
        </is>
      </c>
      <c r="B6" s="3" t="inlineStr">
        <is>
          <t xml:space="preserve">Modelagem e SIPOC</t>
        </is>
      </c>
      <c r="C6" s="3" t="inlineStr">
        <is>
          <t xml:space="preserve">O que é SIPOC e como ler a ficha de um processo?</t>
        </is>
      </c>
      <c r="D6" s="3" t="inlineStr">
        <is>
          <t xml:space="preserve">SIPOC é a visão de alto nível do processo em cinco colunas: Fornecedores, Entradas, Processo, Saídas e Beneficiários. Na ficha de cada processo deste painel, o SIPOC aparece logo após os dados gerais, seguido dos marcos M1–M10, indicadores, riscos e documentos vinculados.</t>
        </is>
      </c>
    </row>
    <row r="7">
      <c r="A7" s="2" t="inlineStr">
        <is>
          <t xml:space="preserve">6</t>
        </is>
      </c>
      <c r="B7" s="2" t="inlineStr">
        <is>
          <t xml:space="preserve">Modelagem e SIPOC</t>
        </is>
      </c>
      <c r="C7" s="2" t="inlineStr">
        <is>
          <t xml:space="preserve">O que é AS-IS e TO-BE?</t>
        </is>
      </c>
      <c r="D7" s="2" t="inlineStr">
        <is>
          <t xml:space="preserve">AS-IS é o retrato do processo como ele é executado hoje, usado para diagnóstico. TO-BE é o desenho do processo futuro, após a análise de melhorias. Os dois modelos são validados formalmente com o dono do processo antes da publicação (marcos M5 e M8).</t>
        </is>
      </c>
    </row>
    <row r="8">
      <c r="A8" s="3" t="inlineStr">
        <is>
          <t xml:space="preserve">7</t>
        </is>
      </c>
      <c r="B8" s="3" t="inlineStr">
        <is>
          <t xml:space="preserve">Modelagem e SIPOC</t>
        </is>
      </c>
      <c r="C8" s="3" t="inlineStr">
        <is>
          <t xml:space="preserve">Que notação a Codevasf usa para modelar processos?</t>
        </is>
      </c>
      <c r="D8" s="3" t="inlineStr">
        <is>
          <t xml:space="preserve">BPMN 2.0, modelada preferencialmente no Bizagi Modeler, conforme o Guia de Gerenciamento de Processos (RES 031/2025). Os diagramas publicados aparecem na ficha de cada macroprocesso, processo e subprocesso.</t>
        </is>
      </c>
    </row>
    <row r="9">
      <c r="A9" s="2" t="inlineStr">
        <is>
          <t xml:space="preserve">8</t>
        </is>
      </c>
      <c r="B9" s="2" t="inlineStr">
        <is>
          <t xml:space="preserve">Modelagem e SIPOC</t>
        </is>
      </c>
      <c r="C9" s="2" t="inlineStr">
        <is>
          <t xml:space="preserve">Como propor uma mudança em um processo já mapeado?</t>
        </is>
      </c>
      <c r="D9" s="2" t="inlineStr">
        <is>
          <t xml:space="preserve">Use o botão flutuante “Sugerir melhoria de processo” (que abre um e-mail para a UNP) ou procure o dono do processo indicado na ficha. Propostas aceitas abrem um novo ciclo de análise e redesenho, registrado no processo e-Codevasf/e-Codevasf correspondente.</t>
        </is>
      </c>
    </row>
    <row r="10">
      <c r="A10" s="3" t="inlineStr">
        <is>
          <t xml:space="preserve">9</t>
        </is>
      </c>
      <c r="B10" s="3" t="inlineStr">
        <is>
          <t xml:space="preserve">Cadeia de Valor e governança</t>
        </is>
      </c>
      <c r="C10" s="3" t="inlineStr">
        <is>
          <t xml:space="preserve">O que é a Cadeia de Valor Integrada da Codevasf?</t>
        </is>
      </c>
      <c r="D10" s="3" t="inlineStr">
        <is>
          <t xml:space="preserve">É a representação dos macroprocessos da Companhia organizados por contribuição ao valor público: gerenciais no direcionamento, finalísticos na entrega à sociedade e de suporte na sustentação — emoldurados pela missão, visão, propósito e valores. Ela é a porta de entrada de navegação deste painel.</t>
        </is>
      </c>
    </row>
    <row r="11">
      <c r="A11" s="2" t="inlineStr">
        <is>
          <t xml:space="preserve">10</t>
        </is>
      </c>
      <c r="B11" s="2" t="inlineStr">
        <is>
          <t xml:space="preserve">Cadeia de Valor e governança</t>
        </is>
      </c>
      <c r="C11" s="2" t="inlineStr">
        <is>
          <t xml:space="preserve">Quem é o dono do processo?</t>
        </is>
      </c>
      <c r="D11" s="2" t="inlineStr">
        <is>
          <t xml:space="preserve">É a pessoa formalmente responsável pelo desempenho, pela integridade e pela melhoria contínua do processo de ponta a ponta, independentemente da hierarquia (CBOK 4.0). O dono está identificado na ficha de cada processo.</t>
        </is>
      </c>
    </row>
    <row r="12">
      <c r="A12" s="3" t="inlineStr">
        <is>
          <t xml:space="preserve">11</t>
        </is>
      </c>
      <c r="B12" s="3" t="inlineStr">
        <is>
          <t xml:space="preserve">Cadeia de Valor e governança</t>
        </is>
      </c>
      <c r="C12" s="3" t="inlineStr">
        <is>
          <t xml:space="preserve">Qual o papel da UNP, da GPE e da AE?</t>
        </is>
      </c>
      <c r="D12" s="3" t="inlineStr">
        <is>
          <t xml:space="preserve">A UNP é o escritório de processos: conduz a metodologia, mantém o repositório e apoia as áreas. Ela integra a GPE (Gerência de Planejamento Estratégico), que por sua vez se vincula à AE (Área de Estratégia e Finanças), instância superior de governança.</t>
        </is>
      </c>
    </row>
    <row r="13">
      <c r="A13" s="2" t="inlineStr">
        <is>
          <t xml:space="preserve">12</t>
        </is>
      </c>
      <c r="B13" s="2" t="inlineStr">
        <is>
          <t xml:space="preserve">Cadeia de Valor e governança</t>
        </is>
      </c>
      <c r="C13" s="2" t="inlineStr">
        <is>
          <t xml:space="preserve">Quem aprova as mudanças nos processos?</t>
        </is>
      </c>
      <c r="D13" s="2" t="inlineStr">
        <is>
          <t xml:space="preserve">O dono do processo valida os modelos (AS-IS e TO-BE) e as instâncias de governança definidas na RES 031/2025 aprovam a publicação, com apoio metodológico da UNP. Mudanças que alteram normativos seguem também o fluxo do Sistema Normativo.</t>
        </is>
      </c>
    </row>
    <row r="14">
      <c r="A14" s="3" t="inlineStr">
        <is>
          <t xml:space="preserve">13</t>
        </is>
      </c>
      <c r="B14" s="3" t="inlineStr">
        <is>
          <t xml:space="preserve">Indicadores, metas e riscos</t>
        </is>
      </c>
      <c r="C14" s="3" t="inlineStr">
        <is>
          <t xml:space="preserve">O que é um KPI?</t>
        </is>
      </c>
      <c r="D14" s="3" t="inlineStr">
        <is>
          <t xml:space="preserve">Key Performance Indicator: um indicador-chave de desempenho, com fórmula, fonte, meta, periodicidade e responsável definidos. A aba Indicadores lista os KPIs por nível (macroprocesso, processo, subprocesso) com a situação calculada em relação à meta.</t>
        </is>
      </c>
    </row>
    <row r="15">
      <c r="A15" s="2" t="inlineStr">
        <is>
          <t xml:space="preserve">14</t>
        </is>
      </c>
      <c r="B15" s="2" t="inlineStr">
        <is>
          <t xml:space="preserve">Indicadores, metas e riscos</t>
        </is>
      </c>
      <c r="C15" s="2" t="inlineStr">
        <is>
          <t xml:space="preserve">Qual a diferença entre eficiência, eficácia e efetividade?</t>
        </is>
      </c>
      <c r="D15" s="2" t="inlineStr">
        <is>
          <t xml:space="preserve">Eficiência é fazer certo as coisas (relação produto/recursos); eficácia é fazer as coisas certas (alcançar o resultado pretendido); efetividade é o impacto real e duradouro no público-alvo — a combinação das duas com sustentabilidade.</t>
        </is>
      </c>
    </row>
    <row r="16">
      <c r="A16" s="3" t="inlineStr">
        <is>
          <t xml:space="preserve">15</t>
        </is>
      </c>
      <c r="B16" s="3" t="inlineStr">
        <is>
          <t xml:space="preserve">Indicadores, metas e riscos</t>
        </is>
      </c>
      <c r="C16" s="3" t="inlineStr">
        <is>
          <t xml:space="preserve">Como os riscos são classificados?</t>
        </is>
      </c>
      <c r="D16" s="3" t="inlineStr">
        <is>
          <t xml:space="preserve">Pela matriz 5×5 de probabilidade × impacto: o produto P×I gera o nível — Baixo (até 4), Moderado (5 a 11), Alto (12 a 19) e Extremo (20 a 25). A aba Riscos mostra a matriz com os riscos posicionados e a tabela com resposta, controles e status.</t>
        </is>
      </c>
    </row>
    <row r="17">
      <c r="A17" s="2" t="inlineStr">
        <is>
          <t xml:space="preserve">16</t>
        </is>
      </c>
      <c r="B17" s="2" t="inlineStr">
        <is>
          <t xml:space="preserve">Indicadores, metas e riscos</t>
        </is>
      </c>
      <c r="C17" s="2" t="inlineStr">
        <is>
          <t xml:space="preserve">Onde vejo os riscos do projeto de mapeamento?</t>
        </is>
      </c>
      <c r="D17" s="2" t="inlineStr">
        <is>
          <t xml:space="preserve">Na aba Riscos (visão geral, com matriz e tabela) e na ficha de cada item da hierarquia, que lista os riscos vinculados àquele macroprocesso, processo, subprocesso ou atividade.</t>
        </is>
      </c>
    </row>
    <row r="18">
      <c r="A18" s="3" t="inlineStr">
        <is>
          <t xml:space="preserve">17</t>
        </is>
      </c>
      <c r="B18" s="3" t="inlineStr">
        <is>
          <t xml:space="preserve">Plano de Ações AE/GPE</t>
        </is>
      </c>
      <c r="C18" s="3" t="inlineStr">
        <is>
          <t xml:space="preserve">O que é o Plano de Ações AE/GPE 2026?</t>
        </is>
      </c>
      <c r="D18" s="3" t="inlineStr">
        <is>
          <t xml:space="preserve">É o plano conduzido pela AE/GPE/UNP para estruturar o escritório de processos, mapear os processos prioritários e implantar a governança de processos na Codevasf. Os projetos de mapeamento deste painel derivam dele. (Nesta demonstração, os dados são fictícios.)</t>
        </is>
      </c>
    </row>
    <row r="19">
      <c r="A19" s="2" t="inlineStr">
        <is>
          <t xml:space="preserve">18</t>
        </is>
      </c>
      <c r="B19" s="2" t="inlineStr">
        <is>
          <t xml:space="preserve">Plano de Ações AE/GPE</t>
        </is>
      </c>
      <c r="C19" s="2" t="inlineStr">
        <is>
          <t xml:space="preserve">Quem é a responsável geral pelo plano?</t>
        </is>
      </c>
      <c r="D19" s="2" t="inlineStr">
        <is>
          <t xml:space="preserve">A coordenação do NUGEP — Núcleo de Gestão Normativa e de Processos (ver aba NUGEP), em articulação com a GPE e a AE.</t>
        </is>
      </c>
    </row>
    <row r="20">
      <c r="A20" s="3" t="inlineStr">
        <is>
          <t xml:space="preserve">19</t>
        </is>
      </c>
      <c r="B20" s="3" t="inlineStr">
        <is>
          <t xml:space="preserve">Plano de Ações AE/GPE</t>
        </is>
      </c>
      <c r="C20" s="3" t="inlineStr">
        <is>
          <t xml:space="preserve">Como o avanço das ações é medido?</t>
        </is>
      </c>
      <c r="D20" s="3" t="inlineStr">
        <is>
          <t xml:space="preserve">Pelos marcos M1–M10 de cada mapeamento, pelo percentual de execução e pelos indicadores da aba Indicadores.</t>
        </is>
      </c>
    </row>
    <row r="21">
      <c r="A21" s="2" t="inlineStr">
        <is>
          <t xml:space="preserve">20</t>
        </is>
      </c>
      <c r="B21" s="2" t="inlineStr">
        <is>
          <t xml:space="preserve">Plano de Ações AE/GPE</t>
        </is>
      </c>
      <c r="C21" s="2" t="inlineStr">
        <is>
          <t xml:space="preserve">O painel usa PMBOK ou CBOK?</t>
        </is>
      </c>
      <c r="D21" s="2" t="inlineStr">
        <is>
          <t xml:space="preserve">Os dois, com papéis distintos: o CBOK 4.0 orienta o conteúdo de processos (hierarquia, SIPOC, ciclo de vida BPM, indicadores); o PMBOK orienta a gestão de cada mapeamento como projeto (termo de abertura, escopo, marcos, riscos e lições aprendidas).</t>
        </is>
      </c>
    </row>
    <row r="22">
      <c r="A22" s="3" t="inlineStr">
        <is>
          <t xml:space="preserve">21</t>
        </is>
      </c>
      <c r="B22" s="3" t="inlineStr">
        <is>
          <t xml:space="preserve">Como usar o painel</t>
        </is>
      </c>
      <c r="C22" s="3" t="inlineStr">
        <is>
          <t xml:space="preserve">Como pesquiso um processo?</t>
        </is>
      </c>
      <c r="D22" s="3" t="inlineStr">
        <is>
          <t xml:space="preserve">Use a busca no topo da página (digite e pressione Enter) para pesquisar em processos, documentos, glossário e registros — ou navegue pela aba Processos, filtrando por macroprocesso, status e texto.</t>
        </is>
      </c>
    </row>
    <row r="23">
      <c r="A23" s="2" t="inlineStr">
        <is>
          <t xml:space="preserve">22</t>
        </is>
      </c>
      <c r="B23" s="2" t="inlineStr">
        <is>
          <t xml:space="preserve">Como usar o painel</t>
        </is>
      </c>
      <c r="C23" s="2" t="inlineStr">
        <is>
          <t xml:space="preserve">Como sugerir uma melhoria ou reportar um erro?</t>
        </is>
      </c>
      <c r="D23" s="2" t="inlineStr">
        <is>
          <t xml:space="preserve">Pelo botão flutuante “Sugerir melhoria de processo”, que abre um e-mail para a UNP (ae.gpe.unp@codevasf.gov.br). Indique o código do processo para agilizar a análise.</t>
        </is>
      </c>
    </row>
    <row r="24">
      <c r="A24" s="3" t="inlineStr">
        <is>
          <t xml:space="preserve">23</t>
        </is>
      </c>
      <c r="B24" s="3" t="inlineStr">
        <is>
          <t xml:space="preserve">Como usar o painel</t>
        </is>
      </c>
      <c r="C24" s="3" t="inlineStr">
        <is>
          <t xml:space="preserve">Como o painel é alimentado?</t>
        </is>
      </c>
      <c r="D24" s="3" t="inlineStr">
        <is>
          <t xml:space="preserve">Por uma planilha única (Google Sheets ou o arquivo data/painel-processos-dados.xlsx do repositório): cadeia de valor, fichas, documentos, riscos, indicadores, jornada, repositório, NUGEP, glossário e FAQ vêm todos de lá. Os detalhes estão na aba LEIA-ME da planilha e no README.</t>
        </is>
      </c>
    </row>
    <row r="25">
      <c r="A25" s="2" t="inlineStr">
        <is>
          <t xml:space="preserve">24</t>
        </is>
      </c>
      <c r="B25" s="2" t="inlineStr">
        <is>
          <t xml:space="preserve">Como usar o painel</t>
        </is>
      </c>
      <c r="C25" s="2" t="inlineStr">
        <is>
          <t xml:space="preserve">Onde encontro os modelos, a metodologia e o guia oficiais?</t>
        </is>
      </c>
      <c r="D25" s="2" t="inlineStr">
        <is>
          <t xml:space="preserve">Na aba Repositório: a jornada de mapeamento, a Metodologia e o Guia de Gerenciamento de Processos (RES 031/2025, na intranet/e-Codevasf), os instrumentos por fase do ciclo BPM, os templates e as ferramentas de modelagem.</t>
        </is>
      </c>
    </row>
  </sheetData>
  <autoFilter ref="A1:D1"/>
  <dataValidations count="1">
    <dataValidation type="list" allowBlank="1" showInputMessage="1" showErrorMessage="1" errorStyle="stop" errorTitle="Valor fora da lista" error="Escolha uma das opções da seta ao lado da célula. A lista completa está na aba Listas." promptTitle="Lista de opções" prompt="Clique na seta ao lado da célula e escolha uma das opções." sqref="B2:B300">
      <formula1>Listas!$T$2:$T$7</formula1>
    </dataValidation>
  </dataValidation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88888"/>
  </sheetPr>
  <sheetViews>
    <sheetView zoomScale="90" workbookViewId="0">
      <pane xSplit="0" ySplit="1" topLeftCell="A2" activePane="bottomRight" state="frozen"/>
    </sheetView>
  </sheetViews>
  <sheetFormatPr defaultRowHeight="15"/>
  <cols>
    <col min="1" max="1" width="24" customWidth="1"/>
    <col min="2" max="2" width="90" customWidth="1"/>
  </cols>
  <sheetData>
    <row r="1" ht="30" customHeight="1">
      <c r="A1" s="1" t="inlineStr">
        <is>
          <t xml:space="preserve">Chave</t>
        </is>
      </c>
      <c r="B1" s="1" t="inlineStr">
        <is>
          <t xml:space="preserve">Valor</t>
        </is>
      </c>
    </row>
    <row r="2">
      <c r="A2" s="3" t="inlineStr">
        <is>
          <t xml:space="preserve">Contato_Unidade</t>
        </is>
      </c>
      <c r="B2" s="3" t="inlineStr">
        <is>
          <t xml:space="preserve">Unidade de Gestão Normativa e de Processos (AE/GPE/UNP)</t>
        </is>
      </c>
    </row>
    <row r="3">
      <c r="A3" s="2" t="inlineStr">
        <is>
          <t xml:space="preserve">Contato_Email</t>
        </is>
      </c>
      <c r="B3" s="2" t="inlineStr">
        <is>
          <t xml:space="preserve">ae.gpe.unp@codevasf.gov.br</t>
        </is>
      </c>
    </row>
    <row r="4">
      <c r="A4" s="3" t="inlineStr">
        <is>
          <t xml:space="preserve">Contato_Telefone</t>
        </is>
      </c>
      <c r="B4" s="3" t="inlineStr">
        <is>
          <t xml:space="preserve">(61) 2028-4441</t>
        </is>
      </c>
    </row>
    <row r="5">
      <c r="A5" s="2" t="inlineStr">
        <is>
          <t xml:space="preserve">Link_Metodologia</t>
        </is>
      </c>
      <c r="B5" s="2" t="inlineStr">
        <is>
          <t xml:space="preserve">https://intraplone.codevasf.gov.br/documentos_normativos_referencia/governanca-e-gestao/copy_of_planos/met_gerenciamento-processos_res-031_2025-01-08.pdf</t>
        </is>
      </c>
    </row>
    <row r="6">
      <c r="A6" s="3" t="inlineStr">
        <is>
          <t xml:space="preserve">Link_Guia</t>
        </is>
      </c>
      <c r="B6" s="3" t="inlineStr">
        <is>
          <t xml:space="preserve">https://intraplone.codevasf.gov.br/documentos_normativos_referencia/governanca-e-gestao/copy_of_planos/guia_gerenciamento-processos_res-031_2025-01-08.pdf</t>
        </is>
      </c>
    </row>
    <row r="7">
      <c r="A7" s="3" t="inlineStr">
        <is>
          <t xml:space="preserve">Titulo_Inicio</t>
        </is>
      </c>
      <c r="B7" s="3" t="inlineStr">
        <is>
          <t xml:space="preserve">Mapeamento de processos da Codevasf</t>
        </is>
      </c>
    </row>
    <row r="8">
      <c r="A8" s="2" t="inlineStr">
        <is>
          <t xml:space="preserve">Subtitulo_Inicio</t>
        </is>
      </c>
      <c r="B8" s="2" t="inlineStr">
        <is>
          <t xml:space="preserve">Cadeia de valor, portfólio de processos e repositório de materiais da Companhia, num só lugar.</t>
        </is>
      </c>
    </row>
    <row r="9">
      <c r="A9" s="3" t="inlineStr">
        <is>
          <t xml:space="preserve">Titulo_Repositorio</t>
        </is>
      </c>
      <c r="B9" s="3" t="inlineStr">
        <is>
          <t xml:space="preserve">Repositório de materiais e ferramentas</t>
        </is>
      </c>
    </row>
  </sheetData>
  <autoFilter ref="A1:B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88888"/>
  </sheetPr>
  <sheetViews>
    <sheetView zoomScale="90" workbookViewId="0">
      <pane xSplit="0" ySplit="1" topLeftCell="A2" activePane="bottomRight" state="frozen"/>
    </sheetView>
  </sheetViews>
  <sheetFormatPr defaultRowHeight="15"/>
  <cols>
    <col min="1" max="1" width="26" customWidth="1"/>
    <col min="2" max="2" width="20" customWidth="1"/>
    <col min="3" max="3" width="38" customWidth="1"/>
    <col min="4" max="4" width="13" customWidth="1"/>
    <col min="5" max="5" width="15" customWidth="1"/>
    <col min="6" max="6" width="16" customWidth="1"/>
    <col min="7" max="7" width="16" customWidth="1"/>
    <col min="8" max="8" width="19" customWidth="1"/>
    <col min="9" max="9" width="21" customWidth="1"/>
    <col min="10" max="10" width="21" customWidth="1"/>
    <col min="11" max="11" width="27" customWidth="1"/>
    <col min="12" max="12" width="17" customWidth="1"/>
    <col min="13" max="13" width="16" customWidth="1"/>
    <col min="14" max="14" width="15" customWidth="1"/>
    <col min="15" max="15" width="16" customWidth="1"/>
    <col min="16" max="16" width="15" customWidth="1"/>
    <col min="17" max="17" width="24" customWidth="1"/>
    <col min="18" max="18" width="19" customWidth="1"/>
    <col min="19" max="19" width="23" customWidth="1"/>
    <col min="20" max="20" width="31" customWidth="1"/>
    <col min="21" max="21" width="19" customWidth="1"/>
  </cols>
  <sheetData>
    <row r="1" ht="30" customHeight="1">
      <c r="A1" s="1" t="inlineStr">
        <is>
          <t xml:space="preserve">Categoria_Macroprocesso</t>
        </is>
      </c>
      <c r="B1" s="1" t="inlineStr">
        <is>
          <t xml:space="preserve">Status_Mapeamento</t>
        </is>
      </c>
      <c r="C1" s="1" t="inlineStr">
        <is>
          <t xml:space="preserve">Fase_Ciclo_BPM</t>
        </is>
      </c>
      <c r="D1" s="1" t="inlineStr">
        <is>
          <t xml:space="preserve">Prioridade</t>
        </is>
      </c>
      <c r="E1" s="1" t="inlineStr">
        <is>
          <t xml:space="preserve">Complexidade</t>
        </is>
      </c>
      <c r="F1" s="1" t="inlineStr">
        <is>
          <t xml:space="preserve">Sim_Nao</t>
        </is>
      </c>
      <c r="G1" s="1" t="inlineStr">
        <is>
          <t xml:space="preserve">Nivel_Vinculo</t>
        </is>
      </c>
      <c r="H1" s="1" t="inlineStr">
        <is>
          <t xml:space="preserve">Tipo_Tarefa</t>
        </is>
      </c>
      <c r="I1" s="1" t="inlineStr">
        <is>
          <t xml:space="preserve">Tipo_Documento</t>
        </is>
      </c>
      <c r="J1" s="1" t="inlineStr">
        <is>
          <t xml:space="preserve">Situacao_Documento</t>
        </is>
      </c>
      <c r="K1" s="1" t="inlineStr">
        <is>
          <t xml:space="preserve">Categoria_Risco</t>
        </is>
      </c>
      <c r="L1" s="1" t="inlineStr">
        <is>
          <t xml:space="preserve">Resposta_Risco</t>
        </is>
      </c>
      <c r="M1" s="1" t="inlineStr">
        <is>
          <t xml:space="preserve">Status_Risco</t>
        </is>
      </c>
      <c r="N1" s="1" t="inlineStr">
        <is>
          <t xml:space="preserve">Polaridade</t>
        </is>
      </c>
      <c r="O1" s="1" t="inlineStr">
        <is>
          <t xml:space="preserve">Periodicidade</t>
        </is>
      </c>
      <c r="P1" s="1" t="inlineStr">
        <is>
          <t xml:space="preserve">Fase_Jornada</t>
        </is>
      </c>
      <c r="Q1" s="1" t="inlineStr">
        <is>
          <t xml:space="preserve">Categoria_Repositorio</t>
        </is>
      </c>
      <c r="R1" s="1" t="inlineStr">
        <is>
          <t xml:space="preserve">Fase_Instrumento</t>
        </is>
      </c>
      <c r="S1" s="1" t="inlineStr">
        <is>
          <t xml:space="preserve">Categoria_Glossario</t>
        </is>
      </c>
      <c r="T1" s="1" t="inlineStr">
        <is>
          <t xml:space="preserve">Categoria_FAQ</t>
        </is>
      </c>
      <c r="U1" s="1" t="inlineStr">
        <is>
          <t xml:space="preserve">Hierarquia_NUGEP</t>
        </is>
      </c>
      <c r="V1" s="1" t="inlineStr">
        <is>
          <t>Unidade_Sigla</t>
        </is>
      </c>
      <c r="W1" s="1" t="inlineStr">
        <is>
          <t>Unidade_Nome</t>
        </is>
      </c>
    </row>
    <row r="2">
      <c r="A2" s="3" t="inlineStr">
        <is>
          <t xml:space="preserve">Gerencial</t>
        </is>
      </c>
      <c r="B2" s="3" t="inlineStr">
        <is>
          <t xml:space="preserve">Não iniciado</t>
        </is>
      </c>
      <c r="C2" s="3" t="inlineStr">
        <is>
          <t xml:space="preserve">1. Alinhamento à estratégia e metas</t>
        </is>
      </c>
      <c r="D2" s="3" t="inlineStr">
        <is>
          <t xml:space="preserve">Alta</t>
        </is>
      </c>
      <c r="E2" s="3" t="inlineStr">
        <is>
          <t xml:space="preserve">Alta</t>
        </is>
      </c>
      <c r="F2" s="3" t="inlineStr">
        <is>
          <t xml:space="preserve">Sim</t>
        </is>
      </c>
      <c r="G2" s="3" t="inlineStr">
        <is>
          <t xml:space="preserve">Macroprocesso</t>
        </is>
      </c>
      <c r="H2" s="3" t="inlineStr">
        <is>
          <t xml:space="preserve">Manual</t>
        </is>
      </c>
      <c r="I2" s="3" t="inlineStr">
        <is>
          <t xml:space="preserve">Procedimento (PRO)</t>
        </is>
      </c>
      <c r="J2" s="3" t="inlineStr">
        <is>
          <t xml:space="preserve">Vigente</t>
        </is>
      </c>
      <c r="K2" s="3" t="inlineStr">
        <is>
          <t xml:space="preserve">Operacional</t>
        </is>
      </c>
      <c r="L2" s="3" t="inlineStr">
        <is>
          <t xml:space="preserve">Mitigar</t>
        </is>
      </c>
      <c r="M2" s="3" t="inlineStr">
        <is>
          <t xml:space="preserve">Aberto</t>
        </is>
      </c>
      <c r="N2" s="3" t="inlineStr">
        <is>
          <t xml:space="preserve">Maior melhor</t>
        </is>
      </c>
      <c r="O2" s="3" t="inlineStr">
        <is>
          <t xml:space="preserve">Mensal</t>
        </is>
      </c>
      <c r="P2" s="3" t="inlineStr">
        <is>
          <t xml:space="preserve">Descobrir</t>
        </is>
      </c>
      <c r="Q2" s="3" t="inlineStr">
        <is>
          <t xml:space="preserve">Documento oficial</t>
        </is>
      </c>
      <c r="R2" s="3" t="inlineStr">
        <is>
          <t xml:space="preserve">Planejamento</t>
        </is>
      </c>
      <c r="S2" s="3" t="inlineStr">
        <is>
          <t xml:space="preserve">BPM (CBOK)</t>
        </is>
      </c>
      <c r="T2" s="3" t="inlineStr">
        <is>
          <t xml:space="preserve">Conceitos básicos</t>
        </is>
      </c>
      <c r="U2" s="3" t="inlineStr">
        <is>
          <t xml:space="preserve">1</t>
        </is>
      </c>
      <c r="V2" s="2" t="inlineStr">
        <is>
          <t>AE</t>
        </is>
      </c>
      <c r="W2" s="2" t="inlineStr">
        <is>
          <t>Área de Gestão Estratégica</t>
        </is>
      </c>
    </row>
    <row r="3">
      <c r="A3" s="2" t="inlineStr">
        <is>
          <t xml:space="preserve">Finalístico</t>
        </is>
      </c>
      <c r="B3" s="2" t="inlineStr">
        <is>
          <t xml:space="preserve">Em andamento</t>
        </is>
      </c>
      <c r="C3" s="2" t="inlineStr">
        <is>
          <t xml:space="preserve">2. Arquitetar mudanças</t>
        </is>
      </c>
      <c r="D3" s="2" t="inlineStr">
        <is>
          <t xml:space="preserve">Média</t>
        </is>
      </c>
      <c r="E3" s="2" t="inlineStr">
        <is>
          <t xml:space="preserve">Média</t>
        </is>
      </c>
      <c r="F3" s="2" t="inlineStr">
        <is>
          <t xml:space="preserve">Não</t>
        </is>
      </c>
      <c r="G3" s="2" t="inlineStr">
        <is>
          <t xml:space="preserve">Processo</t>
        </is>
      </c>
      <c r="H3" s="2" t="inlineStr">
        <is>
          <t xml:space="preserve">Automatizada</t>
        </is>
      </c>
      <c r="I3" s="2" t="inlineStr">
        <is>
          <t xml:space="preserve">Manual</t>
        </is>
      </c>
      <c r="J3" s="2" t="inlineStr">
        <is>
          <t xml:space="preserve">Em elaboração</t>
        </is>
      </c>
      <c r="K3" s="2" t="inlineStr">
        <is>
          <t xml:space="preserve">Legal/Conformidade</t>
        </is>
      </c>
      <c r="L3" s="2" t="inlineStr">
        <is>
          <t xml:space="preserve">Aceitar</t>
        </is>
      </c>
      <c r="M3" s="2" t="inlineStr">
        <is>
          <t xml:space="preserve">Em tratamento</t>
        </is>
      </c>
      <c r="N3" s="2" t="inlineStr">
        <is>
          <t xml:space="preserve">Menor melhor</t>
        </is>
      </c>
      <c r="O3" s="2" t="inlineStr">
        <is>
          <t xml:space="preserve">Bimestral</t>
        </is>
      </c>
      <c r="P3" s="2" t="inlineStr">
        <is>
          <t xml:space="preserve">Definir</t>
        </is>
      </c>
      <c r="Q3" s="2" t="inlineStr">
        <is>
          <t xml:space="preserve">Template</t>
        </is>
      </c>
      <c r="R3" s="2" t="inlineStr">
        <is>
          <t xml:space="preserve">Análise</t>
        </is>
      </c>
      <c r="S3" s="2" t="inlineStr">
        <is>
          <t xml:space="preserve">Projetos (PMBOK)</t>
        </is>
      </c>
      <c r="T3" s="2" t="inlineStr">
        <is>
          <t xml:space="preserve">Modelagem e SIPOC</t>
        </is>
      </c>
      <c r="U3" s="2" t="inlineStr">
        <is>
          <t xml:space="preserve">2</t>
        </is>
      </c>
      <c r="V3" s="3" t="inlineStr">
        <is>
          <t>AE/GPE</t>
        </is>
      </c>
      <c r="W3" s="3" t="inlineStr">
        <is>
          <t>Gerência de Planejamento Estratégico</t>
        </is>
      </c>
    </row>
    <row r="4">
      <c r="A4" s="3" t="inlineStr">
        <is>
          <t xml:space="preserve">Suporte</t>
        </is>
      </c>
      <c r="B4" s="3" t="inlineStr">
        <is>
          <t xml:space="preserve">Concluído</t>
        </is>
      </c>
      <c r="C4" s="3" t="inlineStr">
        <is>
          <t xml:space="preserve">3. Desenvolver iniciativas</t>
        </is>
      </c>
      <c r="D4" s="3" t="inlineStr">
        <is>
          <t xml:space="preserve">Baixa</t>
        </is>
      </c>
      <c r="E4" s="3" t="inlineStr">
        <is>
          <t xml:space="preserve">Baixa</t>
        </is>
      </c>
      <c r="F4" s="3" t="inlineStr">
        <is>
          <t xml:space="preserve">Não se aplica</t>
        </is>
      </c>
      <c r="G4" s="3" t="inlineStr">
        <is>
          <t xml:space="preserve">Subprocesso</t>
        </is>
      </c>
      <c r="H4" s="3" t="inlineStr">
        <is>
          <t xml:space="preserve">Regra de negócio</t>
        </is>
      </c>
      <c r="I4" s="3" t="inlineStr">
        <is>
          <t xml:space="preserve">Norma interna</t>
        </is>
      </c>
      <c r="J4" s="3" t="inlineStr">
        <is>
          <t xml:space="preserve">Em revisão</t>
        </is>
      </c>
      <c r="K4" s="3" t="inlineStr">
        <is>
          <t xml:space="preserve">Pessoas</t>
        </is>
      </c>
      <c r="L4" s="3" t="inlineStr">
        <is>
          <t xml:space="preserve">Transferir</t>
        </is>
      </c>
      <c r="M4" s="3" t="inlineStr">
        <is>
          <t xml:space="preserve">Encerrado</t>
        </is>
      </c>
      <c r="O4" s="3" t="inlineStr">
        <is>
          <t xml:space="preserve">Trimestral</t>
        </is>
      </c>
      <c r="P4" s="3" t="inlineStr">
        <is>
          <t xml:space="preserve">Desenvolver</t>
        </is>
      </c>
      <c r="Q4" s="3" t="inlineStr">
        <is>
          <t xml:space="preserve">Instrumento</t>
        </is>
      </c>
      <c r="R4" s="3" t="inlineStr">
        <is>
          <t xml:space="preserve">Desenho</t>
        </is>
      </c>
      <c r="S4" s="3" t="inlineStr">
        <is>
          <t xml:space="preserve">Metodologia Codevasf</t>
        </is>
      </c>
      <c r="T4" s="3" t="inlineStr">
        <is>
          <t xml:space="preserve">Cadeia de Valor e governança</t>
        </is>
      </c>
      <c r="U4" s="3" t="inlineStr">
        <is>
          <t xml:space="preserve">3</t>
        </is>
      </c>
      <c r="V4" s="2" t="inlineStr">
        <is>
          <t>AE/GPE/UNP</t>
        </is>
      </c>
      <c r="W4" s="2" t="inlineStr">
        <is>
          <t>Unidade de Gestão Normativa e de Processos</t>
        </is>
      </c>
    </row>
    <row r="5">
      <c r="B5" s="2" t="inlineStr">
        <is>
          <t xml:space="preserve">Suspenso</t>
        </is>
      </c>
      <c r="C5" s="2" t="inlineStr">
        <is>
          <t xml:space="preserve">4. Implementar mudanças</t>
        </is>
      </c>
      <c r="G5" s="2" t="inlineStr">
        <is>
          <t xml:space="preserve">Atividade</t>
        </is>
      </c>
      <c r="I5" s="2" t="inlineStr">
        <is>
          <t xml:space="preserve">Formulário/Modelo</t>
        </is>
      </c>
      <c r="J5" s="2" t="inlineStr">
        <is>
          <t xml:space="preserve">Revogado</t>
        </is>
      </c>
      <c r="K5" s="2" t="inlineStr">
        <is>
          <t xml:space="preserve">Tecnologia da Informação</t>
        </is>
      </c>
      <c r="L5" s="2" t="inlineStr">
        <is>
          <t xml:space="preserve">Evitar</t>
        </is>
      </c>
      <c r="O5" s="2" t="inlineStr">
        <is>
          <t xml:space="preserve">Semestral</t>
        </is>
      </c>
      <c r="P5" s="2" t="inlineStr">
        <is>
          <t xml:space="preserve">Entregar</t>
        </is>
      </c>
      <c r="Q5" s="2" t="inlineStr">
        <is>
          <t xml:space="preserve">Ferramenta</t>
        </is>
      </c>
      <c r="R5" s="2" t="inlineStr">
        <is>
          <t xml:space="preserve">Implementação</t>
        </is>
      </c>
      <c r="S5" s="2" t="inlineStr">
        <is>
          <t xml:space="preserve">SIPOC e Modelagem</t>
        </is>
      </c>
      <c r="T5" s="2" t="inlineStr">
        <is>
          <t xml:space="preserve">Indicadores, metas e riscos</t>
        </is>
      </c>
      <c r="U5" s="2" t="inlineStr">
        <is>
          <t xml:space="preserve">0</t>
        </is>
      </c>
      <c r="V5" s="3" t="inlineStr">
        <is>
          <t>AE/GAG</t>
        </is>
      </c>
      <c r="W5" s="3" t="inlineStr">
        <is>
          <t>Gerência de Auditoria e Governança</t>
        </is>
      </c>
    </row>
    <row r="6">
      <c r="C6" s="3" t="inlineStr">
        <is>
          <t xml:space="preserve">5. Medir o sucesso</t>
        </is>
      </c>
      <c r="G6" s="3" t="inlineStr">
        <is>
          <t xml:space="preserve">Tarefa</t>
        </is>
      </c>
      <c r="I6" s="3" t="inlineStr">
        <is>
          <t xml:space="preserve">Ata de reunião</t>
        </is>
      </c>
      <c r="K6" s="3" t="inlineStr">
        <is>
          <t xml:space="preserve">Financeiro/Orçamentário</t>
        </is>
      </c>
      <c r="O6" s="3" t="inlineStr">
        <is>
          <t xml:space="preserve">Anual</t>
        </is>
      </c>
      <c r="P6" s="3" t="inlineStr">
        <is>
          <t xml:space="preserve">Evoluir</t>
        </is>
      </c>
      <c r="Q6" s="3" t="inlineStr">
        <is>
          <t xml:space="preserve">Referência</t>
        </is>
      </c>
      <c r="R6" s="3" t="inlineStr">
        <is>
          <t xml:space="preserve">Monitoramento</t>
        </is>
      </c>
      <c r="S6" s="3" t="inlineStr">
        <is>
          <t xml:space="preserve">Indicadores e Riscos</t>
        </is>
      </c>
      <c r="T6" s="3" t="inlineStr">
        <is>
          <t xml:space="preserve">Plano de Ações AE/GPE</t>
        </is>
      </c>
      <c r="V6" s="2" t="inlineStr">
        <is>
          <t>AT/GTI</t>
        </is>
      </c>
      <c r="W6" s="2" t="inlineStr">
        <is>
          <t>Gerência de Tecnologia da Informação</t>
        </is>
      </c>
    </row>
    <row r="7">
      <c r="I7" s="2" t="inlineStr">
        <is>
          <t xml:space="preserve">Diagrama BPMN</t>
        </is>
      </c>
      <c r="K7" s="2" t="inlineStr">
        <is>
          <t xml:space="preserve">Imagem/Reputação</t>
        </is>
      </c>
      <c r="R7" s="2" t="inlineStr">
        <is>
          <t xml:space="preserve">Refinamento</t>
        </is>
      </c>
      <c r="S7" s="2" t="inlineStr">
        <is>
          <t xml:space="preserve">Governança e Papéis</t>
        </is>
      </c>
      <c r="T7" s="2" t="inlineStr">
        <is>
          <t xml:space="preserve">Como usar o painel</t>
        </is>
      </c>
      <c r="V7" s="3" t="inlineStr">
        <is>
          <t>AR/GPR</t>
        </is>
      </c>
      <c r="W7" s="3" t="inlineStr">
        <is>
          <t>Gerência de Projetos de Revitalização</t>
        </is>
      </c>
    </row>
    <row r="8">
      <c r="I8" s="3" t="inlineStr">
        <is>
          <t xml:space="preserve">Checklist</t>
        </is>
      </c>
      <c r="V8" s="2" t="inlineStr">
        <is>
          <t>AR/GRB</t>
        </is>
      </c>
      <c r="W8" s="2" t="inlineStr">
        <is>
          <t>Gerência de Recursos Hídricos</t>
        </is>
      </c>
    </row>
    <row r="9">
      <c r="I9" s="2" t="inlineStr">
        <is>
          <t xml:space="preserve">Relatório</t>
        </is>
      </c>
      <c r="V9" s="3" t="inlineStr">
        <is>
          <t>AR/GDT</t>
        </is>
      </c>
      <c r="W9" s="3" t="inlineStr">
        <is>
          <t>Gerência de Desenvolvimento Territorial</t>
        </is>
      </c>
    </row>
    <row r="10">
      <c r="I10" s="3" t="inlineStr">
        <is>
          <t xml:space="preserve">Plano</t>
        </is>
      </c>
      <c r="V10" s="2" t="inlineStr">
        <is>
          <t>AA/GLC</t>
        </is>
      </c>
      <c r="W10" s="2" t="inlineStr">
        <is>
          <t>Gerência de Licitações e Contratos</t>
        </is>
      </c>
    </row>
    <row r="11">
      <c r="I11" s="2" t="inlineStr">
        <is>
          <t xml:space="preserve">Outro</t>
        </is>
      </c>
      <c r="V11" s="3" t="inlineStr">
        <is>
          <t>AG/GGP</t>
        </is>
      </c>
      <c r="W11" s="3" t="inlineStr">
        <is>
          <t>Gerência de Gestão de Pessoas</t>
        </is>
      </c>
    </row>
    <row r="12">
      <c r="V12" s="2" t="inlineStr">
        <is>
          <t>AI/GOM</t>
        </is>
      </c>
      <c r="W12" s="2" t="inlineStr">
        <is>
          <t>Gerência de Obras e Manutenção</t>
        </is>
      </c>
    </row>
    <row r="13">
      <c r="V13" s="3" t="inlineStr">
        <is>
          <t>PR/ASCOM</t>
        </is>
      </c>
      <c r="W13" s="3" t="inlineStr">
        <is>
          <t>Assessoria de Comunicação</t>
        </is>
      </c>
    </row>
  </sheetData>
  <autoFilter ref="A1:U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155BCB"/>
  </sheetPr>
  <sheetViews>
    <sheetView zoomScale="90" workbookViewId="0">
      <pane ySplit="1" topLeftCell="A2" activePane="bottomLeft" state="frozen"/>
    </sheetView>
  </sheetViews>
  <sheetFormatPr defaultRowHeight="15"/>
  <cols>
    <col min="1" max="1" width="20" customWidth="1"/>
    <col min="2" max="2" width="60" customWidth="1"/>
  </cols>
  <sheetData>
    <row r="1" ht="30" customHeight="1">
      <c r="A1" s="1" t="inlineStr">
        <is>
          <t xml:space="preserve">Sigla</t>
        </is>
      </c>
      <c r="B1" s="1" t="inlineStr">
        <is>
          <t xml:space="preserve">Nome</t>
        </is>
      </c>
    </row>
    <row r="2">
      <c r="A2" s="3" t="inlineStr">
        <is>
          <t xml:space="preserve">10ª/AJ</t>
        </is>
      </c>
      <c r="B2" s="3" t="inlineStr">
        <is>
          <t xml:space="preserve">Assessoria Jurídica Regional</t>
        </is>
      </c>
    </row>
    <row r="3">
      <c r="A3" s="2" t="inlineStr">
        <is>
          <t xml:space="preserve">10ª/Cogex</t>
        </is>
      </c>
      <c r="B3" s="2" t="inlineStr">
        <is>
          <t xml:space="preserve">Comitê de Gestão Executiva da Superintendência Regional</t>
        </is>
      </c>
    </row>
    <row r="4">
      <c r="A4" s="3" t="inlineStr">
        <is>
          <t xml:space="preserve">10ª/EAG</t>
        </is>
      </c>
      <c r="B4" s="3" t="inlineStr">
        <is>
          <t xml:space="preserve">Escritório de Apoio Técnico de Araguaína</t>
        </is>
      </c>
    </row>
    <row r="5">
      <c r="A5" s="2" t="inlineStr">
        <is>
          <t xml:space="preserve">10ª/GB</t>
        </is>
      </c>
      <c r="B5" s="2" t="inlineStr">
        <is>
          <t xml:space="preserve">Gabinete da Superintendência Regional</t>
        </is>
      </c>
    </row>
    <row r="6">
      <c r="A6" s="3" t="inlineStr">
        <is>
          <t xml:space="preserve">10ª/GGR</t>
        </is>
      </c>
      <c r="B6" s="3" t="inlineStr">
        <is>
          <t xml:space="preserve">Gerência de Gestão Regional</t>
        </is>
      </c>
    </row>
    <row r="7">
      <c r="A7" s="2" t="inlineStr">
        <is>
          <t xml:space="preserve">10ª/GTR</t>
        </is>
      </c>
      <c r="B7" s="2" t="inlineStr">
        <is>
          <t xml:space="preserve">Gerência Técnica Regional</t>
        </is>
      </c>
    </row>
    <row r="8">
      <c r="A8" s="3" t="inlineStr">
        <is>
          <t xml:space="preserve">10ª/SL</t>
        </is>
      </c>
      <c r="B8" s="3" t="inlineStr">
        <is>
          <t xml:space="preserve">Secretaria Regional de Licitações</t>
        </is>
      </c>
    </row>
    <row r="9">
      <c r="A9" s="2" t="inlineStr">
        <is>
          <t xml:space="preserve">10ª/SR</t>
        </is>
      </c>
      <c r="B9" s="2" t="inlineStr">
        <is>
          <t xml:space="preserve">10ª Superintendência Regional</t>
        </is>
      </c>
    </row>
    <row r="10">
      <c r="A10" s="3" t="inlineStr">
        <is>
          <t xml:space="preserve">11ª/AJ</t>
        </is>
      </c>
      <c r="B10" s="3" t="inlineStr">
        <is>
          <t xml:space="preserve">Assessoria Jurídica Regional</t>
        </is>
      </c>
    </row>
    <row r="11">
      <c r="A11" s="2" t="inlineStr">
        <is>
          <t xml:space="preserve">11ª/Cogex</t>
        </is>
      </c>
      <c r="B11" s="2" t="inlineStr">
        <is>
          <t xml:space="preserve">Comitê de Gestão Executiva da Superintendência Regional</t>
        </is>
      </c>
    </row>
    <row r="12">
      <c r="A12" s="3" t="inlineStr">
        <is>
          <t xml:space="preserve">11ª/GB</t>
        </is>
      </c>
      <c r="B12" s="3" t="inlineStr">
        <is>
          <t xml:space="preserve">Gabinete da Superintendência Regional</t>
        </is>
      </c>
    </row>
    <row r="13">
      <c r="A13" s="2" t="inlineStr">
        <is>
          <t xml:space="preserve">11ª/GGR</t>
        </is>
      </c>
      <c r="B13" s="2" t="inlineStr">
        <is>
          <t xml:space="preserve">Gerência de Gestão Regional</t>
        </is>
      </c>
    </row>
    <row r="14">
      <c r="A14" s="3" t="inlineStr">
        <is>
          <t xml:space="preserve">11ª/GGR/UOF</t>
        </is>
      </c>
      <c r="B14" s="3" t="inlineStr">
        <is>
          <t xml:space="preserve">Unidade Regional de Orçamento e Finanças</t>
        </is>
      </c>
    </row>
    <row r="15">
      <c r="A15" s="2" t="inlineStr">
        <is>
          <t xml:space="preserve">11ª/GGR/UOF/SCO</t>
        </is>
      </c>
      <c r="B15" s="2" t="inlineStr">
        <is>
          <t xml:space="preserve">Setor de Contabilidade</t>
        </is>
      </c>
    </row>
    <row r="16">
      <c r="A16" s="3" t="inlineStr">
        <is>
          <t xml:space="preserve">11ª/GGR/URA</t>
        </is>
      </c>
      <c r="B16" s="3" t="inlineStr">
        <is>
          <t xml:space="preserve">Unidade Regional de Administração</t>
        </is>
      </c>
    </row>
    <row r="17">
      <c r="A17" s="2" t="inlineStr">
        <is>
          <t xml:space="preserve">11ª/GRD</t>
        </is>
      </c>
      <c r="B17" s="2" t="inlineStr">
        <is>
          <t xml:space="preserve">Gerência Regional de Infraestrutura</t>
        </is>
      </c>
    </row>
    <row r="18">
      <c r="A18" s="3" t="inlineStr">
        <is>
          <t xml:space="preserve">11ª/GRD/UEP</t>
        </is>
      </c>
      <c r="B18" s="3" t="inlineStr">
        <is>
          <t xml:space="preserve">Unidade Regional de Estudos e Projetos</t>
        </is>
      </c>
    </row>
    <row r="19">
      <c r="A19" s="2" t="inlineStr">
        <is>
          <t xml:space="preserve">11ª/GRD/UIP</t>
        </is>
      </c>
      <c r="B19" s="2" t="inlineStr">
        <is>
          <t xml:space="preserve">Unidade Regional de Implantação e Acompanhamento de Projetos</t>
        </is>
      </c>
    </row>
    <row r="20">
      <c r="A20" s="3" t="inlineStr">
        <is>
          <t xml:space="preserve">11ª/GRR</t>
        </is>
      </c>
      <c r="B20" s="3" t="inlineStr">
        <is>
          <t xml:space="preserve">Gerência Regional de Revitalização e Desenvolvimento Territorial</t>
        </is>
      </c>
    </row>
    <row r="21">
      <c r="A21" s="2" t="inlineStr">
        <is>
          <t xml:space="preserve">11ª/GRR/UDT</t>
        </is>
      </c>
      <c r="B21" s="2" t="inlineStr">
        <is>
          <t xml:space="preserve">Unidade Regional de Desenvolvimento Territorial</t>
        </is>
      </c>
    </row>
    <row r="22">
      <c r="A22" s="3" t="inlineStr">
        <is>
          <t xml:space="preserve">11ª/GRR/UES</t>
        </is>
      </c>
      <c r="B22" s="3" t="inlineStr">
        <is>
          <t xml:space="preserve">Unidade Regional de Empreendimentos Socioambientais</t>
        </is>
      </c>
    </row>
    <row r="23">
      <c r="A23" s="2" t="inlineStr">
        <is>
          <t xml:space="preserve">11ª/SL</t>
        </is>
      </c>
      <c r="B23" s="2" t="inlineStr">
        <is>
          <t xml:space="preserve">Secretaria Regional de Licitações</t>
        </is>
      </c>
    </row>
    <row r="24">
      <c r="A24" s="3" t="inlineStr">
        <is>
          <t xml:space="preserve">11ª/SR</t>
        </is>
      </c>
      <c r="B24" s="3" t="inlineStr">
        <is>
          <t xml:space="preserve">11ª Superintendência Regional</t>
        </is>
      </c>
    </row>
    <row r="25">
      <c r="A25" s="2" t="inlineStr">
        <is>
          <t xml:space="preserve">12ª/AJ</t>
        </is>
      </c>
      <c r="B25" s="2" t="inlineStr">
        <is>
          <t xml:space="preserve">Assessoria Jurídica Regional</t>
        </is>
      </c>
    </row>
    <row r="26">
      <c r="A26" s="3" t="inlineStr">
        <is>
          <t xml:space="preserve">12ª/Cogex</t>
        </is>
      </c>
      <c r="B26" s="3" t="inlineStr">
        <is>
          <t xml:space="preserve">Comitê de Gestão Executiva da Superintendência Regional</t>
        </is>
      </c>
    </row>
    <row r="27">
      <c r="A27" s="2" t="inlineStr">
        <is>
          <t xml:space="preserve">12ª/EMO</t>
        </is>
      </c>
      <c r="B27" s="2" t="inlineStr">
        <is>
          <t xml:space="preserve">Escritório de Apoio Técnico de Mossoró</t>
        </is>
      </c>
    </row>
    <row r="28">
      <c r="A28" s="3" t="inlineStr">
        <is>
          <t xml:space="preserve">12ª/GB</t>
        </is>
      </c>
      <c r="B28" s="3" t="inlineStr">
        <is>
          <t xml:space="preserve">Gabinete da Superintendência Regional</t>
        </is>
      </c>
    </row>
    <row r="29">
      <c r="A29" s="2" t="inlineStr">
        <is>
          <t xml:space="preserve">12ª/GGR</t>
        </is>
      </c>
      <c r="B29" s="2" t="inlineStr">
        <is>
          <t xml:space="preserve">Gerência de Gestão Regional</t>
        </is>
      </c>
    </row>
    <row r="30">
      <c r="A30" s="3" t="inlineStr">
        <is>
          <t xml:space="preserve">12ª/GTR</t>
        </is>
      </c>
      <c r="B30" s="3" t="inlineStr">
        <is>
          <t xml:space="preserve">Gerência Técnica Regional</t>
        </is>
      </c>
    </row>
    <row r="31">
      <c r="A31" s="2" t="inlineStr">
        <is>
          <t xml:space="preserve">12ª/SL</t>
        </is>
      </c>
      <c r="B31" s="2" t="inlineStr">
        <is>
          <t xml:space="preserve">Secretaria Regional de Licitações</t>
        </is>
      </c>
    </row>
    <row r="32">
      <c r="A32" s="3" t="inlineStr">
        <is>
          <t xml:space="preserve">12ª/SR</t>
        </is>
      </c>
      <c r="B32" s="3" t="inlineStr">
        <is>
          <t xml:space="preserve">12ª Superintendência Regional</t>
        </is>
      </c>
    </row>
    <row r="33">
      <c r="A33" s="2" t="inlineStr">
        <is>
          <t xml:space="preserve">13ª/AJ</t>
        </is>
      </c>
      <c r="B33" s="2" t="inlineStr">
        <is>
          <t xml:space="preserve">Assessoria Jurídica Regional</t>
        </is>
      </c>
    </row>
    <row r="34">
      <c r="A34" s="3" t="inlineStr">
        <is>
          <t xml:space="preserve">13ª/Cogex</t>
        </is>
      </c>
      <c r="B34" s="3" t="inlineStr">
        <is>
          <t xml:space="preserve">Comitê de Gestão Executiva da Superintendência Regional</t>
        </is>
      </c>
    </row>
    <row r="35">
      <c r="A35" s="2" t="inlineStr">
        <is>
          <t xml:space="preserve">13ª/EPT</t>
        </is>
      </c>
      <c r="B35" s="2" t="inlineStr">
        <is>
          <t xml:space="preserve">Escritório de Apoio Técnico de Patos</t>
        </is>
      </c>
    </row>
    <row r="36">
      <c r="A36" s="3" t="inlineStr">
        <is>
          <t xml:space="preserve">13ª/GB</t>
        </is>
      </c>
      <c r="B36" s="3" t="inlineStr">
        <is>
          <t xml:space="preserve">Gabinete da Superintendência Regional</t>
        </is>
      </c>
    </row>
    <row r="37">
      <c r="A37" s="2" t="inlineStr">
        <is>
          <t xml:space="preserve">13ª/GGR</t>
        </is>
      </c>
      <c r="B37" s="2" t="inlineStr">
        <is>
          <t xml:space="preserve">Gerência de Gestão Regional</t>
        </is>
      </c>
    </row>
    <row r="38">
      <c r="A38" s="3" t="inlineStr">
        <is>
          <t xml:space="preserve">13ª/GTR</t>
        </is>
      </c>
      <c r="B38" s="3" t="inlineStr">
        <is>
          <t xml:space="preserve">Gerência Técnica Regional</t>
        </is>
      </c>
    </row>
    <row r="39">
      <c r="A39" s="2" t="inlineStr">
        <is>
          <t xml:space="preserve">13ª/SL</t>
        </is>
      </c>
      <c r="B39" s="2" t="inlineStr">
        <is>
          <t xml:space="preserve">Secretaria Regional de Licitações</t>
        </is>
      </c>
    </row>
    <row r="40">
      <c r="A40" s="3" t="inlineStr">
        <is>
          <t xml:space="preserve">13ª/SR</t>
        </is>
      </c>
      <c r="B40" s="3" t="inlineStr">
        <is>
          <t xml:space="preserve">13ª Superintendência Regional</t>
        </is>
      </c>
    </row>
    <row r="41">
      <c r="A41" s="2" t="inlineStr">
        <is>
          <t xml:space="preserve">14ª/AJ</t>
        </is>
      </c>
      <c r="B41" s="2" t="inlineStr">
        <is>
          <t xml:space="preserve">Assessoria Jurídica Regional</t>
        </is>
      </c>
    </row>
    <row r="42">
      <c r="A42" s="3" t="inlineStr">
        <is>
          <t xml:space="preserve">14ª/Cogex</t>
        </is>
      </c>
      <c r="B42" s="3" t="inlineStr">
        <is>
          <t xml:space="preserve">Comitê de Gestão Executiva da Superintendência Regional</t>
        </is>
      </c>
    </row>
    <row r="43">
      <c r="A43" s="2" t="inlineStr">
        <is>
          <t xml:space="preserve">14ª/ETA</t>
        </is>
      </c>
      <c r="B43" s="2" t="inlineStr">
        <is>
          <t xml:space="preserve">Escritório de Apoio Técnico de Tauá</t>
        </is>
      </c>
    </row>
    <row r="44">
      <c r="A44" s="3" t="inlineStr">
        <is>
          <t xml:space="preserve">14ª/GB</t>
        </is>
      </c>
      <c r="B44" s="3" t="inlineStr">
        <is>
          <t xml:space="preserve">Gabinete da Superintendência Regional</t>
        </is>
      </c>
    </row>
    <row r="45">
      <c r="A45" s="2" t="inlineStr">
        <is>
          <t xml:space="preserve">14ª/GGR</t>
        </is>
      </c>
      <c r="B45" s="2" t="inlineStr">
        <is>
          <t xml:space="preserve">Gerência de Gestão Regional</t>
        </is>
      </c>
    </row>
    <row r="46">
      <c r="A46" s="3" t="inlineStr">
        <is>
          <t xml:space="preserve">14ª/GTR</t>
        </is>
      </c>
      <c r="B46" s="3" t="inlineStr">
        <is>
          <t xml:space="preserve">Gerência Técnica Regional</t>
        </is>
      </c>
    </row>
    <row r="47">
      <c r="A47" s="2" t="inlineStr">
        <is>
          <t xml:space="preserve">14ª/SL</t>
        </is>
      </c>
      <c r="B47" s="2" t="inlineStr">
        <is>
          <t xml:space="preserve">Secretaria Regional de Licitações</t>
        </is>
      </c>
    </row>
    <row r="48">
      <c r="A48" s="3" t="inlineStr">
        <is>
          <t xml:space="preserve">14ª/SR</t>
        </is>
      </c>
      <c r="B48" s="3" t="inlineStr">
        <is>
          <t xml:space="preserve">14ª Superintendência Regional</t>
        </is>
      </c>
    </row>
    <row r="49">
      <c r="A49" s="2" t="inlineStr">
        <is>
          <t xml:space="preserve">15ª/AJ</t>
        </is>
      </c>
      <c r="B49" s="2" t="inlineStr">
        <is>
          <t xml:space="preserve">Assessoria Jurídica Regional</t>
        </is>
      </c>
    </row>
    <row r="50">
      <c r="A50" s="3" t="inlineStr">
        <is>
          <t xml:space="preserve">15ª/Cogex</t>
        </is>
      </c>
      <c r="B50" s="3" t="inlineStr">
        <is>
          <t xml:space="preserve">Comitê de Gestão Executiva da Superintendência Regional</t>
        </is>
      </c>
    </row>
    <row r="51">
      <c r="A51" s="2" t="inlineStr">
        <is>
          <t xml:space="preserve">15ª/GB</t>
        </is>
      </c>
      <c r="B51" s="2" t="inlineStr">
        <is>
          <t xml:space="preserve">Gabinete da Superintendência Regional</t>
        </is>
      </c>
    </row>
    <row r="52">
      <c r="A52" s="3" t="inlineStr">
        <is>
          <t xml:space="preserve">15ª/GGR</t>
        </is>
      </c>
      <c r="B52" s="3" t="inlineStr">
        <is>
          <t xml:space="preserve">Gerência de Gestão Regional</t>
        </is>
      </c>
    </row>
    <row r="53">
      <c r="A53" s="2" t="inlineStr">
        <is>
          <t xml:space="preserve">15ª/GTR</t>
        </is>
      </c>
      <c r="B53" s="2" t="inlineStr">
        <is>
          <t xml:space="preserve">Gerência Técnica Regional</t>
        </is>
      </c>
    </row>
    <row r="54">
      <c r="A54" s="3" t="inlineStr">
        <is>
          <t xml:space="preserve">15ª/SL</t>
        </is>
      </c>
      <c r="B54" s="3" t="inlineStr">
        <is>
          <t xml:space="preserve">Secretaria Regional de Licitações</t>
        </is>
      </c>
    </row>
    <row r="55">
      <c r="A55" s="2" t="inlineStr">
        <is>
          <t xml:space="preserve">15ª/SR</t>
        </is>
      </c>
      <c r="B55" s="2" t="inlineStr">
        <is>
          <t xml:space="preserve">15ª Superintendência Regional</t>
        </is>
      </c>
    </row>
    <row r="56">
      <c r="A56" s="3" t="inlineStr">
        <is>
          <t xml:space="preserve">16ª/AJ</t>
        </is>
      </c>
      <c r="B56" s="3" t="inlineStr">
        <is>
          <t xml:space="preserve">Assessoria Jurídica Regional</t>
        </is>
      </c>
    </row>
    <row r="57">
      <c r="A57" s="2" t="inlineStr">
        <is>
          <t xml:space="preserve">16ª/Cogex</t>
        </is>
      </c>
      <c r="B57" s="2" t="inlineStr">
        <is>
          <t xml:space="preserve">Comitê de Gestão Executiva da Superintendência Regional</t>
        </is>
      </c>
    </row>
    <row r="58">
      <c r="A58" s="3" t="inlineStr">
        <is>
          <t xml:space="preserve">16ª/EPI</t>
        </is>
      </c>
      <c r="B58" s="3" t="inlineStr">
        <is>
          <t xml:space="preserve">Escritório de Apoio Técnico de Piumhi</t>
        </is>
      </c>
    </row>
    <row r="59">
      <c r="A59" s="2" t="inlineStr">
        <is>
          <t xml:space="preserve">16ª/GB</t>
        </is>
      </c>
      <c r="B59" s="2" t="inlineStr">
        <is>
          <t xml:space="preserve">Gabinete da Superintendência Regional</t>
        </is>
      </c>
    </row>
    <row r="60">
      <c r="A60" s="3" t="inlineStr">
        <is>
          <t xml:space="preserve">16ª/GGR</t>
        </is>
      </c>
      <c r="B60" s="3" t="inlineStr">
        <is>
          <t xml:space="preserve">Gerência de Gestão Regional</t>
        </is>
      </c>
    </row>
    <row r="61">
      <c r="A61" s="2" t="inlineStr">
        <is>
          <t xml:space="preserve">16ª/GTR</t>
        </is>
      </c>
      <c r="B61" s="2" t="inlineStr">
        <is>
          <t xml:space="preserve">Gerência Técnica Regional</t>
        </is>
      </c>
    </row>
    <row r="62">
      <c r="A62" s="3" t="inlineStr">
        <is>
          <t xml:space="preserve">16ª/SL</t>
        </is>
      </c>
      <c r="B62" s="3" t="inlineStr">
        <is>
          <t xml:space="preserve">Secretaria Regional de Licitações</t>
        </is>
      </c>
    </row>
    <row r="63">
      <c r="A63" s="2" t="inlineStr">
        <is>
          <t xml:space="preserve">16ª/SR</t>
        </is>
      </c>
      <c r="B63" s="2" t="inlineStr">
        <is>
          <t xml:space="preserve">16ª Superintendência Regional</t>
        </is>
      </c>
    </row>
    <row r="64">
      <c r="A64" s="3" t="inlineStr">
        <is>
          <t xml:space="preserve">1ª/AJ</t>
        </is>
      </c>
      <c r="B64" s="3" t="inlineStr">
        <is>
          <t xml:space="preserve">Assessoria Jurídica Regional</t>
        </is>
      </c>
    </row>
    <row r="65">
      <c r="A65" s="2" t="inlineStr">
        <is>
          <t xml:space="preserve">1ª/CIG</t>
        </is>
      </c>
      <c r="B65" s="2" t="inlineStr">
        <is>
          <t xml:space="preserve">Centro Integrado de Recursos Pesqueiros e Aquicultura de Gorutuba</t>
        </is>
      </c>
    </row>
    <row r="66">
      <c r="A66" s="3" t="inlineStr">
        <is>
          <t xml:space="preserve">1ª/CIM</t>
        </is>
      </c>
      <c r="B66" s="3" t="inlineStr">
        <is>
          <t xml:space="preserve">Centro Integrado de Recursos Pesqueiros e Aquicultura de Três Marias</t>
        </is>
      </c>
    </row>
    <row r="67">
      <c r="A67" s="2" t="inlineStr">
        <is>
          <t xml:space="preserve">1ª/Cogex</t>
        </is>
      </c>
      <c r="B67" s="2" t="inlineStr">
        <is>
          <t xml:space="preserve">Comitê de Gestão Executiva da Superintendência Regional</t>
        </is>
      </c>
    </row>
    <row r="68">
      <c r="A68" s="3" t="inlineStr">
        <is>
          <t xml:space="preserve">1ª/EAL</t>
        </is>
      </c>
      <c r="B68" s="3" t="inlineStr">
        <is>
          <t xml:space="preserve">Escritório de Apoio Técnico de Almenara</t>
        </is>
      </c>
    </row>
    <row r="69">
      <c r="A69" s="2" t="inlineStr">
        <is>
          <t xml:space="preserve">1ª/GB</t>
        </is>
      </c>
      <c r="B69" s="2" t="inlineStr">
        <is>
          <t xml:space="preserve">Gabinete da Superintendência Regional</t>
        </is>
      </c>
    </row>
    <row r="70">
      <c r="A70" s="3" t="inlineStr">
        <is>
          <t xml:space="preserve">1ª/GB/URC</t>
        </is>
      </c>
      <c r="B70" s="3" t="inlineStr">
        <is>
          <t xml:space="preserve">Unidade Regional de Comunicação</t>
        </is>
      </c>
    </row>
    <row r="71">
      <c r="A71" s="2" t="inlineStr">
        <is>
          <t xml:space="preserve">1ª/GRA</t>
        </is>
      </c>
      <c r="B71" s="2" t="inlineStr">
        <is>
          <t xml:space="preserve">Gerência Regional de Administração e Tecnologia</t>
        </is>
      </c>
    </row>
    <row r="72">
      <c r="A72" s="3" t="inlineStr">
        <is>
          <t xml:space="preserve">1ª/GRA/UGP</t>
        </is>
      </c>
      <c r="B72" s="3" t="inlineStr">
        <is>
          <t xml:space="preserve">Unidade Regional de Gestão de Pessoas</t>
        </is>
      </c>
    </row>
    <row r="73">
      <c r="A73" s="2" t="inlineStr">
        <is>
          <t xml:space="preserve">1ª/GRA/USA</t>
        </is>
      </c>
      <c r="B73" s="2" t="inlineStr">
        <is>
          <t xml:space="preserve">Unidade Regional de Patrimônio, Logística e Serviços Auxiliares</t>
        </is>
      </c>
    </row>
    <row r="74">
      <c r="A74" s="3" t="inlineStr">
        <is>
          <t xml:space="preserve">1ª/GRA/UTI</t>
        </is>
      </c>
      <c r="B74" s="3" t="inlineStr">
        <is>
          <t xml:space="preserve">Unidade Regional de Tecnologia da Informação</t>
        </is>
      </c>
    </row>
    <row r="75">
      <c r="A75" s="2" t="inlineStr">
        <is>
          <t xml:space="preserve">1ª/GRD</t>
        </is>
      </c>
      <c r="B75" s="2" t="inlineStr">
        <is>
          <t xml:space="preserve">Gerência Regional de Infraestrutura</t>
        </is>
      </c>
    </row>
    <row r="76">
      <c r="A76" s="3" t="inlineStr">
        <is>
          <t xml:space="preserve">1ª/GRD/UEP</t>
        </is>
      </c>
      <c r="B76" s="3" t="inlineStr">
        <is>
          <t xml:space="preserve">Unidade Regional de Estudos e Projetos</t>
        </is>
      </c>
    </row>
    <row r="77">
      <c r="A77" s="2" t="inlineStr">
        <is>
          <t xml:space="preserve">1ª/GRD/UIP</t>
        </is>
      </c>
      <c r="B77" s="2" t="inlineStr">
        <is>
          <t xml:space="preserve">Unidade Regional de Implantação e Acompanhamento de Projetos</t>
        </is>
      </c>
    </row>
    <row r="78">
      <c r="A78" s="3" t="inlineStr">
        <is>
          <t xml:space="preserve">1ª/GRG</t>
        </is>
      </c>
      <c r="B78" s="3" t="inlineStr">
        <is>
          <t xml:space="preserve">Gerência Regional de Estratégia e Finanças</t>
        </is>
      </c>
    </row>
    <row r="79">
      <c r="A79" s="2" t="inlineStr">
        <is>
          <t xml:space="preserve">1ª/GRG/UCB</t>
        </is>
      </c>
      <c r="B79" s="2" t="inlineStr">
        <is>
          <t xml:space="preserve">Unidade Regional de Contabilidade</t>
        </is>
      </c>
    </row>
    <row r="80">
      <c r="A80" s="3" t="inlineStr">
        <is>
          <t xml:space="preserve">1ª/GRG/UFN</t>
        </is>
      </c>
      <c r="B80" s="3" t="inlineStr">
        <is>
          <t xml:space="preserve">Unidade Regional de Finanças e Cobrança</t>
        </is>
      </c>
    </row>
    <row r="81">
      <c r="A81" s="2" t="inlineStr">
        <is>
          <t xml:space="preserve">1ª/GRG/UFN/SCB</t>
        </is>
      </c>
      <c r="B81" s="2" t="inlineStr">
        <is>
          <t xml:space="preserve">Setor de Cobrança</t>
        </is>
      </c>
    </row>
    <row r="82">
      <c r="A82" s="3" t="inlineStr">
        <is>
          <t xml:space="preserve">1ª/GRG/UMC</t>
        </is>
      </c>
      <c r="B82" s="3" t="inlineStr">
        <is>
          <t xml:space="preserve">Unidade Regional de Monitoramento e de Controle de Contratos e Convênios</t>
        </is>
      </c>
    </row>
    <row r="83">
      <c r="A83" s="2" t="inlineStr">
        <is>
          <t xml:space="preserve">1ª/GRG/URO</t>
        </is>
      </c>
      <c r="B83" s="2" t="inlineStr">
        <is>
          <t xml:space="preserve">Unidade Regional Orçamentária</t>
        </is>
      </c>
    </row>
    <row r="84">
      <c r="A84" s="3" t="inlineStr">
        <is>
          <t xml:space="preserve">1ª/GRI</t>
        </is>
      </c>
      <c r="B84" s="3" t="inlineStr">
        <is>
          <t xml:space="preserve">Gerência Regional de Irrigação e Operações</t>
        </is>
      </c>
    </row>
    <row r="85">
      <c r="A85" s="2" t="inlineStr">
        <is>
          <t xml:space="preserve">1ª/GRI/UEI</t>
        </is>
      </c>
      <c r="B85" s="2" t="inlineStr">
        <is>
          <t xml:space="preserve">Unidade Regional de Gestão dos Empreendimentos de Irrigação</t>
        </is>
      </c>
    </row>
    <row r="86">
      <c r="A86" s="3" t="inlineStr">
        <is>
          <t xml:space="preserve">1ª/GRI/URP</t>
        </is>
      </c>
      <c r="B86" s="3" t="inlineStr">
        <is>
          <t xml:space="preserve">Unidade Regional de Apoio à Produção</t>
        </is>
      </c>
    </row>
    <row r="87">
      <c r="A87" s="2" t="inlineStr">
        <is>
          <t xml:space="preserve">1ª/GRR</t>
        </is>
      </c>
      <c r="B87" s="2" t="inlineStr">
        <is>
          <t xml:space="preserve">Gerência Regional de Revitalização e Desenvolvimento Territorial</t>
        </is>
      </c>
    </row>
    <row r="88">
      <c r="A88" s="3" t="inlineStr">
        <is>
          <t xml:space="preserve">1ª/GRR/UDT</t>
        </is>
      </c>
      <c r="B88" s="3" t="inlineStr">
        <is>
          <t xml:space="preserve">Unidade Regional de Desenvolvimento Territorial</t>
        </is>
      </c>
    </row>
    <row r="89">
      <c r="A89" s="2" t="inlineStr">
        <is>
          <t xml:space="preserve">1ª/GRR/UES</t>
        </is>
      </c>
      <c r="B89" s="2" t="inlineStr">
        <is>
          <t xml:space="preserve">Unidade Regional de Empreendimentos Socioambientais</t>
        </is>
      </c>
    </row>
    <row r="90">
      <c r="A90" s="3" t="inlineStr">
        <is>
          <t xml:space="preserve">1ª/GRS</t>
        </is>
      </c>
      <c r="B90" s="3" t="inlineStr">
        <is>
          <t xml:space="preserve">Gerência Regional de Suporte Integrado</t>
        </is>
      </c>
    </row>
    <row r="91">
      <c r="A91" s="2" t="inlineStr">
        <is>
          <t xml:space="preserve">1ª/GRS/ULF</t>
        </is>
      </c>
      <c r="B91" s="2" t="inlineStr">
        <is>
          <t xml:space="preserve">Unidade Regional de Licenciamento Ambiental e Administração Fundiária</t>
        </is>
      </c>
    </row>
    <row r="92">
      <c r="A92" s="3" t="inlineStr">
        <is>
          <t xml:space="preserve">1ª/SL</t>
        </is>
      </c>
      <c r="B92" s="3" t="inlineStr">
        <is>
          <t xml:space="preserve">Secretaria Regional de Licitações</t>
        </is>
      </c>
    </row>
    <row r="93">
      <c r="A93" s="2" t="inlineStr">
        <is>
          <t xml:space="preserve">1ª/SR</t>
        </is>
      </c>
      <c r="B93" s="2" t="inlineStr">
        <is>
          <t xml:space="preserve">1ª Superintendência Regional</t>
        </is>
      </c>
    </row>
    <row r="94">
      <c r="A94" s="3" t="inlineStr">
        <is>
          <t xml:space="preserve">2ª/AJ</t>
        </is>
      </c>
      <c r="B94" s="3" t="inlineStr">
        <is>
          <t xml:space="preserve">Assessoria Jurídica Regional</t>
        </is>
      </c>
    </row>
    <row r="95">
      <c r="A95" s="2" t="inlineStr">
        <is>
          <t xml:space="preserve">2ª/CIX</t>
        </is>
      </c>
      <c r="B95" s="2" t="inlineStr">
        <is>
          <t xml:space="preserve">Centro Integrado de Recursos Pesqueiros e Aquicultura de Xique-Xique</t>
        </is>
      </c>
    </row>
    <row r="96">
      <c r="A96" s="3" t="inlineStr">
        <is>
          <t xml:space="preserve">2ª/Cogex</t>
        </is>
      </c>
      <c r="B96" s="3" t="inlineStr">
        <is>
          <t xml:space="preserve">Comitê de Gestão Executiva da Superintendência Regional</t>
        </is>
      </c>
    </row>
    <row r="97">
      <c r="A97" s="2" t="inlineStr">
        <is>
          <t xml:space="preserve">2ª/EGU</t>
        </is>
      </c>
      <c r="B97" s="2" t="inlineStr">
        <is>
          <t xml:space="preserve">Escritório de Apoio Técnico de Guanambi</t>
        </is>
      </c>
    </row>
    <row r="98">
      <c r="A98" s="3" t="inlineStr">
        <is>
          <t xml:space="preserve">2ª/EIR</t>
        </is>
      </c>
      <c r="B98" s="3" t="inlineStr">
        <is>
          <t xml:space="preserve">Escritório de Apoio Técnico de Irecê</t>
        </is>
      </c>
    </row>
    <row r="99">
      <c r="A99" s="2" t="inlineStr">
        <is>
          <t xml:space="preserve">2ª/GB</t>
        </is>
      </c>
      <c r="B99" s="2" t="inlineStr">
        <is>
          <t xml:space="preserve">Gabinete da Superintendência Regional</t>
        </is>
      </c>
    </row>
    <row r="100">
      <c r="A100" s="3" t="inlineStr">
        <is>
          <t xml:space="preserve">2ª/GB/URC</t>
        </is>
      </c>
      <c r="B100" s="3" t="inlineStr">
        <is>
          <t xml:space="preserve">Unidade Regional de Comunicação</t>
        </is>
      </c>
    </row>
    <row r="101">
      <c r="A101" s="2" t="inlineStr">
        <is>
          <t xml:space="preserve">2ª/GRA</t>
        </is>
      </c>
      <c r="B101" s="2" t="inlineStr">
        <is>
          <t xml:space="preserve">Gerência Regional de Administração e Tecnologia</t>
        </is>
      </c>
    </row>
    <row r="102">
      <c r="A102" s="3" t="inlineStr">
        <is>
          <t xml:space="preserve">2ª/GRA/UGP</t>
        </is>
      </c>
      <c r="B102" s="3" t="inlineStr">
        <is>
          <t xml:space="preserve">Unidade Regional de Gestão de Pessoas</t>
        </is>
      </c>
    </row>
    <row r="103">
      <c r="A103" s="2" t="inlineStr">
        <is>
          <t xml:space="preserve">2ª/GRA/USA</t>
        </is>
      </c>
      <c r="B103" s="2" t="inlineStr">
        <is>
          <t xml:space="preserve">Unidade Regional de Patrimônio, Logística e Serviços Auxiliares</t>
        </is>
      </c>
    </row>
    <row r="104">
      <c r="A104" s="3" t="inlineStr">
        <is>
          <t xml:space="preserve">2ª/GRA/UTI</t>
        </is>
      </c>
      <c r="B104" s="3" t="inlineStr">
        <is>
          <t xml:space="preserve">Unidade Regional de Tecnologia da Informação</t>
        </is>
      </c>
    </row>
    <row r="105">
      <c r="A105" s="2" t="inlineStr">
        <is>
          <t xml:space="preserve">2ª/GRD</t>
        </is>
      </c>
      <c r="B105" s="2" t="inlineStr">
        <is>
          <t xml:space="preserve">Gerência Regional de Infraestrutura</t>
        </is>
      </c>
    </row>
    <row r="106">
      <c r="A106" s="3" t="inlineStr">
        <is>
          <t xml:space="preserve">2ª/GRD/UEP</t>
        </is>
      </c>
      <c r="B106" s="3" t="inlineStr">
        <is>
          <t xml:space="preserve">Unidade Regional de Estudos e Projetos</t>
        </is>
      </c>
    </row>
    <row r="107">
      <c r="A107" s="2" t="inlineStr">
        <is>
          <t xml:space="preserve">2ª/GRD/UIP</t>
        </is>
      </c>
      <c r="B107" s="2" t="inlineStr">
        <is>
          <t xml:space="preserve">Unidade Regional de Implantação e Acompanhamento de Projetos</t>
        </is>
      </c>
    </row>
    <row r="108">
      <c r="A108" s="3" t="inlineStr">
        <is>
          <t xml:space="preserve">2ª/GRG</t>
        </is>
      </c>
      <c r="B108" s="3" t="inlineStr">
        <is>
          <t xml:space="preserve">Gerência Regional de Estratégia e Finanças</t>
        </is>
      </c>
    </row>
    <row r="109">
      <c r="A109" s="2" t="inlineStr">
        <is>
          <t xml:space="preserve">2ª/GRG/UCB</t>
        </is>
      </c>
      <c r="B109" s="2" t="inlineStr">
        <is>
          <t xml:space="preserve">Unidade Regional de Contabilidade</t>
        </is>
      </c>
    </row>
    <row r="110">
      <c r="A110" s="3" t="inlineStr">
        <is>
          <t xml:space="preserve">2ª/GRG/UFN</t>
        </is>
      </c>
      <c r="B110" s="3" t="inlineStr">
        <is>
          <t xml:space="preserve">Unidade Regional de Finanças e Cobrança</t>
        </is>
      </c>
    </row>
    <row r="111">
      <c r="A111" s="2" t="inlineStr">
        <is>
          <t xml:space="preserve">2ª/GRG/UFN/SCB</t>
        </is>
      </c>
      <c r="B111" s="2" t="inlineStr">
        <is>
          <t xml:space="preserve">Setor de Cobrança</t>
        </is>
      </c>
    </row>
    <row r="112">
      <c r="A112" s="3" t="inlineStr">
        <is>
          <t xml:space="preserve">2ª/GRG/UMC</t>
        </is>
      </c>
      <c r="B112" s="3" t="inlineStr">
        <is>
          <t xml:space="preserve">Unidade Regional de Monitoramento e de Controle de Contratos e Convênios</t>
        </is>
      </c>
    </row>
    <row r="113">
      <c r="A113" s="2" t="inlineStr">
        <is>
          <t xml:space="preserve">2ª/GRG/URO</t>
        </is>
      </c>
      <c r="B113" s="2" t="inlineStr">
        <is>
          <t xml:space="preserve">Unidade Regional Orçamentária</t>
        </is>
      </c>
    </row>
    <row r="114">
      <c r="A114" s="3" t="inlineStr">
        <is>
          <t xml:space="preserve">2ª/GRI</t>
        </is>
      </c>
      <c r="B114" s="3" t="inlineStr">
        <is>
          <t xml:space="preserve">Gerência Regional de Irrigação e Operações</t>
        </is>
      </c>
    </row>
    <row r="115">
      <c r="A115" s="2" t="inlineStr">
        <is>
          <t xml:space="preserve">2ª/GRI/UEI</t>
        </is>
      </c>
      <c r="B115" s="2" t="inlineStr">
        <is>
          <t xml:space="preserve">Unidade Regional de Gestão dos Empreendimentos de Irrigação</t>
        </is>
      </c>
    </row>
    <row r="116">
      <c r="A116" s="3" t="inlineStr">
        <is>
          <t xml:space="preserve">2ª/GRI/URP</t>
        </is>
      </c>
      <c r="B116" s="3" t="inlineStr">
        <is>
          <t xml:space="preserve">Unidade Regional de Apoio à Produção</t>
        </is>
      </c>
    </row>
    <row r="117">
      <c r="A117" s="2" t="inlineStr">
        <is>
          <t xml:space="preserve">2ª/GRR</t>
        </is>
      </c>
      <c r="B117" s="2" t="inlineStr">
        <is>
          <t xml:space="preserve">Gerência Regional de Revitalização e Desenvolvimento Territorial</t>
        </is>
      </c>
    </row>
    <row r="118">
      <c r="A118" s="3" t="inlineStr">
        <is>
          <t xml:space="preserve">2ª/GRR/UDT</t>
        </is>
      </c>
      <c r="B118" s="3" t="inlineStr">
        <is>
          <t xml:space="preserve">Unidade Regional de Desenvolvimento Territorial</t>
        </is>
      </c>
    </row>
    <row r="119">
      <c r="A119" s="2" t="inlineStr">
        <is>
          <t xml:space="preserve">2ª/GRR/UES</t>
        </is>
      </c>
      <c r="B119" s="2" t="inlineStr">
        <is>
          <t xml:space="preserve">Unidade Regional de Empreendimentos Socioambientais</t>
        </is>
      </c>
    </row>
    <row r="120">
      <c r="A120" s="3" t="inlineStr">
        <is>
          <t xml:space="preserve">2ª/GRS</t>
        </is>
      </c>
      <c r="B120" s="3" t="inlineStr">
        <is>
          <t xml:space="preserve">Gerência Regional de Suporte Integrado</t>
        </is>
      </c>
    </row>
    <row r="121">
      <c r="A121" s="2" t="inlineStr">
        <is>
          <t xml:space="preserve">2ª/GRS/ULF</t>
        </is>
      </c>
      <c r="B121" s="2" t="inlineStr">
        <is>
          <t xml:space="preserve">Unidade Regional de Licenciamento Ambiental e Administração Fundiária</t>
        </is>
      </c>
    </row>
    <row r="122">
      <c r="A122" s="3" t="inlineStr">
        <is>
          <t xml:space="preserve">2ª/SL</t>
        </is>
      </c>
      <c r="B122" s="3" t="inlineStr">
        <is>
          <t xml:space="preserve">Secretaria Regional de Licitações</t>
        </is>
      </c>
    </row>
    <row r="123">
      <c r="A123" s="2" t="inlineStr">
        <is>
          <t xml:space="preserve">2ª/SR</t>
        </is>
      </c>
      <c r="B123" s="2" t="inlineStr">
        <is>
          <t xml:space="preserve">2ª Superintendência Regional</t>
        </is>
      </c>
    </row>
    <row r="124">
      <c r="A124" s="3" t="inlineStr">
        <is>
          <t xml:space="preserve">2ª/UBA</t>
        </is>
      </c>
      <c r="B124" s="3" t="inlineStr">
        <is>
          <t xml:space="preserve">Unidade Regional Descentralizada de Barreiras</t>
        </is>
      </c>
    </row>
    <row r="125">
      <c r="A125" s="2" t="inlineStr">
        <is>
          <t xml:space="preserve">2ª/UVC</t>
        </is>
      </c>
      <c r="B125" s="2" t="inlineStr">
        <is>
          <t xml:space="preserve">Unidade Regional Descentralizada de Vitória da Conquista</t>
        </is>
      </c>
    </row>
    <row r="126">
      <c r="A126" s="3" t="inlineStr">
        <is>
          <t xml:space="preserve">3ª/AJ</t>
        </is>
      </c>
      <c r="B126" s="3" t="inlineStr">
        <is>
          <t xml:space="preserve">Assessoria Jurídica Regional</t>
        </is>
      </c>
    </row>
    <row r="127">
      <c r="A127" s="2" t="inlineStr">
        <is>
          <t xml:space="preserve">3ª/CIB</t>
        </is>
      </c>
      <c r="B127" s="2" t="inlineStr">
        <is>
          <t xml:space="preserve">Centro Integrado de Recursos Pesqueiros e Aquicultura de Bebedouro</t>
        </is>
      </c>
    </row>
    <row r="128">
      <c r="A128" s="3" t="inlineStr">
        <is>
          <t xml:space="preserve">3ª/Cogex</t>
        </is>
      </c>
      <c r="B128" s="3" t="inlineStr">
        <is>
          <t xml:space="preserve">Comitê de Gestão Executiva da Superintendência Regional</t>
        </is>
      </c>
    </row>
    <row r="129">
      <c r="A129" s="2" t="inlineStr">
        <is>
          <t xml:space="preserve">3ª/GB</t>
        </is>
      </c>
      <c r="B129" s="2" t="inlineStr">
        <is>
          <t xml:space="preserve">Gabinete da Superintendência Regional</t>
        </is>
      </c>
    </row>
    <row r="130">
      <c r="A130" s="3" t="inlineStr">
        <is>
          <t xml:space="preserve">3ª/GB/URC</t>
        </is>
      </c>
      <c r="B130" s="3" t="inlineStr">
        <is>
          <t xml:space="preserve">Unidade Regional de Comunicação</t>
        </is>
      </c>
    </row>
    <row r="131">
      <c r="A131" s="2" t="inlineStr">
        <is>
          <t xml:space="preserve">3ª/GRA</t>
        </is>
      </c>
      <c r="B131" s="2" t="inlineStr">
        <is>
          <t xml:space="preserve">Gerência Regional de Administração e Tecnologia</t>
        </is>
      </c>
    </row>
    <row r="132">
      <c r="A132" s="3" t="inlineStr">
        <is>
          <t xml:space="preserve">3ª/GRA/UGP</t>
        </is>
      </c>
      <c r="B132" s="3" t="inlineStr">
        <is>
          <t xml:space="preserve">Unidade Regional de Gestão de Pessoas</t>
        </is>
      </c>
    </row>
    <row r="133">
      <c r="A133" s="2" t="inlineStr">
        <is>
          <t xml:space="preserve">3ª/GRA/USA</t>
        </is>
      </c>
      <c r="B133" s="2" t="inlineStr">
        <is>
          <t xml:space="preserve">Unidade Regional de Patrimônio, Logística e Serviços Auxiliares</t>
        </is>
      </c>
    </row>
    <row r="134">
      <c r="A134" s="3" t="inlineStr">
        <is>
          <t xml:space="preserve">3ª/GRA/UTI</t>
        </is>
      </c>
      <c r="B134" s="3" t="inlineStr">
        <is>
          <t xml:space="preserve">Unidade Regional de Tecnologia da Informação</t>
        </is>
      </c>
    </row>
    <row r="135">
      <c r="A135" s="2" t="inlineStr">
        <is>
          <t xml:space="preserve">3ª/GRD</t>
        </is>
      </c>
      <c r="B135" s="2" t="inlineStr">
        <is>
          <t xml:space="preserve">Gerência Regional de Infraestrutura</t>
        </is>
      </c>
    </row>
    <row r="136">
      <c r="A136" s="3" t="inlineStr">
        <is>
          <t xml:space="preserve">3ª/GRD/UEP</t>
        </is>
      </c>
      <c r="B136" s="3" t="inlineStr">
        <is>
          <t xml:space="preserve">Unidade Regional de Estudos e Projetos</t>
        </is>
      </c>
    </row>
    <row r="137">
      <c r="A137" s="2" t="inlineStr">
        <is>
          <t xml:space="preserve">3ª/GRD/UIP</t>
        </is>
      </c>
      <c r="B137" s="2" t="inlineStr">
        <is>
          <t xml:space="preserve">Unidade Regional de Implantação e Acompanhamento de Projetos</t>
        </is>
      </c>
    </row>
    <row r="138">
      <c r="A138" s="3" t="inlineStr">
        <is>
          <t xml:space="preserve">3ª/GRG</t>
        </is>
      </c>
      <c r="B138" s="3" t="inlineStr">
        <is>
          <t xml:space="preserve">Gerência Regional de Estratégia e Finanças</t>
        </is>
      </c>
    </row>
    <row r="139">
      <c r="A139" s="2" t="inlineStr">
        <is>
          <t xml:space="preserve">3ª/GRG/UCB</t>
        </is>
      </c>
      <c r="B139" s="2" t="inlineStr">
        <is>
          <t xml:space="preserve">Unidade Regional de Contabilidade</t>
        </is>
      </c>
    </row>
    <row r="140">
      <c r="A140" s="3" t="inlineStr">
        <is>
          <t xml:space="preserve">3ª/GRG/UFN</t>
        </is>
      </c>
      <c r="B140" s="3" t="inlineStr">
        <is>
          <t xml:space="preserve">Unidade Regional de Finanças e Cobrança</t>
        </is>
      </c>
    </row>
    <row r="141">
      <c r="A141" s="2" t="inlineStr">
        <is>
          <t xml:space="preserve">3ª/GRG/UFN/SCB</t>
        </is>
      </c>
      <c r="B141" s="2" t="inlineStr">
        <is>
          <t xml:space="preserve">Setor de Cobrança</t>
        </is>
      </c>
    </row>
    <row r="142">
      <c r="A142" s="3" t="inlineStr">
        <is>
          <t xml:space="preserve">3ª/GRG/UMC</t>
        </is>
      </c>
      <c r="B142" s="3" t="inlineStr">
        <is>
          <t xml:space="preserve">Unidade Regional de Monitoramento e de Controle de Contratos e Convênios</t>
        </is>
      </c>
    </row>
    <row r="143">
      <c r="A143" s="2" t="inlineStr">
        <is>
          <t xml:space="preserve">3ª/GRG/URO</t>
        </is>
      </c>
      <c r="B143" s="2" t="inlineStr">
        <is>
          <t xml:space="preserve">Unidade Regional Orçamentária</t>
        </is>
      </c>
    </row>
    <row r="144">
      <c r="A144" s="3" t="inlineStr">
        <is>
          <t xml:space="preserve">3ª/GRI</t>
        </is>
      </c>
      <c r="B144" s="3" t="inlineStr">
        <is>
          <t xml:space="preserve">Gerência Regional de Irrigação e Operações</t>
        </is>
      </c>
    </row>
    <row r="145">
      <c r="A145" s="2" t="inlineStr">
        <is>
          <t xml:space="preserve">3ª/GRI/UEI</t>
        </is>
      </c>
      <c r="B145" s="2" t="inlineStr">
        <is>
          <t xml:space="preserve">Unidade Regional de Gestão dos Empreendimentos de Irrigação</t>
        </is>
      </c>
    </row>
    <row r="146">
      <c r="A146" s="3" t="inlineStr">
        <is>
          <t xml:space="preserve">3ª/GRI/URP</t>
        </is>
      </c>
      <c r="B146" s="3" t="inlineStr">
        <is>
          <t xml:space="preserve">Unidade Regional de Apoio à Produção</t>
        </is>
      </c>
    </row>
    <row r="147">
      <c r="A147" s="2" t="inlineStr">
        <is>
          <t xml:space="preserve">3ª/GRR</t>
        </is>
      </c>
      <c r="B147" s="2" t="inlineStr">
        <is>
          <t xml:space="preserve">Gerência Regional de Revitalização e Desenvolvimento Territorial</t>
        </is>
      </c>
    </row>
    <row r="148">
      <c r="A148" s="3" t="inlineStr">
        <is>
          <t xml:space="preserve">3ª/GRR/UDT</t>
        </is>
      </c>
      <c r="B148" s="3" t="inlineStr">
        <is>
          <t xml:space="preserve">Unidade Regional de Desenvolvimento Territorial</t>
        </is>
      </c>
    </row>
    <row r="149">
      <c r="A149" s="2" t="inlineStr">
        <is>
          <t xml:space="preserve">3ª/GRR/UES</t>
        </is>
      </c>
      <c r="B149" s="2" t="inlineStr">
        <is>
          <t xml:space="preserve">Unidade Regional de Empreendimentos Socioambientais</t>
        </is>
      </c>
    </row>
    <row r="150">
      <c r="A150" s="3" t="inlineStr">
        <is>
          <t xml:space="preserve">3ª/GRS</t>
        </is>
      </c>
      <c r="B150" s="3" t="inlineStr">
        <is>
          <t xml:space="preserve">Gerência Regional de Suporte Integrado</t>
        </is>
      </c>
    </row>
    <row r="151">
      <c r="A151" s="2" t="inlineStr">
        <is>
          <t xml:space="preserve">3ª/GRS/ULF</t>
        </is>
      </c>
      <c r="B151" s="2" t="inlineStr">
        <is>
          <t xml:space="preserve">Unidade Regional de Licenciamento Ambiental e Administração Fundiária</t>
        </is>
      </c>
    </row>
    <row r="152">
      <c r="A152" s="3" t="inlineStr">
        <is>
          <t xml:space="preserve">3ª/SL</t>
        </is>
      </c>
      <c r="B152" s="3" t="inlineStr">
        <is>
          <t xml:space="preserve">Secretaria Regional de Licitações</t>
        </is>
      </c>
    </row>
    <row r="153">
      <c r="A153" s="2" t="inlineStr">
        <is>
          <t xml:space="preserve">3ª/SR</t>
        </is>
      </c>
      <c r="B153" s="2" t="inlineStr">
        <is>
          <t xml:space="preserve">3ª Superintendência Regional</t>
        </is>
      </c>
    </row>
    <row r="154">
      <c r="A154" s="3" t="inlineStr">
        <is>
          <t xml:space="preserve">4ª/AJ</t>
        </is>
      </c>
      <c r="B154" s="3" t="inlineStr">
        <is>
          <t xml:space="preserve">Assessoria Jurídica Regional</t>
        </is>
      </c>
    </row>
    <row r="155">
      <c r="A155" s="2" t="inlineStr">
        <is>
          <t xml:space="preserve">4ª/CIT</t>
        </is>
      </c>
      <c r="B155" s="2" t="inlineStr">
        <is>
          <t xml:space="preserve">Centro Integrado de Recursos Pesqueiros e Aquicultura de Betume</t>
        </is>
      </c>
    </row>
    <row r="156">
      <c r="A156" s="3" t="inlineStr">
        <is>
          <t xml:space="preserve">4ª/Cogex</t>
        </is>
      </c>
      <c r="B156" s="3" t="inlineStr">
        <is>
          <t xml:space="preserve">Comitê de Gestão Executiva da Superintendência Regional</t>
        </is>
      </c>
    </row>
    <row r="157">
      <c r="A157" s="2" t="inlineStr">
        <is>
          <t xml:space="preserve">4ª/EPR</t>
        </is>
      </c>
      <c r="B157" s="2" t="inlineStr">
        <is>
          <t xml:space="preserve">Escritório de Apoio Técnico de Propriá</t>
        </is>
      </c>
    </row>
    <row r="158">
      <c r="A158" s="3" t="inlineStr">
        <is>
          <t xml:space="preserve">4ª/GB</t>
        </is>
      </c>
      <c r="B158" s="3" t="inlineStr">
        <is>
          <t xml:space="preserve">Gabinete da Superintendência Regional</t>
        </is>
      </c>
    </row>
    <row r="159">
      <c r="A159" s="2" t="inlineStr">
        <is>
          <t xml:space="preserve">4ª/GB/URC</t>
        </is>
      </c>
      <c r="B159" s="2" t="inlineStr">
        <is>
          <t xml:space="preserve">Unidade Regional de Comunicação</t>
        </is>
      </c>
    </row>
    <row r="160">
      <c r="A160" s="3" t="inlineStr">
        <is>
          <t xml:space="preserve">4ª/GRA</t>
        </is>
      </c>
      <c r="B160" s="3" t="inlineStr">
        <is>
          <t xml:space="preserve">Gerência Regional de Administração e Tecnologia</t>
        </is>
      </c>
    </row>
    <row r="161">
      <c r="A161" s="2" t="inlineStr">
        <is>
          <t xml:space="preserve">4ª/GRA/UGP</t>
        </is>
      </c>
      <c r="B161" s="2" t="inlineStr">
        <is>
          <t xml:space="preserve">Unidade Regional de Gestão de Pessoas</t>
        </is>
      </c>
    </row>
    <row r="162">
      <c r="A162" s="3" t="inlineStr">
        <is>
          <t xml:space="preserve">4ª/GRA/USA</t>
        </is>
      </c>
      <c r="B162" s="3" t="inlineStr">
        <is>
          <t xml:space="preserve">Unidade Regional de Patrimônio, Logística e Serviços Auxiliares</t>
        </is>
      </c>
    </row>
    <row r="163">
      <c r="A163" s="2" t="inlineStr">
        <is>
          <t xml:space="preserve">4ª/GRA/UTI</t>
        </is>
      </c>
      <c r="B163" s="2" t="inlineStr">
        <is>
          <t xml:space="preserve">Unidade Regional de Tecnologia da Informação</t>
        </is>
      </c>
    </row>
    <row r="164">
      <c r="A164" s="3" t="inlineStr">
        <is>
          <t xml:space="preserve">4ª/GRD</t>
        </is>
      </c>
      <c r="B164" s="3" t="inlineStr">
        <is>
          <t xml:space="preserve">Gerência Regional de Infraestrutura</t>
        </is>
      </c>
    </row>
    <row r="165">
      <c r="A165" s="2" t="inlineStr">
        <is>
          <t xml:space="preserve">4ª/GRD/UEP</t>
        </is>
      </c>
      <c r="B165" s="2" t="inlineStr">
        <is>
          <t xml:space="preserve">Unidade Regional de Estudos e Projetos</t>
        </is>
      </c>
    </row>
    <row r="166">
      <c r="A166" s="3" t="inlineStr">
        <is>
          <t xml:space="preserve">4ª/GRD/UIP</t>
        </is>
      </c>
      <c r="B166" s="3" t="inlineStr">
        <is>
          <t xml:space="preserve">Unidade Regional de Implantação e Acompanhamento de Projetos</t>
        </is>
      </c>
    </row>
    <row r="167">
      <c r="A167" s="2" t="inlineStr">
        <is>
          <t xml:space="preserve">4ª/GRG</t>
        </is>
      </c>
      <c r="B167" s="2" t="inlineStr">
        <is>
          <t xml:space="preserve">Gerência Regional de Estratégia e Finanças</t>
        </is>
      </c>
    </row>
    <row r="168">
      <c r="A168" s="3" t="inlineStr">
        <is>
          <t xml:space="preserve">4ª/GRG/UCB</t>
        </is>
      </c>
      <c r="B168" s="3" t="inlineStr">
        <is>
          <t xml:space="preserve">Unidade Regional de Contabilidade</t>
        </is>
      </c>
    </row>
    <row r="169">
      <c r="A169" s="2" t="inlineStr">
        <is>
          <t xml:space="preserve">4ª/GRG/UFN</t>
        </is>
      </c>
      <c r="B169" s="2" t="inlineStr">
        <is>
          <t xml:space="preserve">Unidade Regional de Finanças e Cobrança</t>
        </is>
      </c>
    </row>
    <row r="170">
      <c r="A170" s="3" t="inlineStr">
        <is>
          <t xml:space="preserve">4ª/GRG/UMC</t>
        </is>
      </c>
      <c r="B170" s="3" t="inlineStr">
        <is>
          <t xml:space="preserve">Unidade Regional de Monitoramento e de Controle de Contratos e Convênios</t>
        </is>
      </c>
    </row>
    <row r="171">
      <c r="A171" s="2" t="inlineStr">
        <is>
          <t xml:space="preserve">4ª/GRG/URO</t>
        </is>
      </c>
      <c r="B171" s="2" t="inlineStr">
        <is>
          <t xml:space="preserve">Unidade Regional Orçamentária</t>
        </is>
      </c>
    </row>
    <row r="172">
      <c r="A172" s="3" t="inlineStr">
        <is>
          <t xml:space="preserve">4ª/GRI</t>
        </is>
      </c>
      <c r="B172" s="3" t="inlineStr">
        <is>
          <t xml:space="preserve">Gerência Regional de Irrigação e Operações</t>
        </is>
      </c>
    </row>
    <row r="173">
      <c r="A173" s="2" t="inlineStr">
        <is>
          <t xml:space="preserve">4ª/GRI/UEI</t>
        </is>
      </c>
      <c r="B173" s="2" t="inlineStr">
        <is>
          <t xml:space="preserve">Unidade Regional de Gestão dos Empreendimentos de Irrigação</t>
        </is>
      </c>
    </row>
    <row r="174">
      <c r="A174" s="3" t="inlineStr">
        <is>
          <t xml:space="preserve">4ª/GRI/URP</t>
        </is>
      </c>
      <c r="B174" s="3" t="inlineStr">
        <is>
          <t xml:space="preserve">Unidade Regional de Apoio à Produção</t>
        </is>
      </c>
    </row>
    <row r="175">
      <c r="A175" s="2" t="inlineStr">
        <is>
          <t xml:space="preserve">4ª/GRR</t>
        </is>
      </c>
      <c r="B175" s="2" t="inlineStr">
        <is>
          <t xml:space="preserve">Gerência Regional de Revitalização e Desenvolvimento Territorial</t>
        </is>
      </c>
    </row>
    <row r="176">
      <c r="A176" s="3" t="inlineStr">
        <is>
          <t xml:space="preserve">4ª/GRR/UDT</t>
        </is>
      </c>
      <c r="B176" s="3" t="inlineStr">
        <is>
          <t xml:space="preserve">Unidade Regional de Desenvolvimento Territorial</t>
        </is>
      </c>
    </row>
    <row r="177">
      <c r="A177" s="2" t="inlineStr">
        <is>
          <t xml:space="preserve">4ª/GRR/UES</t>
        </is>
      </c>
      <c r="B177" s="2" t="inlineStr">
        <is>
          <t xml:space="preserve">Unidade Regional de Empreendimentos Socioambientais</t>
        </is>
      </c>
    </row>
    <row r="178">
      <c r="A178" s="3" t="inlineStr">
        <is>
          <t xml:space="preserve">4ª/GRS</t>
        </is>
      </c>
      <c r="B178" s="3" t="inlineStr">
        <is>
          <t xml:space="preserve">Gerência Regional de Suporte Integrado</t>
        </is>
      </c>
    </row>
    <row r="179">
      <c r="A179" s="2" t="inlineStr">
        <is>
          <t xml:space="preserve">4ª/GRS/ULF</t>
        </is>
      </c>
      <c r="B179" s="2" t="inlineStr">
        <is>
          <t xml:space="preserve">Unidade Regional de Licenciamento Ambiental e Administração Fundiária</t>
        </is>
      </c>
    </row>
    <row r="180">
      <c r="A180" s="3" t="inlineStr">
        <is>
          <t xml:space="preserve">4ª/SL</t>
        </is>
      </c>
      <c r="B180" s="3" t="inlineStr">
        <is>
          <t xml:space="preserve">Secretaria Regional de Licitações</t>
        </is>
      </c>
    </row>
    <row r="181">
      <c r="A181" s="2" t="inlineStr">
        <is>
          <t xml:space="preserve">4ª/SR</t>
        </is>
      </c>
      <c r="B181" s="2" t="inlineStr">
        <is>
          <t xml:space="preserve">4ª Superintendência Regional</t>
        </is>
      </c>
    </row>
    <row r="182">
      <c r="A182" s="3" t="inlineStr">
        <is>
          <t xml:space="preserve">5ª/AJ</t>
        </is>
      </c>
      <c r="B182" s="3" t="inlineStr">
        <is>
          <t xml:space="preserve">Assessoria Jurídica Regional</t>
        </is>
      </c>
    </row>
    <row r="183">
      <c r="A183" s="2" t="inlineStr">
        <is>
          <t xml:space="preserve">5ª/CII</t>
        </is>
      </c>
      <c r="B183" s="2" t="inlineStr">
        <is>
          <t xml:space="preserve">Centro Integrado de Recursos Pesqueiros e Aquicultura de Itiúba</t>
        </is>
      </c>
    </row>
    <row r="184">
      <c r="A184" s="3" t="inlineStr">
        <is>
          <t xml:space="preserve">5ª/Cogex</t>
        </is>
      </c>
      <c r="B184" s="3" t="inlineStr">
        <is>
          <t xml:space="preserve">Comitê de Gestão Executiva da Superintendência Regional</t>
        </is>
      </c>
    </row>
    <row r="185">
      <c r="A185" s="2" t="inlineStr">
        <is>
          <t xml:space="preserve">5ª/EPE</t>
        </is>
      </c>
      <c r="B185" s="2" t="inlineStr">
        <is>
          <t xml:space="preserve">Escritório de Apoio Técnico de Penedo</t>
        </is>
      </c>
    </row>
    <row r="186">
      <c r="A186" s="3" t="inlineStr">
        <is>
          <t xml:space="preserve">5ª/GB</t>
        </is>
      </c>
      <c r="B186" s="3" t="inlineStr">
        <is>
          <t xml:space="preserve">Gabinete da Superintendência Regional</t>
        </is>
      </c>
    </row>
    <row r="187">
      <c r="A187" s="2" t="inlineStr">
        <is>
          <t xml:space="preserve">5ª/GB/URC</t>
        </is>
      </c>
      <c r="B187" s="2" t="inlineStr">
        <is>
          <t xml:space="preserve">Unidade Regional de Comunicação</t>
        </is>
      </c>
    </row>
    <row r="188">
      <c r="A188" s="3" t="inlineStr">
        <is>
          <t xml:space="preserve">5ª/GRA</t>
        </is>
      </c>
      <c r="B188" s="3" t="inlineStr">
        <is>
          <t xml:space="preserve">Gerência Regional de Administração e Tecnologia</t>
        </is>
      </c>
    </row>
    <row r="189">
      <c r="A189" s="2" t="inlineStr">
        <is>
          <t xml:space="preserve">5ª/GRA/UGP</t>
        </is>
      </c>
      <c r="B189" s="2" t="inlineStr">
        <is>
          <t xml:space="preserve">Unidade Regional de Gestão de Pessoas</t>
        </is>
      </c>
    </row>
    <row r="190">
      <c r="A190" s="3" t="inlineStr">
        <is>
          <t xml:space="preserve">5ª/GRA/USA</t>
        </is>
      </c>
      <c r="B190" s="3" t="inlineStr">
        <is>
          <t xml:space="preserve">Unidade Regional de Patrimônio, Logística e Serviços Auxiliares</t>
        </is>
      </c>
    </row>
    <row r="191">
      <c r="A191" s="2" t="inlineStr">
        <is>
          <t xml:space="preserve">5ª/GRA/UTI</t>
        </is>
      </c>
      <c r="B191" s="2" t="inlineStr">
        <is>
          <t xml:space="preserve">Unidade Regional de Tecnologia da Informação</t>
        </is>
      </c>
    </row>
    <row r="192">
      <c r="A192" s="3" t="inlineStr">
        <is>
          <t xml:space="preserve">5ª/GRD</t>
        </is>
      </c>
      <c r="B192" s="3" t="inlineStr">
        <is>
          <t xml:space="preserve">Gerência Regional de Infraestrutura</t>
        </is>
      </c>
    </row>
    <row r="193">
      <c r="A193" s="2" t="inlineStr">
        <is>
          <t xml:space="preserve">5ª/GRD/UEP</t>
        </is>
      </c>
      <c r="B193" s="2" t="inlineStr">
        <is>
          <t xml:space="preserve">Unidade Regional de Estudos e Projetos</t>
        </is>
      </c>
    </row>
    <row r="194">
      <c r="A194" s="3" t="inlineStr">
        <is>
          <t xml:space="preserve">5ª/GRD/UIP</t>
        </is>
      </c>
      <c r="B194" s="3" t="inlineStr">
        <is>
          <t xml:space="preserve">Unidade Regional de Implantação e Acompanhamento de Projetos</t>
        </is>
      </c>
    </row>
    <row r="195">
      <c r="A195" s="2" t="inlineStr">
        <is>
          <t xml:space="preserve">5ª/GRG</t>
        </is>
      </c>
      <c r="B195" s="2" t="inlineStr">
        <is>
          <t xml:space="preserve">Gerência Regional de Estratégia e Finanças</t>
        </is>
      </c>
    </row>
    <row r="196">
      <c r="A196" s="3" t="inlineStr">
        <is>
          <t xml:space="preserve">5ª/GRG/UCB</t>
        </is>
      </c>
      <c r="B196" s="3" t="inlineStr">
        <is>
          <t xml:space="preserve">Unidade Regional de Contabilidade</t>
        </is>
      </c>
    </row>
    <row r="197">
      <c r="A197" s="2" t="inlineStr">
        <is>
          <t xml:space="preserve">5ª/GRG/UFN</t>
        </is>
      </c>
      <c r="B197" s="2" t="inlineStr">
        <is>
          <t xml:space="preserve">Unidade Regional de Finanças e Cobrança</t>
        </is>
      </c>
    </row>
    <row r="198">
      <c r="A198" s="3" t="inlineStr">
        <is>
          <t xml:space="preserve">5ª/GRG/UMC</t>
        </is>
      </c>
      <c r="B198" s="3" t="inlineStr">
        <is>
          <t xml:space="preserve">Unidade Regional de Monitoramento e de Controle de Contratos e Convênios</t>
        </is>
      </c>
    </row>
    <row r="199">
      <c r="A199" s="2" t="inlineStr">
        <is>
          <t xml:space="preserve">5ª/GRG/URO</t>
        </is>
      </c>
      <c r="B199" s="2" t="inlineStr">
        <is>
          <t xml:space="preserve">Unidade Regional Orçamentária</t>
        </is>
      </c>
    </row>
    <row r="200">
      <c r="A200" s="3" t="inlineStr">
        <is>
          <t xml:space="preserve">5ª/GRI</t>
        </is>
      </c>
      <c r="B200" s="3" t="inlineStr">
        <is>
          <t xml:space="preserve">Gerência Regional de Irrigação e Operações</t>
        </is>
      </c>
    </row>
    <row r="201">
      <c r="A201" s="2" t="inlineStr">
        <is>
          <t xml:space="preserve">5ª/GRI/UEI</t>
        </is>
      </c>
      <c r="B201" s="2" t="inlineStr">
        <is>
          <t xml:space="preserve">Unidade Regional de Gestão dos Empreendimentos de Irrigação</t>
        </is>
      </c>
    </row>
    <row r="202">
      <c r="A202" s="3" t="inlineStr">
        <is>
          <t xml:space="preserve">5ª/GRI/URP</t>
        </is>
      </c>
      <c r="B202" s="3" t="inlineStr">
        <is>
          <t xml:space="preserve">Unidade Regional de Apoio à Produção</t>
        </is>
      </c>
    </row>
    <row r="203">
      <c r="A203" s="2" t="inlineStr">
        <is>
          <t xml:space="preserve">5ª/GRR</t>
        </is>
      </c>
      <c r="B203" s="2" t="inlineStr">
        <is>
          <t xml:space="preserve">Gerência Regional de Revitalização e Desenvolvimento Territorial</t>
        </is>
      </c>
    </row>
    <row r="204">
      <c r="A204" s="3" t="inlineStr">
        <is>
          <t xml:space="preserve">5ª/GRR/UDT</t>
        </is>
      </c>
      <c r="B204" s="3" t="inlineStr">
        <is>
          <t xml:space="preserve">Unidade Regional de Desenvolvimento Territorial</t>
        </is>
      </c>
    </row>
    <row r="205">
      <c r="A205" s="2" t="inlineStr">
        <is>
          <t xml:space="preserve">5ª/GRR/UES</t>
        </is>
      </c>
      <c r="B205" s="2" t="inlineStr">
        <is>
          <t xml:space="preserve">Unidade Regional de Empreendimentos Socioambientais</t>
        </is>
      </c>
    </row>
    <row r="206">
      <c r="A206" s="3" t="inlineStr">
        <is>
          <t xml:space="preserve">5ª/GRS</t>
        </is>
      </c>
      <c r="B206" s="3" t="inlineStr">
        <is>
          <t xml:space="preserve">Gerência Regional de Suporte Integrado</t>
        </is>
      </c>
    </row>
    <row r="207">
      <c r="A207" s="2" t="inlineStr">
        <is>
          <t xml:space="preserve">5ª/GRS/ULF</t>
        </is>
      </c>
      <c r="B207" s="2" t="inlineStr">
        <is>
          <t xml:space="preserve">Unidade Regional de Licenciamento Ambiental e Administração Fundiária</t>
        </is>
      </c>
    </row>
    <row r="208">
      <c r="A208" s="3" t="inlineStr">
        <is>
          <t xml:space="preserve">5ª/SL</t>
        </is>
      </c>
      <c r="B208" s="3" t="inlineStr">
        <is>
          <t xml:space="preserve">Secretaria Regional de Licitações</t>
        </is>
      </c>
    </row>
    <row r="209">
      <c r="A209" s="2" t="inlineStr">
        <is>
          <t xml:space="preserve">5ª/SR</t>
        </is>
      </c>
      <c r="B209" s="2" t="inlineStr">
        <is>
          <t xml:space="preserve">5ª Superintendência Regional</t>
        </is>
      </c>
    </row>
    <row r="210">
      <c r="A210" s="3" t="inlineStr">
        <is>
          <t xml:space="preserve">6ª/AJ</t>
        </is>
      </c>
      <c r="B210" s="3" t="inlineStr">
        <is>
          <t xml:space="preserve">Assessoria Jurídica Regional</t>
        </is>
      </c>
    </row>
    <row r="211">
      <c r="A211" s="2" t="inlineStr">
        <is>
          <t xml:space="preserve">6ª/Cogex</t>
        </is>
      </c>
      <c r="B211" s="2" t="inlineStr">
        <is>
          <t xml:space="preserve">Comitê de Gestão Executiva da Superintendência Regional</t>
        </is>
      </c>
    </row>
    <row r="212">
      <c r="A212" s="3" t="inlineStr">
        <is>
          <t xml:space="preserve">6ª/ESA</t>
        </is>
      </c>
      <c r="B212" s="3" t="inlineStr">
        <is>
          <t xml:space="preserve">Escritório de Representação de Salvador</t>
        </is>
      </c>
    </row>
    <row r="213">
      <c r="A213" s="2" t="inlineStr">
        <is>
          <t xml:space="preserve">6ª/GB</t>
        </is>
      </c>
      <c r="B213" s="2" t="inlineStr">
        <is>
          <t xml:space="preserve">Gabinete da Superintendência Regional</t>
        </is>
      </c>
    </row>
    <row r="214">
      <c r="A214" s="3" t="inlineStr">
        <is>
          <t xml:space="preserve">6ª/GB/URC</t>
        </is>
      </c>
      <c r="B214" s="3" t="inlineStr">
        <is>
          <t xml:space="preserve">Unidade Regional de Comunicação</t>
        </is>
      </c>
    </row>
    <row r="215">
      <c r="A215" s="2" t="inlineStr">
        <is>
          <t xml:space="preserve">6ª/GRA</t>
        </is>
      </c>
      <c r="B215" s="2" t="inlineStr">
        <is>
          <t xml:space="preserve">Gerência Regional de Administração e Tecnologia</t>
        </is>
      </c>
    </row>
    <row r="216">
      <c r="A216" s="3" t="inlineStr">
        <is>
          <t xml:space="preserve">6ª/GRA/UGP</t>
        </is>
      </c>
      <c r="B216" s="3" t="inlineStr">
        <is>
          <t xml:space="preserve">Unidade Regional de Gestão de Pessoas</t>
        </is>
      </c>
    </row>
    <row r="217">
      <c r="A217" s="2" t="inlineStr">
        <is>
          <t xml:space="preserve">6ª/GRA/USA</t>
        </is>
      </c>
      <c r="B217" s="2" t="inlineStr">
        <is>
          <t xml:space="preserve">Unidade Regional de Patrimônio, Logística e Serviços Auxiliares</t>
        </is>
      </c>
    </row>
    <row r="218">
      <c r="A218" s="3" t="inlineStr">
        <is>
          <t xml:space="preserve">6ª/GRA/UTI</t>
        </is>
      </c>
      <c r="B218" s="3" t="inlineStr">
        <is>
          <t xml:space="preserve">Unidade Regional de Tecnologia da Informação</t>
        </is>
      </c>
    </row>
    <row r="219">
      <c r="A219" s="2" t="inlineStr">
        <is>
          <t xml:space="preserve">6ª/GRD</t>
        </is>
      </c>
      <c r="B219" s="2" t="inlineStr">
        <is>
          <t xml:space="preserve">Gerência Regional de Infraestrutura</t>
        </is>
      </c>
    </row>
    <row r="220">
      <c r="A220" s="3" t="inlineStr">
        <is>
          <t xml:space="preserve">6ª/GRD/UEP</t>
        </is>
      </c>
      <c r="B220" s="3" t="inlineStr">
        <is>
          <t xml:space="preserve">Unidade Regional de Estudos e Projetos</t>
        </is>
      </c>
    </row>
    <row r="221">
      <c r="A221" s="2" t="inlineStr">
        <is>
          <t xml:space="preserve">6ª/GRD/UIP</t>
        </is>
      </c>
      <c r="B221" s="2" t="inlineStr">
        <is>
          <t xml:space="preserve">Unidade Regional de Implantação e Acompanhamento de Projetos</t>
        </is>
      </c>
    </row>
    <row r="222">
      <c r="A222" s="3" t="inlineStr">
        <is>
          <t xml:space="preserve">6ª/GRG</t>
        </is>
      </c>
      <c r="B222" s="3" t="inlineStr">
        <is>
          <t xml:space="preserve">Gerência Regional de Estratégia e Finanças</t>
        </is>
      </c>
    </row>
    <row r="223">
      <c r="A223" s="2" t="inlineStr">
        <is>
          <t xml:space="preserve">6ª/GRG/UCB</t>
        </is>
      </c>
      <c r="B223" s="2" t="inlineStr">
        <is>
          <t xml:space="preserve">Unidade Regional de Contabilidade</t>
        </is>
      </c>
    </row>
    <row r="224">
      <c r="A224" s="3" t="inlineStr">
        <is>
          <t xml:space="preserve">6ª/GRG/UFN</t>
        </is>
      </c>
      <c r="B224" s="3" t="inlineStr">
        <is>
          <t xml:space="preserve">Unidade Regional de Finanças e Cobrança</t>
        </is>
      </c>
    </row>
    <row r="225">
      <c r="A225" s="2" t="inlineStr">
        <is>
          <t xml:space="preserve">6ª/GRG/UFN/SCB</t>
        </is>
      </c>
      <c r="B225" s="2" t="inlineStr">
        <is>
          <t xml:space="preserve">Setor de Cobrança</t>
        </is>
      </c>
    </row>
    <row r="226">
      <c r="A226" s="3" t="inlineStr">
        <is>
          <t xml:space="preserve">6ª/GRG/UMC</t>
        </is>
      </c>
      <c r="B226" s="3" t="inlineStr">
        <is>
          <t xml:space="preserve">Unidade Regional de Monitoramento e de Controle de Contratos e Convênios</t>
        </is>
      </c>
    </row>
    <row r="227">
      <c r="A227" s="2" t="inlineStr">
        <is>
          <t xml:space="preserve">6ª/GRG/URO</t>
        </is>
      </c>
      <c r="B227" s="2" t="inlineStr">
        <is>
          <t xml:space="preserve">Unidade Regional Orçamentária</t>
        </is>
      </c>
    </row>
    <row r="228">
      <c r="A228" s="3" t="inlineStr">
        <is>
          <t xml:space="preserve">6ª/GRI</t>
        </is>
      </c>
      <c r="B228" s="3" t="inlineStr">
        <is>
          <t xml:space="preserve">Gerência Regional de Irrigação e Operações</t>
        </is>
      </c>
    </row>
    <row r="229">
      <c r="A229" s="2" t="inlineStr">
        <is>
          <t xml:space="preserve">6ª/GRI/UEI</t>
        </is>
      </c>
      <c r="B229" s="2" t="inlineStr">
        <is>
          <t xml:space="preserve">Unidade Regional de Gestão dos Empreendimentos de Irrigação</t>
        </is>
      </c>
    </row>
    <row r="230">
      <c r="A230" s="3" t="inlineStr">
        <is>
          <t xml:space="preserve">6ª/GRI/URP</t>
        </is>
      </c>
      <c r="B230" s="3" t="inlineStr">
        <is>
          <t xml:space="preserve">Unidade Regional de Apoio à Produção</t>
        </is>
      </c>
    </row>
    <row r="231">
      <c r="A231" s="2" t="inlineStr">
        <is>
          <t xml:space="preserve">6ª/GRR</t>
        </is>
      </c>
      <c r="B231" s="2" t="inlineStr">
        <is>
          <t xml:space="preserve">Gerência Regional de Revitalização e Desenvolvimento Territorial</t>
        </is>
      </c>
    </row>
    <row r="232">
      <c r="A232" s="3" t="inlineStr">
        <is>
          <t xml:space="preserve">6ª/GRR/UDT</t>
        </is>
      </c>
      <c r="B232" s="3" t="inlineStr">
        <is>
          <t xml:space="preserve">Unidade Regional de Desenvolvimento Territorial</t>
        </is>
      </c>
    </row>
    <row r="233">
      <c r="A233" s="2" t="inlineStr">
        <is>
          <t xml:space="preserve">6ª/GRR/UES</t>
        </is>
      </c>
      <c r="B233" s="2" t="inlineStr">
        <is>
          <t xml:space="preserve">Unidade Regional de Empreendimentos Socioambientais</t>
        </is>
      </c>
    </row>
    <row r="234">
      <c r="A234" s="3" t="inlineStr">
        <is>
          <t xml:space="preserve">6ª/GRS</t>
        </is>
      </c>
      <c r="B234" s="3" t="inlineStr">
        <is>
          <t xml:space="preserve">Gerência Regional de Suporte Integrado</t>
        </is>
      </c>
    </row>
    <row r="235">
      <c r="A235" s="2" t="inlineStr">
        <is>
          <t xml:space="preserve">6ª/GRS/ULF</t>
        </is>
      </c>
      <c r="B235" s="2" t="inlineStr">
        <is>
          <t xml:space="preserve">Unidade Regional de Licenciamento Ambiental e Administração Fundiária</t>
        </is>
      </c>
    </row>
    <row r="236">
      <c r="A236" s="3" t="inlineStr">
        <is>
          <t xml:space="preserve">6ª/SL</t>
        </is>
      </c>
      <c r="B236" s="3" t="inlineStr">
        <is>
          <t xml:space="preserve">Secretaria Regional de Licitações</t>
        </is>
      </c>
    </row>
    <row r="237">
      <c r="A237" s="2" t="inlineStr">
        <is>
          <t xml:space="preserve">6ª/SR</t>
        </is>
      </c>
      <c r="B237" s="2" t="inlineStr">
        <is>
          <t xml:space="preserve">6ª Superintendência Regional</t>
        </is>
      </c>
    </row>
    <row r="238">
      <c r="A238" s="3" t="inlineStr">
        <is>
          <t xml:space="preserve">6ª/UPF</t>
        </is>
      </c>
      <c r="B238" s="3" t="inlineStr">
        <is>
          <t xml:space="preserve">Unidade Regional Descentralizada de Paulo Afonso</t>
        </is>
      </c>
    </row>
    <row r="239">
      <c r="A239" s="2" t="inlineStr">
        <is>
          <t xml:space="preserve">7ª/AJ</t>
        </is>
      </c>
      <c r="B239" s="2" t="inlineStr">
        <is>
          <t xml:space="preserve">Assessoria Jurídica Regional</t>
        </is>
      </c>
    </row>
    <row r="240">
      <c r="A240" s="3" t="inlineStr">
        <is>
          <t xml:space="preserve">7ª/Cogex</t>
        </is>
      </c>
      <c r="B240" s="3" t="inlineStr">
        <is>
          <t xml:space="preserve">Comitê de Gestão Executiva da Superintendência Regional</t>
        </is>
      </c>
    </row>
    <row r="241">
      <c r="A241" s="2" t="inlineStr">
        <is>
          <t xml:space="preserve">7ª/EOE</t>
        </is>
      </c>
      <c r="B241" s="2" t="inlineStr">
        <is>
          <t xml:space="preserve">Escritório de Apoio Técnico de Oeiras</t>
        </is>
      </c>
    </row>
    <row r="242">
      <c r="A242" s="3" t="inlineStr">
        <is>
          <t xml:space="preserve">7ª/EPA</t>
        </is>
      </c>
      <c r="B242" s="3" t="inlineStr">
        <is>
          <t xml:space="preserve">Escritório de Apoio Técnico de Parnaíba</t>
        </is>
      </c>
    </row>
    <row r="243">
      <c r="A243" s="2" t="inlineStr">
        <is>
          <t xml:space="preserve">7ª/ERN</t>
        </is>
      </c>
      <c r="B243" s="2" t="inlineStr">
        <is>
          <t xml:space="preserve">Escritório de Apoio Técnico de São Raimundo Nonato</t>
        </is>
      </c>
    </row>
    <row r="244">
      <c r="A244" s="3" t="inlineStr">
        <is>
          <t xml:space="preserve">7ª/GB</t>
        </is>
      </c>
      <c r="B244" s="3" t="inlineStr">
        <is>
          <t xml:space="preserve">Gabinete da Superintendência Regional</t>
        </is>
      </c>
    </row>
    <row r="245">
      <c r="A245" s="2" t="inlineStr">
        <is>
          <t xml:space="preserve">7ª/GB/URC</t>
        </is>
      </c>
      <c r="B245" s="2" t="inlineStr">
        <is>
          <t xml:space="preserve">Unidade Regional de Comunicação</t>
        </is>
      </c>
    </row>
    <row r="246">
      <c r="A246" s="3" t="inlineStr">
        <is>
          <t xml:space="preserve">7ª/GRA</t>
        </is>
      </c>
      <c r="B246" s="3" t="inlineStr">
        <is>
          <t xml:space="preserve">Gerência Regional de Administração e Tecnologia</t>
        </is>
      </c>
    </row>
    <row r="247">
      <c r="A247" s="2" t="inlineStr">
        <is>
          <t xml:space="preserve">7ª/GRA/UGP</t>
        </is>
      </c>
      <c r="B247" s="2" t="inlineStr">
        <is>
          <t xml:space="preserve">Unidade Regional de Gestão de Pessoas</t>
        </is>
      </c>
    </row>
    <row r="248">
      <c r="A248" s="3" t="inlineStr">
        <is>
          <t xml:space="preserve">7ª/GRA/USA</t>
        </is>
      </c>
      <c r="B248" s="3" t="inlineStr">
        <is>
          <t xml:space="preserve">Unidade Regional de Patrimônio, Logística e Serviços Auxiliares</t>
        </is>
      </c>
    </row>
    <row r="249">
      <c r="A249" s="2" t="inlineStr">
        <is>
          <t xml:space="preserve">7ª/GRA/UTI</t>
        </is>
      </c>
      <c r="B249" s="2" t="inlineStr">
        <is>
          <t xml:space="preserve">Unidade Regional de Tecnologia da Informação</t>
        </is>
      </c>
    </row>
    <row r="250">
      <c r="A250" s="3" t="inlineStr">
        <is>
          <t xml:space="preserve">7ª/GRD</t>
        </is>
      </c>
      <c r="B250" s="3" t="inlineStr">
        <is>
          <t xml:space="preserve">Gerência Regional de Infraestrutura</t>
        </is>
      </c>
    </row>
    <row r="251">
      <c r="A251" s="2" t="inlineStr">
        <is>
          <t xml:space="preserve">7ª/GRD/UEP</t>
        </is>
      </c>
      <c r="B251" s="2" t="inlineStr">
        <is>
          <t xml:space="preserve">Unidade Regional de Estudos e Projetos</t>
        </is>
      </c>
    </row>
    <row r="252">
      <c r="A252" s="3" t="inlineStr">
        <is>
          <t xml:space="preserve">7ª/GRD/UIP</t>
        </is>
      </c>
      <c r="B252" s="3" t="inlineStr">
        <is>
          <t xml:space="preserve">Unidade Regional de Implantação e Acompanhamento de Projetos</t>
        </is>
      </c>
    </row>
    <row r="253">
      <c r="A253" s="2" t="inlineStr">
        <is>
          <t xml:space="preserve">7ª/GRD/UPS</t>
        </is>
      </c>
      <c r="B253" s="2" t="inlineStr">
        <is>
          <t xml:space="preserve">Unidade Regional de Projetos Especiais</t>
        </is>
      </c>
    </row>
    <row r="254">
      <c r="A254" s="3" t="inlineStr">
        <is>
          <t xml:space="preserve">7ª/GRG</t>
        </is>
      </c>
      <c r="B254" s="3" t="inlineStr">
        <is>
          <t xml:space="preserve">Gerência Regional de Estratégia e Finanças</t>
        </is>
      </c>
    </row>
    <row r="255">
      <c r="A255" s="2" t="inlineStr">
        <is>
          <t xml:space="preserve">7ª/GRG/UCB</t>
        </is>
      </c>
      <c r="B255" s="2" t="inlineStr">
        <is>
          <t xml:space="preserve">Unidade Regional de Contabilidade</t>
        </is>
      </c>
    </row>
    <row r="256">
      <c r="A256" s="3" t="inlineStr">
        <is>
          <t xml:space="preserve">7ª/GRG/UFN</t>
        </is>
      </c>
      <c r="B256" s="3" t="inlineStr">
        <is>
          <t xml:space="preserve">Unidade Regional de Finanças e Cobrança</t>
        </is>
      </c>
    </row>
    <row r="257">
      <c r="A257" s="2" t="inlineStr">
        <is>
          <t xml:space="preserve">7ª/GRG/UMC</t>
        </is>
      </c>
      <c r="B257" s="2" t="inlineStr">
        <is>
          <t xml:space="preserve">Unidade Regional de Monitoramento e de Controle de Contratos e Convênios</t>
        </is>
      </c>
    </row>
    <row r="258">
      <c r="A258" s="3" t="inlineStr">
        <is>
          <t xml:space="preserve">7ª/GRG/URO</t>
        </is>
      </c>
      <c r="B258" s="3" t="inlineStr">
        <is>
          <t xml:space="preserve">Unidade Regional Orçamentária</t>
        </is>
      </c>
    </row>
    <row r="259">
      <c r="A259" s="2" t="inlineStr">
        <is>
          <t xml:space="preserve">7ª/GRI</t>
        </is>
      </c>
      <c r="B259" s="2" t="inlineStr">
        <is>
          <t xml:space="preserve">Gerência Regional de Irrigação e Operações</t>
        </is>
      </c>
    </row>
    <row r="260">
      <c r="A260" s="3" t="inlineStr">
        <is>
          <t xml:space="preserve">7ª/GRI/UEI</t>
        </is>
      </c>
      <c r="B260" s="3" t="inlineStr">
        <is>
          <t xml:space="preserve">Unidade Regional de Gestão dos Empreendimentos de Irrigação</t>
        </is>
      </c>
    </row>
    <row r="261">
      <c r="A261" s="2" t="inlineStr">
        <is>
          <t xml:space="preserve">7ª/GRI/URP</t>
        </is>
      </c>
      <c r="B261" s="2" t="inlineStr">
        <is>
          <t xml:space="preserve">Unidade Regional de Apoio à Produção</t>
        </is>
      </c>
    </row>
    <row r="262">
      <c r="A262" s="3" t="inlineStr">
        <is>
          <t xml:space="preserve">7ª/GRR</t>
        </is>
      </c>
      <c r="B262" s="3" t="inlineStr">
        <is>
          <t xml:space="preserve">Gerência Regional de Revitalização e Desenvolvimento Territorial</t>
        </is>
      </c>
    </row>
    <row r="263">
      <c r="A263" s="2" t="inlineStr">
        <is>
          <t xml:space="preserve">7ª/GRR/UDT</t>
        </is>
      </c>
      <c r="B263" s="2" t="inlineStr">
        <is>
          <t xml:space="preserve">Unidade Regional de Desenvolvimento Territorial</t>
        </is>
      </c>
    </row>
    <row r="264">
      <c r="A264" s="3" t="inlineStr">
        <is>
          <t xml:space="preserve">7ª/GRR/UES</t>
        </is>
      </c>
      <c r="B264" s="3" t="inlineStr">
        <is>
          <t xml:space="preserve">Unidade Regional de Empreendimentos Socioambientais</t>
        </is>
      </c>
    </row>
    <row r="265">
      <c r="A265" s="2" t="inlineStr">
        <is>
          <t xml:space="preserve">7ª/GRS</t>
        </is>
      </c>
      <c r="B265" s="2" t="inlineStr">
        <is>
          <t xml:space="preserve">Gerência Regional de Suporte Integrado</t>
        </is>
      </c>
    </row>
    <row r="266">
      <c r="A266" s="3" t="inlineStr">
        <is>
          <t xml:space="preserve">7ª/GRS/ULF</t>
        </is>
      </c>
      <c r="B266" s="3" t="inlineStr">
        <is>
          <t xml:space="preserve">Unidade Regional de Licenciamento Ambiental e Administração Fundiária</t>
        </is>
      </c>
    </row>
    <row r="267">
      <c r="A267" s="2" t="inlineStr">
        <is>
          <t xml:space="preserve">7ª/SL</t>
        </is>
      </c>
      <c r="B267" s="2" t="inlineStr">
        <is>
          <t xml:space="preserve">Secretaria Regional de Licitações</t>
        </is>
      </c>
    </row>
    <row r="268">
      <c r="A268" s="3" t="inlineStr">
        <is>
          <t xml:space="preserve">7ª/SR</t>
        </is>
      </c>
      <c r="B268" s="3" t="inlineStr">
        <is>
          <t xml:space="preserve">7ª Superintendência Regional</t>
        </is>
      </c>
    </row>
    <row r="269">
      <c r="A269" s="2" t="inlineStr">
        <is>
          <t xml:space="preserve">8ª/AJ</t>
        </is>
      </c>
      <c r="B269" s="2" t="inlineStr">
        <is>
          <t xml:space="preserve">Assessoria Jurídica Regional</t>
        </is>
      </c>
    </row>
    <row r="270">
      <c r="A270" s="3" t="inlineStr">
        <is>
          <t xml:space="preserve">8ª/Cogex</t>
        </is>
      </c>
      <c r="B270" s="3" t="inlineStr">
        <is>
          <t xml:space="preserve">Comitê de Gestão Executiva da Superintendência Regional</t>
        </is>
      </c>
    </row>
    <row r="271">
      <c r="A271" s="2" t="inlineStr">
        <is>
          <t xml:space="preserve">8ª/EIM</t>
        </is>
      </c>
      <c r="B271" s="2" t="inlineStr">
        <is>
          <t xml:space="preserve">Escritório de Apoio Técnico de Imperatriz</t>
        </is>
      </c>
    </row>
    <row r="272">
      <c r="A272" s="3" t="inlineStr">
        <is>
          <t xml:space="preserve">8ª/EPD</t>
        </is>
      </c>
      <c r="B272" s="3" t="inlineStr">
        <is>
          <t xml:space="preserve">Escritório de Apoio Técnico de Presidente Dutra</t>
        </is>
      </c>
    </row>
    <row r="273">
      <c r="A273" s="2" t="inlineStr">
        <is>
          <t xml:space="preserve">8ª/GB</t>
        </is>
      </c>
      <c r="B273" s="2" t="inlineStr">
        <is>
          <t xml:space="preserve">Gabinete da Superintendência Regional</t>
        </is>
      </c>
    </row>
    <row r="274">
      <c r="A274" s="3" t="inlineStr">
        <is>
          <t xml:space="preserve">8ª/GB/URC</t>
        </is>
      </c>
      <c r="B274" s="3" t="inlineStr">
        <is>
          <t xml:space="preserve">Unidade Regional de Comunicação</t>
        </is>
      </c>
    </row>
    <row r="275">
      <c r="A275" s="2" t="inlineStr">
        <is>
          <t xml:space="preserve">8ª/GRA</t>
        </is>
      </c>
      <c r="B275" s="2" t="inlineStr">
        <is>
          <t xml:space="preserve">Gerência Regional de Administração e Tecnologia</t>
        </is>
      </c>
    </row>
    <row r="276">
      <c r="A276" s="3" t="inlineStr">
        <is>
          <t xml:space="preserve">8ª/GRA/UGP</t>
        </is>
      </c>
      <c r="B276" s="3" t="inlineStr">
        <is>
          <t xml:space="preserve">Unidade Regional de Gestão de Pessoas</t>
        </is>
      </c>
    </row>
    <row r="277">
      <c r="A277" s="2" t="inlineStr">
        <is>
          <t xml:space="preserve">8ª/GRA/USA</t>
        </is>
      </c>
      <c r="B277" s="2" t="inlineStr">
        <is>
          <t xml:space="preserve">Unidade Regional de Patrimônio, Logística e Serviços Auxiliares</t>
        </is>
      </c>
    </row>
    <row r="278">
      <c r="A278" s="3" t="inlineStr">
        <is>
          <t xml:space="preserve">8ª/GRA/UTI</t>
        </is>
      </c>
      <c r="B278" s="3" t="inlineStr">
        <is>
          <t xml:space="preserve">Unidade Regional de Tecnologia da Informação</t>
        </is>
      </c>
    </row>
    <row r="279">
      <c r="A279" s="2" t="inlineStr">
        <is>
          <t xml:space="preserve">8ª/GRD</t>
        </is>
      </c>
      <c r="B279" s="2" t="inlineStr">
        <is>
          <t xml:space="preserve">Gerência Regional de Infraestrutura</t>
        </is>
      </c>
    </row>
    <row r="280">
      <c r="A280" s="3" t="inlineStr">
        <is>
          <t xml:space="preserve">8ª/GRD/UEP</t>
        </is>
      </c>
      <c r="B280" s="3" t="inlineStr">
        <is>
          <t xml:space="preserve">Unidade Regional de Estudos e Projetos</t>
        </is>
      </c>
    </row>
    <row r="281">
      <c r="A281" s="2" t="inlineStr">
        <is>
          <t xml:space="preserve">8ª/GRD/UIP</t>
        </is>
      </c>
      <c r="B281" s="2" t="inlineStr">
        <is>
          <t xml:space="preserve">Unidade Regional de Implantação e Acompanhamento de Projetos</t>
        </is>
      </c>
    </row>
    <row r="282">
      <c r="A282" s="3" t="inlineStr">
        <is>
          <t xml:space="preserve">8ª/GRD/UPS</t>
        </is>
      </c>
      <c r="B282" s="3" t="inlineStr">
        <is>
          <t xml:space="preserve">Unidade Regional de Projetos Especiais</t>
        </is>
      </c>
    </row>
    <row r="283">
      <c r="A283" s="2" t="inlineStr">
        <is>
          <t xml:space="preserve">8ª/GRG</t>
        </is>
      </c>
      <c r="B283" s="2" t="inlineStr">
        <is>
          <t xml:space="preserve">Gerência Regional de Estratégia e Finanças</t>
        </is>
      </c>
    </row>
    <row r="284">
      <c r="A284" s="3" t="inlineStr">
        <is>
          <t xml:space="preserve">8ª/GRG/UCB</t>
        </is>
      </c>
      <c r="B284" s="3" t="inlineStr">
        <is>
          <t xml:space="preserve">Unidade Regional de Contabilidade</t>
        </is>
      </c>
    </row>
    <row r="285">
      <c r="A285" s="2" t="inlineStr">
        <is>
          <t xml:space="preserve">8ª/GRG/UFN</t>
        </is>
      </c>
      <c r="B285" s="2" t="inlineStr">
        <is>
          <t xml:space="preserve">Unidade Regional de Finanças e Cobrança</t>
        </is>
      </c>
    </row>
    <row r="286">
      <c r="A286" s="3" t="inlineStr">
        <is>
          <t xml:space="preserve">8ª/GRG/UMC</t>
        </is>
      </c>
      <c r="B286" s="3" t="inlineStr">
        <is>
          <t xml:space="preserve">Unidade Regional de Monitoramento e de Controle de Contratos e Convênios</t>
        </is>
      </c>
    </row>
    <row r="287">
      <c r="A287" s="2" t="inlineStr">
        <is>
          <t xml:space="preserve">8ª/GRG/URO</t>
        </is>
      </c>
      <c r="B287" s="2" t="inlineStr">
        <is>
          <t xml:space="preserve">Unidade Regional Orçamentária</t>
        </is>
      </c>
    </row>
    <row r="288">
      <c r="A288" s="3" t="inlineStr">
        <is>
          <t xml:space="preserve">8ª/GRR</t>
        </is>
      </c>
      <c r="B288" s="3" t="inlineStr">
        <is>
          <t xml:space="preserve">Gerência Regional de Revitalização e Desenvolvimento Territorial</t>
        </is>
      </c>
    </row>
    <row r="289">
      <c r="A289" s="2" t="inlineStr">
        <is>
          <t xml:space="preserve">8ª/GRR/UDT</t>
        </is>
      </c>
      <c r="B289" s="2" t="inlineStr">
        <is>
          <t xml:space="preserve">Unidade Regional de Desenvolvimento Territorial</t>
        </is>
      </c>
    </row>
    <row r="290">
      <c r="A290" s="3" t="inlineStr">
        <is>
          <t xml:space="preserve">8ª/GRR/UES</t>
        </is>
      </c>
      <c r="B290" s="3" t="inlineStr">
        <is>
          <t xml:space="preserve">Unidade Regional de Empreendimentos Socioambientais</t>
        </is>
      </c>
    </row>
    <row r="291">
      <c r="A291" s="2" t="inlineStr">
        <is>
          <t xml:space="preserve">8ª/GRS</t>
        </is>
      </c>
      <c r="B291" s="2" t="inlineStr">
        <is>
          <t xml:space="preserve">Gerência Regional de Suporte Integrado</t>
        </is>
      </c>
    </row>
    <row r="292">
      <c r="A292" s="3" t="inlineStr">
        <is>
          <t xml:space="preserve">8ª/GRS/ULF</t>
        </is>
      </c>
      <c r="B292" s="3" t="inlineStr">
        <is>
          <t xml:space="preserve">Unidade Regional de Licenciamento Ambiental e Administração Fundiária</t>
        </is>
      </c>
    </row>
    <row r="293">
      <c r="A293" s="2" t="inlineStr">
        <is>
          <t xml:space="preserve">8ª/SL</t>
        </is>
      </c>
      <c r="B293" s="2" t="inlineStr">
        <is>
          <t xml:space="preserve">Secretaria Regional de Licitações</t>
        </is>
      </c>
    </row>
    <row r="294">
      <c r="A294" s="3" t="inlineStr">
        <is>
          <t xml:space="preserve">8ª/SR</t>
        </is>
      </c>
      <c r="B294" s="3" t="inlineStr">
        <is>
          <t xml:space="preserve">8ª Superintendência Regional</t>
        </is>
      </c>
    </row>
    <row r="295">
      <c r="A295" s="2" t="inlineStr">
        <is>
          <t xml:space="preserve">9ª/AJ</t>
        </is>
      </c>
      <c r="B295" s="2" t="inlineStr">
        <is>
          <t xml:space="preserve">Assessoria Jurídica Regional</t>
        </is>
      </c>
    </row>
    <row r="296">
      <c r="A296" s="3" t="inlineStr">
        <is>
          <t xml:space="preserve">9ª/Cogex</t>
        </is>
      </c>
      <c r="B296" s="3" t="inlineStr">
        <is>
          <t xml:space="preserve">Comitê de Gestão Executiva da Superintendência Regional</t>
        </is>
      </c>
    </row>
    <row r="297">
      <c r="A297" s="2" t="inlineStr">
        <is>
          <t xml:space="preserve">9ª/GB</t>
        </is>
      </c>
      <c r="B297" s="2" t="inlineStr">
        <is>
          <t xml:space="preserve">Gabinete da Superintendência Regional</t>
        </is>
      </c>
    </row>
    <row r="298">
      <c r="A298" s="3" t="inlineStr">
        <is>
          <t xml:space="preserve">9ª/GGR</t>
        </is>
      </c>
      <c r="B298" s="3" t="inlineStr">
        <is>
          <t xml:space="preserve">Gerência de Gestão Regional</t>
        </is>
      </c>
    </row>
    <row r="299">
      <c r="A299" s="2" t="inlineStr">
        <is>
          <t xml:space="preserve">9ª/GGR/UOF</t>
        </is>
      </c>
      <c r="B299" s="2" t="inlineStr">
        <is>
          <t xml:space="preserve">Unidade Regional de Orçamento e Finanças</t>
        </is>
      </c>
    </row>
    <row r="300">
      <c r="A300" s="3" t="inlineStr">
        <is>
          <t xml:space="preserve">9ª/GGR/UOF/SCO</t>
        </is>
      </c>
      <c r="B300" s="3" t="inlineStr">
        <is>
          <t xml:space="preserve">Setor de Contabilidade</t>
        </is>
      </c>
    </row>
    <row r="301">
      <c r="A301" s="2" t="inlineStr">
        <is>
          <t xml:space="preserve">9ª/GGR/URA</t>
        </is>
      </c>
      <c r="B301" s="2" t="inlineStr">
        <is>
          <t xml:space="preserve">Unidade Regional de Administração</t>
        </is>
      </c>
    </row>
    <row r="302">
      <c r="A302" s="3" t="inlineStr">
        <is>
          <t xml:space="preserve">9ª/GRD</t>
        </is>
      </c>
      <c r="B302" s="3" t="inlineStr">
        <is>
          <t xml:space="preserve">Gerência Regional de Infraestrutura</t>
        </is>
      </c>
    </row>
    <row r="303">
      <c r="A303" s="2" t="inlineStr">
        <is>
          <t xml:space="preserve">9ª/GRD/UEP</t>
        </is>
      </c>
      <c r="B303" s="2" t="inlineStr">
        <is>
          <t xml:space="preserve">Unidade Regional de Estudos e Projetos</t>
        </is>
      </c>
    </row>
    <row r="304">
      <c r="A304" s="3" t="inlineStr">
        <is>
          <t xml:space="preserve">9ª/GRD/UIP</t>
        </is>
      </c>
      <c r="B304" s="3" t="inlineStr">
        <is>
          <t xml:space="preserve">Unidade Regional de Implantação e Acompanhamento de Projetos</t>
        </is>
      </c>
    </row>
    <row r="305">
      <c r="A305" s="2" t="inlineStr">
        <is>
          <t xml:space="preserve">9ª/GRR</t>
        </is>
      </c>
      <c r="B305" s="2" t="inlineStr">
        <is>
          <t xml:space="preserve">Gerência Regional de Revitalização e Desenvolvimento Territorial</t>
        </is>
      </c>
    </row>
    <row r="306">
      <c r="A306" s="3" t="inlineStr">
        <is>
          <t xml:space="preserve">9ª/GRR/UDT</t>
        </is>
      </c>
      <c r="B306" s="3" t="inlineStr">
        <is>
          <t xml:space="preserve">Unidade Regional de Desenvolvimento Territorial</t>
        </is>
      </c>
    </row>
    <row r="307">
      <c r="A307" s="2" t="inlineStr">
        <is>
          <t xml:space="preserve">9ª/GRR/UES</t>
        </is>
      </c>
      <c r="B307" s="2" t="inlineStr">
        <is>
          <t xml:space="preserve">Unidade Regional de Empreendimentos Socioambientais</t>
        </is>
      </c>
    </row>
    <row r="308">
      <c r="A308" s="3" t="inlineStr">
        <is>
          <t xml:space="preserve">9ª/SL</t>
        </is>
      </c>
      <c r="B308" s="3" t="inlineStr">
        <is>
          <t xml:space="preserve">Secretaria Regional de Licitações</t>
        </is>
      </c>
    </row>
    <row r="309">
      <c r="A309" s="2" t="inlineStr">
        <is>
          <t xml:space="preserve">9ª/SR</t>
        </is>
      </c>
      <c r="B309" s="2" t="inlineStr">
        <is>
          <t xml:space="preserve">9ª Superintendência Regional</t>
        </is>
      </c>
    </row>
    <row r="310">
      <c r="A310" s="3" t="inlineStr">
        <is>
          <t xml:space="preserve">AA</t>
        </is>
      </c>
      <c r="B310" s="3" t="inlineStr">
        <is>
          <t xml:space="preserve">Área de Administração e Tecnologia</t>
        </is>
      </c>
    </row>
    <row r="311">
      <c r="A311" s="2" t="inlineStr">
        <is>
          <t xml:space="preserve">AA/GGP</t>
        </is>
      </c>
      <c r="B311" s="2" t="inlineStr">
        <is>
          <t xml:space="preserve">Gerência de Gestão de Pessoas</t>
        </is>
      </c>
    </row>
    <row r="312">
      <c r="A312" s="3" t="inlineStr">
        <is>
          <t xml:space="preserve">AA/GGP/UBS</t>
        </is>
      </c>
      <c r="B312" s="3" t="inlineStr">
        <is>
          <t xml:space="preserve">Unidade de Benefícios e Saúde Ocupacional</t>
        </is>
      </c>
    </row>
    <row r="313">
      <c r="A313" s="2" t="inlineStr">
        <is>
          <t xml:space="preserve">AA/GGP/UCP</t>
        </is>
      </c>
      <c r="B313" s="2" t="inlineStr">
        <is>
          <t xml:space="preserve">Unidade de Cadastro e Pagamento</t>
        </is>
      </c>
    </row>
    <row r="314">
      <c r="A314" s="3" t="inlineStr">
        <is>
          <t xml:space="preserve">AA/GGP/UDP</t>
        </is>
      </c>
      <c r="B314" s="3" t="inlineStr">
        <is>
          <t xml:space="preserve">Unidade de Desenvolvimento de Pessoas</t>
        </is>
      </c>
    </row>
    <row r="315">
      <c r="A315" s="2" t="inlineStr">
        <is>
          <t xml:space="preserve">AA/GGP/URT</t>
        </is>
      </c>
      <c r="B315" s="2" t="inlineStr">
        <is>
          <t xml:space="preserve">Unidade de Relações de Trabalho</t>
        </is>
      </c>
    </row>
    <row r="316">
      <c r="A316" s="3" t="inlineStr">
        <is>
          <t xml:space="preserve">AA/GPA</t>
        </is>
      </c>
      <c r="B316" s="3" t="inlineStr">
        <is>
          <t xml:space="preserve">Gerência de Patrimônio, Logística e Serviços Auxiliares</t>
        </is>
      </c>
    </row>
    <row r="317">
      <c r="A317" s="2" t="inlineStr">
        <is>
          <t xml:space="preserve">AA/GPA/SBI</t>
        </is>
      </c>
      <c r="B317" s="2" t="inlineStr">
        <is>
          <t xml:space="preserve">Setor de Biblioteca</t>
        </is>
      </c>
    </row>
    <row r="318">
      <c r="A318" s="3" t="inlineStr">
        <is>
          <t xml:space="preserve">AA/GPA/SDP</t>
        </is>
      </c>
      <c r="B318" s="3" t="inlineStr">
        <is>
          <t xml:space="preserve">Setor de Documentação e Protocolo</t>
        </is>
      </c>
    </row>
    <row r="319">
      <c r="A319" s="2" t="inlineStr">
        <is>
          <t xml:space="preserve">AA/GPA/UAL</t>
        </is>
      </c>
      <c r="B319" s="2" t="inlineStr">
        <is>
          <t xml:space="preserve">Unidade de Administração Predial e Logística</t>
        </is>
      </c>
    </row>
    <row r="320">
      <c r="A320" s="3" t="inlineStr">
        <is>
          <t xml:space="preserve">AA/GPA/UCS</t>
        </is>
      </c>
      <c r="B320" s="3" t="inlineStr">
        <is>
          <t xml:space="preserve">Unidade de Compras Administrativas</t>
        </is>
      </c>
    </row>
    <row r="321">
      <c r="A321" s="2" t="inlineStr">
        <is>
          <t xml:space="preserve">AA/GPA/UPM</t>
        </is>
      </c>
      <c r="B321" s="2" t="inlineStr">
        <is>
          <t xml:space="preserve">Unidade de Patrimônio e Material</t>
        </is>
      </c>
    </row>
    <row r="322">
      <c r="A322" s="3" t="inlineStr">
        <is>
          <t xml:space="preserve">AA/GTI</t>
        </is>
      </c>
      <c r="B322" s="3" t="inlineStr">
        <is>
          <t xml:space="preserve">Gerência de Tecnologia da Informação</t>
        </is>
      </c>
    </row>
    <row r="323">
      <c r="A323" s="2" t="inlineStr">
        <is>
          <t xml:space="preserve">AA/GTI/UIT</t>
        </is>
      </c>
      <c r="B323" s="2" t="inlineStr">
        <is>
          <t xml:space="preserve">Unidade de Infraestrutura e Tecnologia</t>
        </is>
      </c>
    </row>
    <row r="324">
      <c r="A324" s="3" t="inlineStr">
        <is>
          <t xml:space="preserve">AA/GTI/UPC</t>
        </is>
      </c>
      <c r="B324" s="3" t="inlineStr">
        <is>
          <t xml:space="preserve">Unidade de Conformidade e Controle de Tecnologia da Informação</t>
        </is>
      </c>
    </row>
    <row r="325">
      <c r="A325" s="2" t="inlineStr">
        <is>
          <t xml:space="preserve">AA/GTI/USC</t>
        </is>
      </c>
      <c r="B325" s="2" t="inlineStr">
        <is>
          <t xml:space="preserve">Unidade de Segurança Cibernética</t>
        </is>
      </c>
    </row>
    <row r="326">
      <c r="A326" s="3" t="inlineStr">
        <is>
          <t xml:space="preserve">AA/GTI/USI</t>
        </is>
      </c>
      <c r="B326" s="3" t="inlineStr">
        <is>
          <t xml:space="preserve">Unidade de Sistemas de Informações</t>
        </is>
      </c>
    </row>
    <row r="327">
      <c r="A327" s="2" t="inlineStr">
        <is>
          <t xml:space="preserve">AD</t>
        </is>
      </c>
      <c r="B327" s="2" t="inlineStr">
        <is>
          <t xml:space="preserve">Área de Desenvolvimento e Infraestrutura</t>
        </is>
      </c>
    </row>
    <row r="328">
      <c r="A328" s="3" t="inlineStr">
        <is>
          <t xml:space="preserve">AD/GEP</t>
        </is>
      </c>
      <c r="B328" s="3" t="inlineStr">
        <is>
          <t xml:space="preserve">Gerência de Estudos e Projetos</t>
        </is>
      </c>
    </row>
    <row r="329">
      <c r="A329" s="2" t="inlineStr">
        <is>
          <t xml:space="preserve">AD/GEP/UPE</t>
        </is>
      </c>
      <c r="B329" s="2" t="inlineStr">
        <is>
          <t xml:space="preserve">Unidade de Estudos e Projetos de Infraestrutura Urbana e Edificações</t>
        </is>
      </c>
    </row>
    <row r="330">
      <c r="A330" s="3" t="inlineStr">
        <is>
          <t xml:space="preserve">AD/GEP/UPH</t>
        </is>
      </c>
      <c r="B330" s="3" t="inlineStr">
        <is>
          <t xml:space="preserve">Unidade de Estudos e Projetos de Infraestrutura Hídrica e Irrigação</t>
        </is>
      </c>
    </row>
    <row r="331">
      <c r="A331" s="2" t="inlineStr">
        <is>
          <t xml:space="preserve">AD/GIM</t>
        </is>
      </c>
      <c r="B331" s="2" t="inlineStr">
        <is>
          <t xml:space="preserve">Gerência de Implantação de Obras</t>
        </is>
      </c>
    </row>
    <row r="332">
      <c r="A332" s="3" t="inlineStr">
        <is>
          <t xml:space="preserve">AD/GIM/UOE</t>
        </is>
      </c>
      <c r="B332" s="3" t="inlineStr">
        <is>
          <t xml:space="preserve">Unidade de Implantação de Obras de Infraestrutura Urbana e Edificações</t>
        </is>
      </c>
    </row>
    <row r="333">
      <c r="A333" s="2" t="inlineStr">
        <is>
          <t xml:space="preserve">AD/GIM/UOH</t>
        </is>
      </c>
      <c r="B333" s="2" t="inlineStr">
        <is>
          <t xml:space="preserve">Unidade de Implantação de Obras de Infraestrutura Hídrica e Irrigação</t>
        </is>
      </c>
    </row>
    <row r="334">
      <c r="A334" s="3" t="inlineStr">
        <is>
          <t xml:space="preserve">AD/GPI</t>
        </is>
      </c>
      <c r="B334" s="3" t="inlineStr">
        <is>
          <t xml:space="preserve">Gerência de Parcerias e Investimentos</t>
        </is>
      </c>
    </row>
    <row r="335">
      <c r="A335" s="2" t="inlineStr">
        <is>
          <t xml:space="preserve">AD/GQV</t>
        </is>
      </c>
      <c r="B335" s="2" t="inlineStr">
        <is>
          <t xml:space="preserve">Gerência de Qualificação Viária</t>
        </is>
      </c>
    </row>
    <row r="336">
      <c r="A336" s="3" t="inlineStr">
        <is>
          <t xml:space="preserve">AD/GQV/UGV</t>
        </is>
      </c>
      <c r="B336" s="3" t="inlineStr">
        <is>
          <t xml:space="preserve">Unidade de Gestão e Controle de Projetos de Qualificação Viária</t>
        </is>
      </c>
    </row>
    <row r="337">
      <c r="A337" s="2" t="inlineStr">
        <is>
          <t xml:space="preserve">AD/GQV/UIO</t>
        </is>
      </c>
      <c r="B337" s="2" t="inlineStr">
        <is>
          <t xml:space="preserve">Unidade de Implantação de Obras de Qualificação Viária</t>
        </is>
      </c>
    </row>
    <row r="338">
      <c r="A338" s="3" t="inlineStr">
        <is>
          <t xml:space="preserve">AD/SE</t>
        </is>
      </c>
      <c r="B338" s="3" t="inlineStr">
        <is>
          <t xml:space="preserve">Secretaria Executiva</t>
        </is>
      </c>
    </row>
    <row r="339">
      <c r="A339" s="2" t="inlineStr">
        <is>
          <t xml:space="preserve">AE</t>
        </is>
      </c>
      <c r="B339" s="2" t="inlineStr">
        <is>
          <t xml:space="preserve">Área de Estratégia e Finanças</t>
        </is>
      </c>
    </row>
    <row r="340">
      <c r="A340" s="3" t="inlineStr">
        <is>
          <t xml:space="preserve">AE/GCB</t>
        </is>
      </c>
      <c r="B340" s="3" t="inlineStr">
        <is>
          <t xml:space="preserve">Gerência de Contabilidade</t>
        </is>
      </c>
    </row>
    <row r="341">
      <c r="A341" s="2" t="inlineStr">
        <is>
          <t xml:space="preserve">AE/GCB/UCC</t>
        </is>
      </c>
      <c r="B341" s="2" t="inlineStr">
        <is>
          <t xml:space="preserve">Unidade de Conformidade Contábil</t>
        </is>
      </c>
    </row>
    <row r="342">
      <c r="A342" s="3" t="inlineStr">
        <is>
          <t xml:space="preserve">AE/GCB/UEC</t>
        </is>
      </c>
      <c r="B342" s="3" t="inlineStr">
        <is>
          <t xml:space="preserve">Unidade de Execução Contábil</t>
        </is>
      </c>
    </row>
    <row r="343">
      <c r="A343" s="2" t="inlineStr">
        <is>
          <t xml:space="preserve">AE/GCB/UER</t>
        </is>
      </c>
      <c r="B343" s="2" t="inlineStr">
        <is>
          <t xml:space="preserve">Unidade de Escrituração e Revisão Contábil</t>
        </is>
      </c>
    </row>
    <row r="344">
      <c r="A344" s="3" t="inlineStr">
        <is>
          <t xml:space="preserve">AE/GFN</t>
        </is>
      </c>
      <c r="B344" s="3" t="inlineStr">
        <is>
          <t xml:space="preserve">Gerência de Finanças</t>
        </is>
      </c>
    </row>
    <row r="345">
      <c r="A345" s="2" t="inlineStr">
        <is>
          <t xml:space="preserve">AE/GFN/UCR</t>
        </is>
      </c>
      <c r="B345" s="2" t="inlineStr">
        <is>
          <t xml:space="preserve">Unidade de Gestão da Cobrança</t>
        </is>
      </c>
    </row>
    <row r="346">
      <c r="A346" s="3" t="inlineStr">
        <is>
          <t xml:space="preserve">AE/GFN/UEF</t>
        </is>
      </c>
      <c r="B346" s="3" t="inlineStr">
        <is>
          <t xml:space="preserve">Unidade de Programação e Execução Financeira</t>
        </is>
      </c>
    </row>
    <row r="347">
      <c r="A347" s="2" t="inlineStr">
        <is>
          <t xml:space="preserve">AE/GGO</t>
        </is>
      </c>
      <c r="B347" s="2" t="inlineStr">
        <is>
          <t xml:space="preserve">Gerência de Gestão Orçamentária</t>
        </is>
      </c>
    </row>
    <row r="348">
      <c r="A348" s="3" t="inlineStr">
        <is>
          <t xml:space="preserve">AE/GGO/UEO</t>
        </is>
      </c>
      <c r="B348" s="3" t="inlineStr">
        <is>
          <t xml:space="preserve">Unidade de Execução Orçamentária</t>
        </is>
      </c>
    </row>
    <row r="349">
      <c r="A349" s="2" t="inlineStr">
        <is>
          <t xml:space="preserve">AE/GGO/UPO</t>
        </is>
      </c>
      <c r="B349" s="2" t="inlineStr">
        <is>
          <t xml:space="preserve">Unidade de Programação Orçamentária</t>
        </is>
      </c>
    </row>
    <row r="350">
      <c r="A350" s="3" t="inlineStr">
        <is>
          <t xml:space="preserve">AE/GPE</t>
        </is>
      </c>
      <c r="B350" s="3" t="inlineStr">
        <is>
          <t xml:space="preserve">Gerência de Planejamento Estratégico</t>
        </is>
      </c>
    </row>
    <row r="351">
      <c r="A351" s="2" t="inlineStr">
        <is>
          <t xml:space="preserve">AE/GPE/UAT</t>
        </is>
      </c>
      <c r="B351" s="2" t="inlineStr">
        <is>
          <t xml:space="preserve">Unidade de Acompanhamento de Transferências</t>
        </is>
      </c>
    </row>
    <row r="352">
      <c r="A352" s="3" t="inlineStr">
        <is>
          <t xml:space="preserve">AE/GPE/UNP</t>
        </is>
      </c>
      <c r="B352" s="3" t="inlineStr">
        <is>
          <t xml:space="preserve">Unidade de Gestão Normativa e de Processos</t>
        </is>
      </c>
    </row>
    <row r="353">
      <c r="A353" s="2" t="inlineStr">
        <is>
          <t xml:space="preserve">AE/GPE/UPL</t>
        </is>
      </c>
      <c r="B353" s="2" t="inlineStr">
        <is>
          <t xml:space="preserve">Unidade de Planejamento Institucional</t>
        </is>
      </c>
    </row>
    <row r="354">
      <c r="A354" s="3" t="inlineStr">
        <is>
          <t xml:space="preserve">AG</t>
        </is>
      </c>
      <c r="B354" s="3" t="inlineStr">
        <is>
          <t xml:space="preserve">Área de Governança e Sustentabilidade</t>
        </is>
      </c>
    </row>
    <row r="355">
      <c r="A355" s="2" t="inlineStr">
        <is>
          <t xml:space="preserve">AG/GAF</t>
        </is>
      </c>
      <c r="B355" s="2" t="inlineStr">
        <is>
          <t xml:space="preserve">Gerência de Administração Fundiária e Geotecnologia</t>
        </is>
      </c>
    </row>
    <row r="356">
      <c r="A356" s="3" t="inlineStr">
        <is>
          <t xml:space="preserve">AG/GAF/UDF</t>
        </is>
      </c>
      <c r="B356" s="3" t="inlineStr">
        <is>
          <t xml:space="preserve">Unidade de Documentação Fundiária</t>
        </is>
      </c>
    </row>
    <row r="357">
      <c r="A357" s="2" t="inlineStr">
        <is>
          <t xml:space="preserve">AG/GAF/UGG</t>
        </is>
      </c>
      <c r="B357" s="2" t="inlineStr">
        <is>
          <t xml:space="preserve">Unidade de Gestão Geotecnológica</t>
        </is>
      </c>
    </row>
    <row r="358">
      <c r="A358" s="3" t="inlineStr">
        <is>
          <t xml:space="preserve">AG/GCT</t>
        </is>
      </c>
      <c r="B358" s="3" t="inlineStr">
        <is>
          <t xml:space="preserve">Gerência de Custos</t>
        </is>
      </c>
    </row>
    <row r="359">
      <c r="A359" s="2" t="inlineStr">
        <is>
          <t xml:space="preserve">AG/GCT/UCT</t>
        </is>
      </c>
      <c r="B359" s="2" t="inlineStr">
        <is>
          <t xml:space="preserve">Unidade de Custos e Orçamentação</t>
        </is>
      </c>
    </row>
    <row r="360">
      <c r="A360" s="3" t="inlineStr">
        <is>
          <t xml:space="preserve">AG/GCT/UTR</t>
        </is>
      </c>
      <c r="B360" s="3" t="inlineStr">
        <is>
          <t xml:space="preserve">Unidade de Procedimentos Técnicos Referenciais</t>
        </is>
      </c>
    </row>
    <row r="361">
      <c r="A361" s="2" t="inlineStr">
        <is>
          <t xml:space="preserve">AG/GMA</t>
        </is>
      </c>
      <c r="B361" s="2" t="inlineStr">
        <is>
          <t xml:space="preserve">Gerência de Meio Ambiente</t>
        </is>
      </c>
    </row>
    <row r="362">
      <c r="A362" s="3" t="inlineStr">
        <is>
          <t xml:space="preserve">AG/GMA/UCA</t>
        </is>
      </c>
      <c r="B362" s="3" t="inlineStr">
        <is>
          <t xml:space="preserve">Unidade de Conservação Ambiental</t>
        </is>
      </c>
    </row>
    <row r="363">
      <c r="A363" s="2" t="inlineStr">
        <is>
          <t xml:space="preserve">AG/GMA/ULA</t>
        </is>
      </c>
      <c r="B363" s="2" t="inlineStr">
        <is>
          <t xml:space="preserve">Unidade de Licenciamento Ambiental</t>
        </is>
      </c>
    </row>
    <row r="364">
      <c r="A364" s="3" t="inlineStr">
        <is>
          <t xml:space="preserve">AG/SE</t>
        </is>
      </c>
      <c r="B364" s="3" t="inlineStr">
        <is>
          <t xml:space="preserve">Secretaria Executiva</t>
        </is>
      </c>
    </row>
    <row r="365">
      <c r="A365" s="2" t="inlineStr">
        <is>
          <t xml:space="preserve">AGE</t>
        </is>
      </c>
      <c r="B365" s="2" t="inlineStr">
        <is>
          <t xml:space="preserve">Assembleia Geral</t>
        </is>
      </c>
    </row>
    <row r="366">
      <c r="A366" s="3" t="inlineStr">
        <is>
          <t xml:space="preserve">AI</t>
        </is>
      </c>
      <c r="B366" s="3" t="inlineStr">
        <is>
          <t xml:space="preserve">Área de Irrigação e Operações</t>
        </is>
      </c>
    </row>
    <row r="367">
      <c r="A367" s="2" t="inlineStr">
        <is>
          <t xml:space="preserve">AI/GAP</t>
        </is>
      </c>
      <c r="B367" s="2" t="inlineStr">
        <is>
          <t xml:space="preserve">Gerência de Apoio à Produção Irrigada</t>
        </is>
      </c>
    </row>
    <row r="368">
      <c r="A368" s="3" t="inlineStr">
        <is>
          <t xml:space="preserve">AI/GAP/UGI</t>
        </is>
      </c>
      <c r="B368" s="3" t="inlineStr">
        <is>
          <t xml:space="preserve">Unidade de Gestão de Áreas Irrigadas</t>
        </is>
      </c>
    </row>
    <row r="369">
      <c r="A369" s="2" t="inlineStr">
        <is>
          <t xml:space="preserve">AI/GAP/UPI</t>
        </is>
      </c>
      <c r="B369" s="2" t="inlineStr">
        <is>
          <t xml:space="preserve">Unidade de Apoio aos Projetos Públicos de Irrigação</t>
        </is>
      </c>
    </row>
    <row r="370">
      <c r="A370" s="3" t="inlineStr">
        <is>
          <t xml:space="preserve">AI/GEE</t>
        </is>
      </c>
      <c r="B370" s="3" t="inlineStr">
        <is>
          <t xml:space="preserve">Gerência de Eficiência Energética</t>
        </is>
      </c>
    </row>
    <row r="371">
      <c r="A371" s="2" t="inlineStr">
        <is>
          <t xml:space="preserve">AI/GEE/UEE</t>
        </is>
      </c>
      <c r="B371" s="2" t="inlineStr">
        <is>
          <t xml:space="preserve">Unidade de Gestão de Energia e Apoio ao PISF</t>
        </is>
      </c>
    </row>
    <row r="372">
      <c r="A372" s="3" t="inlineStr">
        <is>
          <t xml:space="preserve">AI/GEE/USB</t>
        </is>
      </c>
      <c r="B372" s="3" t="inlineStr">
        <is>
          <t xml:space="preserve">Unidade de Gestão e Segurança de Barragens</t>
        </is>
      </c>
    </row>
    <row r="373">
      <c r="A373" s="2" t="inlineStr">
        <is>
          <t xml:space="preserve">AI/GGE</t>
        </is>
      </c>
      <c r="B373" s="2" t="inlineStr">
        <is>
          <t xml:space="preserve">Gerência de Gestão de Empreendimentos</t>
        </is>
      </c>
    </row>
    <row r="374">
      <c r="A374" s="3" t="inlineStr">
        <is>
          <t xml:space="preserve">AI/GGE/UGM</t>
        </is>
      </c>
      <c r="B374" s="3" t="inlineStr">
        <is>
          <t xml:space="preserve">Unidade de Gestão e Monitoramento de Empreendimentos</t>
        </is>
      </c>
    </row>
    <row r="375">
      <c r="A375" s="2" t="inlineStr">
        <is>
          <t xml:space="preserve">AI/GGE/UOR</t>
        </is>
      </c>
      <c r="B375" s="2" t="inlineStr">
        <is>
          <t xml:space="preserve">Unidade de Operação e Reabilitação de Empreendimentos</t>
        </is>
      </c>
    </row>
    <row r="376">
      <c r="A376" s="3" t="inlineStr">
        <is>
          <t xml:space="preserve">AI/SE</t>
        </is>
      </c>
      <c r="B376" s="3" t="inlineStr">
        <is>
          <t xml:space="preserve">Secretaria Executiva</t>
        </is>
      </c>
    </row>
    <row r="377">
      <c r="A377" s="2" t="inlineStr">
        <is>
          <t xml:space="preserve">AR</t>
        </is>
      </c>
      <c r="B377" s="2" t="inlineStr">
        <is>
          <t xml:space="preserve">Área de Revitalização e Desenvolvimento Territorial</t>
        </is>
      </c>
    </row>
    <row r="378">
      <c r="A378" s="3" t="inlineStr">
        <is>
          <t xml:space="preserve">AR/GDT</t>
        </is>
      </c>
      <c r="B378" s="3" t="inlineStr">
        <is>
          <t xml:space="preserve">Gerência de Desenvolvimento Territorial</t>
        </is>
      </c>
    </row>
    <row r="379">
      <c r="A379" s="2" t="inlineStr">
        <is>
          <t xml:space="preserve">AR/GDT/UAP</t>
        </is>
      </c>
      <c r="B379" s="2" t="inlineStr">
        <is>
          <t xml:space="preserve">Unidade de Desenvolvimento dos Arranjos Produtivos</t>
        </is>
      </c>
    </row>
    <row r="380">
      <c r="A380" s="3" t="inlineStr">
        <is>
          <t xml:space="preserve">AR/GDT/UPA</t>
        </is>
      </c>
      <c r="B380" s="3" t="inlineStr">
        <is>
          <t xml:space="preserve">Unidade de Recursos Pesqueiros, Aquicultura e Beneficiamento</t>
        </is>
      </c>
    </row>
    <row r="381">
      <c r="A381" s="2" t="inlineStr">
        <is>
          <t xml:space="preserve">AR/GMT</t>
        </is>
      </c>
      <c r="B381" s="2" t="inlineStr">
        <is>
          <t xml:space="preserve">Gerência de Mecanização e Modernização Territorial</t>
        </is>
      </c>
    </row>
    <row r="382">
      <c r="A382" s="3" t="inlineStr">
        <is>
          <t xml:space="preserve">AR/GMT/UCM</t>
        </is>
      </c>
      <c r="B382" s="3" t="inlineStr">
        <is>
          <t xml:space="preserve">Unidade de Gestão e Controle da Modernização Territorial</t>
        </is>
      </c>
    </row>
    <row r="383">
      <c r="A383" s="2" t="inlineStr">
        <is>
          <t xml:space="preserve">AR/GMT/UME</t>
        </is>
      </c>
      <c r="B383" s="2" t="inlineStr">
        <is>
          <t xml:space="preserve">Unidade de Aquisição de Máquinas e Equipamentos</t>
        </is>
      </c>
    </row>
    <row r="384">
      <c r="A384" s="3" t="inlineStr">
        <is>
          <t xml:space="preserve">AR/GSA</t>
        </is>
      </c>
      <c r="B384" s="3" t="inlineStr">
        <is>
          <t xml:space="preserve">Gerência de Saneamento e Acesso à Água</t>
        </is>
      </c>
    </row>
    <row r="385">
      <c r="A385" s="2" t="inlineStr">
        <is>
          <t xml:space="preserve">AR/GSA/UAS</t>
        </is>
      </c>
      <c r="B385" s="2" t="inlineStr">
        <is>
          <t xml:space="preserve">Unidade de Água e Saneamento Básico</t>
        </is>
      </c>
    </row>
    <row r="386">
      <c r="A386" s="3" t="inlineStr">
        <is>
          <t xml:space="preserve">AR/GSA/UEA</t>
        </is>
      </c>
      <c r="B386" s="3" t="inlineStr">
        <is>
          <t xml:space="preserve">Unidade de Esgotamento Rural e Acesso a Água</t>
        </is>
      </c>
    </row>
    <row r="387">
      <c r="A387" s="2" t="inlineStr">
        <is>
          <t xml:space="preserve">AR/SE</t>
        </is>
      </c>
      <c r="B387" s="2" t="inlineStr">
        <is>
          <t xml:space="preserve">Secretaria Executiva</t>
        </is>
      </c>
    </row>
    <row r="388">
      <c r="A388" s="3" t="inlineStr">
        <is>
          <t xml:space="preserve">CEC</t>
        </is>
      </c>
      <c r="B388" s="3" t="inlineStr">
        <is>
          <t xml:space="preserve">Comissão de Ética da Codevasf</t>
        </is>
      </c>
    </row>
    <row r="389">
      <c r="A389" s="2" t="inlineStr">
        <is>
          <t xml:space="preserve">Coaud</t>
        </is>
      </c>
      <c r="B389" s="2" t="inlineStr">
        <is>
          <t xml:space="preserve">Comitê de Auditoria Estatutário</t>
        </is>
      </c>
    </row>
    <row r="390">
      <c r="A390" s="3" t="inlineStr">
        <is>
          <t xml:space="preserve">Cogid</t>
        </is>
      </c>
      <c r="B390" s="3" t="inlineStr">
        <is>
          <t xml:space="preserve">Comitê de Governança Interna e Digital</t>
        </is>
      </c>
    </row>
    <row r="391">
      <c r="A391" s="2" t="inlineStr">
        <is>
          <t xml:space="preserve">Cogid/SPDP</t>
        </is>
      </c>
      <c r="B391" s="2" t="inlineStr">
        <is>
          <t xml:space="preserve">Subcomitê de Proteção de Dados Pessoais</t>
        </is>
      </c>
    </row>
    <row r="392">
      <c r="A392" s="3" t="inlineStr">
        <is>
          <t xml:space="preserve">Cogid/SSI</t>
        </is>
      </c>
      <c r="B392" s="3" t="inlineStr">
        <is>
          <t xml:space="preserve">Subcomitê de Segurança da Informação</t>
        </is>
      </c>
    </row>
    <row r="393">
      <c r="A393" s="2" t="inlineStr">
        <is>
          <t xml:space="preserve">Cogid/STIC</t>
        </is>
      </c>
      <c r="B393" s="2" t="inlineStr">
        <is>
          <t xml:space="preserve">Subcomitê de Tecnologia da Informação</t>
        </is>
      </c>
    </row>
    <row r="394">
      <c r="A394" s="3" t="inlineStr">
        <is>
          <t xml:space="preserve">Confis</t>
        </is>
      </c>
      <c r="B394" s="3" t="inlineStr">
        <is>
          <t xml:space="preserve">Conselho Fiscal</t>
        </is>
      </c>
    </row>
    <row r="395">
      <c r="A395" s="2" t="inlineStr">
        <is>
          <t xml:space="preserve">Consad</t>
        </is>
      </c>
      <c r="B395" s="2" t="inlineStr">
        <is>
          <t xml:space="preserve">Conselho de Administração</t>
        </is>
      </c>
    </row>
    <row r="396">
      <c r="A396" s="3" t="inlineStr">
        <is>
          <t xml:space="preserve">Consad/AUD</t>
        </is>
      </c>
      <c r="B396" s="3" t="inlineStr">
        <is>
          <t xml:space="preserve">Auditoria Interna</t>
        </is>
      </c>
    </row>
    <row r="397">
      <c r="A397" s="2" t="inlineStr">
        <is>
          <t xml:space="preserve">Consad/AUD/UGE</t>
        </is>
      </c>
      <c r="B397" s="2" t="inlineStr">
        <is>
          <t xml:space="preserve">Unidade de Acompanhamento e Avaliação da Gestão</t>
        </is>
      </c>
    </row>
    <row r="398">
      <c r="A398" s="3" t="inlineStr">
        <is>
          <t xml:space="preserve">Consad/AUD/UIN</t>
        </is>
      </c>
      <c r="B398" s="3" t="inlineStr">
        <is>
          <t xml:space="preserve">Unidade de Apoio e Informação</t>
        </is>
      </c>
    </row>
    <row r="399">
      <c r="A399" s="2" t="inlineStr">
        <is>
          <t xml:space="preserve">Consad/AUD/UPR</t>
        </is>
      </c>
      <c r="B399" s="2" t="inlineStr">
        <is>
          <t xml:space="preserve">Unidade de Acompanhamento e Avaliação de Programas</t>
        </is>
      </c>
    </row>
    <row r="400">
      <c r="A400" s="3" t="inlineStr">
        <is>
          <t xml:space="preserve">Consad/COR</t>
        </is>
      </c>
      <c r="B400" s="3" t="inlineStr">
        <is>
          <t xml:space="preserve">Corregedoria</t>
        </is>
      </c>
    </row>
    <row r="401">
      <c r="A401" s="2" t="inlineStr">
        <is>
          <t xml:space="preserve">Consad/COR/UIV</t>
        </is>
      </c>
      <c r="B401" s="2" t="inlineStr">
        <is>
          <t xml:space="preserve">Unidade Especial de Admissibilidade e Investigação</t>
        </is>
      </c>
    </row>
    <row r="402">
      <c r="A402" s="3" t="inlineStr">
        <is>
          <t xml:space="preserve">Consad/COR/UPJ</t>
        </is>
      </c>
      <c r="B402" s="3" t="inlineStr">
        <is>
          <t xml:space="preserve">Unidade Especial de Processos Acusatórios e Julgamento</t>
        </is>
      </c>
    </row>
    <row r="403">
      <c r="A403" s="2" t="inlineStr">
        <is>
          <t xml:space="preserve">Consad/OUV</t>
        </is>
      </c>
      <c r="B403" s="2" t="inlineStr">
        <is>
          <t xml:space="preserve">Ouvidoria</t>
        </is>
      </c>
    </row>
    <row r="404">
      <c r="A404" s="3" t="inlineStr">
        <is>
          <t xml:space="preserve">Copes</t>
        </is>
      </c>
      <c r="B404" s="3" t="inlineStr">
        <is>
          <t xml:space="preserve">Comitê de Pessoas, Elegibilidade, Sucessão e Remuneração</t>
        </is>
      </c>
    </row>
    <row r="405">
      <c r="A405" s="2" t="inlineStr">
        <is>
          <t xml:space="preserve">DEX</t>
        </is>
      </c>
      <c r="B405" s="2" t="inlineStr">
        <is>
          <t xml:space="preserve">Diretoria Executiva</t>
        </is>
      </c>
    </row>
    <row r="406">
      <c r="A406" s="3" t="inlineStr">
        <is>
          <t xml:space="preserve">PR</t>
        </is>
      </c>
      <c r="B406" s="3" t="inlineStr">
        <is>
          <t xml:space="preserve">Presidência</t>
        </is>
      </c>
    </row>
    <row r="407">
      <c r="A407" s="2" t="inlineStr">
        <is>
          <t xml:space="preserve">PR/AC</t>
        </is>
      </c>
      <c r="B407" s="2" t="inlineStr">
        <is>
          <t xml:space="preserve">Assessoria de Comunicação</t>
        </is>
      </c>
    </row>
    <row r="408">
      <c r="A408" s="3" t="inlineStr">
        <is>
          <t xml:space="preserve">PR/AC/UCE</t>
        </is>
      </c>
      <c r="B408" s="3" t="inlineStr">
        <is>
          <t xml:space="preserve">Unidade Especial de Cerimonial e Eventos</t>
        </is>
      </c>
    </row>
    <row r="409">
      <c r="A409" s="2" t="inlineStr">
        <is>
          <t xml:space="preserve">PR/AC/UIM</t>
        </is>
      </c>
      <c r="B409" s="2" t="inlineStr">
        <is>
          <t xml:space="preserve">Unidade Especial de Imagem e Promoção Institucional</t>
        </is>
      </c>
    </row>
    <row r="410">
      <c r="A410" s="3" t="inlineStr">
        <is>
          <t xml:space="preserve">PR/AJ</t>
        </is>
      </c>
      <c r="B410" s="3" t="inlineStr">
        <is>
          <t xml:space="preserve">Assessoria Jurídica</t>
        </is>
      </c>
    </row>
    <row r="411">
      <c r="A411" s="2" t="inlineStr">
        <is>
          <t xml:space="preserve">PR/AJ/UAA</t>
        </is>
      </c>
      <c r="B411" s="2" t="inlineStr">
        <is>
          <t xml:space="preserve">Unidade de Assuntos Administrativos</t>
        </is>
      </c>
    </row>
    <row r="412">
      <c r="A412" s="3" t="inlineStr">
        <is>
          <t xml:space="preserve">PR/AJ/UCO</t>
        </is>
      </c>
      <c r="B412" s="3" t="inlineStr">
        <is>
          <t xml:space="preserve">Unidade do Contencioso</t>
        </is>
      </c>
    </row>
    <row r="413">
      <c r="A413" s="2" t="inlineStr">
        <is>
          <t xml:space="preserve">PR/EBE</t>
        </is>
      </c>
      <c r="B413" s="2" t="inlineStr">
        <is>
          <t xml:space="preserve">Escritório de Representação de Belém</t>
        </is>
      </c>
    </row>
    <row r="414">
      <c r="A414" s="3" t="inlineStr">
        <is>
          <t xml:space="preserve">PR/GB</t>
        </is>
      </c>
      <c r="B414" s="3" t="inlineStr">
        <is>
          <t xml:space="preserve">Gabinete da Presidência</t>
        </is>
      </c>
    </row>
    <row r="415">
      <c r="A415" s="2" t="inlineStr">
        <is>
          <t xml:space="preserve">PR/SC</t>
        </is>
      </c>
      <c r="B415" s="2" t="inlineStr">
        <is>
          <t xml:space="preserve">Secretaria de Órgãos Colegiados</t>
        </is>
      </c>
    </row>
    <row r="416">
      <c r="A416" s="3" t="inlineStr">
        <is>
          <t xml:space="preserve">PR/SI</t>
        </is>
      </c>
      <c r="B416" s="3" t="inlineStr">
        <is>
          <t xml:space="preserve">Secretaria de Integridade</t>
        </is>
      </c>
    </row>
    <row r="417">
      <c r="A417" s="2" t="inlineStr">
        <is>
          <t xml:space="preserve">PR/SLC</t>
        </is>
      </c>
      <c r="B417" s="2" t="inlineStr">
        <is>
          <t xml:space="preserve">Secretaria de Licitações e Contratos</t>
        </is>
      </c>
    </row>
    <row r="418">
      <c r="A418" s="3" t="inlineStr">
        <is>
          <t xml:space="preserve">PR/SLC/UGC</t>
        </is>
      </c>
      <c r="B418" s="3" t="inlineStr">
        <is>
          <t xml:space="preserve">Unidade Especial de Gestão de Contratos</t>
        </is>
      </c>
    </row>
    <row r="419">
      <c r="A419" s="2" t="inlineStr">
        <is>
          <t xml:space="preserve">PR/SLC/UGL</t>
        </is>
      </c>
      <c r="B419" s="2" t="inlineStr">
        <is>
          <t xml:space="preserve">Unidade Especial de Gestão de Licitações</t>
        </is>
      </c>
    </row>
    <row r="420">
      <c r="A420" s="3" t="inlineStr">
        <is>
          <t xml:space="preserve">PR/SRC</t>
        </is>
      </c>
      <c r="B420" s="3" t="inlineStr">
        <is>
          <t xml:space="preserve">Secretaria de Gestão de Riscos e Controle Interno</t>
        </is>
      </c>
    </row>
    <row r="421">
      <c r="A421" s="2" t="inlineStr">
        <is>
          <t xml:space="preserve">PR/SRC/UGR</t>
        </is>
      </c>
      <c r="B421" s="2" t="inlineStr">
        <is>
          <t xml:space="preserve">Unidade Especial de Gerenciamento de Riscos Corporativos</t>
        </is>
      </c>
    </row>
  </sheetData>
  <autoFilter ref="A1:B1"/>
</worksheet>
</file>