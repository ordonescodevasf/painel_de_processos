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8.xml" ContentType="application/vnd.openxmlformats-officedocument.drawing+xml"/>
  <Override PartName="/xl/drawings/drawing12.xml" ContentType="application/vnd.openxmlformats-officedocument.drawing+xml"/>
  <Override PartName="/xl/drawings/drawing3.xml" ContentType="application/vnd.openxmlformats-officedocument.drawing+xml"/>
  <Override PartName="/xl/drawings/drawing9.xml" ContentType="application/vnd.openxmlformats-officedocument.drawing+xml"/>
  <Override PartName="/xl/drawings/drawing1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-ME" sheetId="1" state="visible" r:id="rId3"/>
    <sheet name="Macroprocessos" sheetId="2" state="visible" r:id="rId4"/>
    <sheet name="Processos" sheetId="3" state="visible" r:id="rId5"/>
    <sheet name="Subprocessos" sheetId="4" state="visible" r:id="rId6"/>
    <sheet name="Atividades" sheetId="5" state="visible" r:id="rId7"/>
    <sheet name="Documentos" sheetId="6" state="visible" r:id="rId8"/>
    <sheet name="Riscos" sheetId="7" state="visible" r:id="rId9"/>
    <sheet name="Indicadores" sheetId="8" state="visible" r:id="rId10"/>
    <sheet name="Diario_Mapeamento" sheetId="9" state="visible" r:id="rId11"/>
    <sheet name="Jornada" sheetId="10" state="visible" r:id="rId12"/>
    <sheet name="Repositorio" sheetId="11" state="visible" r:id="rId13"/>
    <sheet name="NUGEP" sheetId="12" state="visible" r:id="rId14"/>
    <sheet name="Glossario" sheetId="13" state="visible" r:id="rId15"/>
    <sheet name="FAQ" sheetId="14" state="visible" r:id="rId16"/>
    <sheet name="Parametros" sheetId="15" state="visible" r:id="rId17"/>
    <sheet name="Listas" sheetId="16" state="visible" r:id="rId18"/>
  </sheets>
  <definedNames>
    <definedName function="false" hidden="true" localSheetId="4" name="_xlnm._FilterDatabase" vbProcedure="false">Atividades!$A$1:$K$1</definedName>
    <definedName function="false" hidden="true" localSheetId="8" name="_xlnm._FilterDatabase" vbProcedure="false">Diario_Mapeamento!$A$1:$L$1</definedName>
    <definedName function="false" hidden="true" localSheetId="5" name="_xlnm._FilterDatabase" vbProcedure="false">Documentos!$A$1:$J$1</definedName>
    <definedName function="false" hidden="true" localSheetId="13" name="_xlnm._FilterDatabase" vbProcedure="false">FAQ!$A$1:$D$1</definedName>
    <definedName function="false" hidden="true" localSheetId="12" name="_xlnm._FilterDatabase" vbProcedure="false">Glossario!$A$1:$E$1</definedName>
    <definedName function="false" hidden="true" localSheetId="7" name="_xlnm._FilterDatabase" vbProcedure="false">Indicadores!$A$1:$M$1</definedName>
    <definedName function="false" hidden="true" localSheetId="9" name="_xlnm._FilterDatabase" vbProcedure="false">Jornada!$A$1:$I$1</definedName>
    <definedName function="false" hidden="true" localSheetId="1" name="_xlnm._FilterDatabase" vbProcedure="false">Macroprocessos!$A$1:$O$1</definedName>
    <definedName function="false" hidden="true" localSheetId="11" name="_xlnm._FilterDatabase" vbProcedure="false">NUGEP!$A$1:$G$1</definedName>
    <definedName function="false" hidden="true" localSheetId="14" name="_xlnm._FilterDatabase" vbProcedure="false">Parametros!$A$1:$B$1</definedName>
    <definedName function="false" hidden="true" localSheetId="2" name="_xlnm._FilterDatabase" vbProcedure="false">Processos!$A$1:$AJ$1</definedName>
    <definedName function="false" hidden="true" localSheetId="10" name="_xlnm._FilterDatabase" vbProcedure="false">Repositorio!$A$1:$I$1</definedName>
    <definedName function="false" hidden="true" localSheetId="6" name="_xlnm._FilterDatabase" vbProcedure="false">Riscos!$A$1:$M$1</definedName>
    <definedName function="false" hidden="true" localSheetId="3" name="_xlnm._FilterDatabase" vbProcedure="false">Subprocessos!$A$1:$K$1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<sst xmlns="http://schemas.openxmlformats.org/spreadsheetml/2006/main" count="2085" uniqueCount="1322">
  <si>
    <t xml:space="preserve">Painel de Processos — Base de Dados (DADOS FICTÍCIOS)</t>
  </si>
  <si>
    <t xml:space="preserve">Fonte única de dados do painel publicado no GitHub Pages. Preencha as abas e o site refletirá o conteúdo.</t>
  </si>
  <si>
    <t xml:space="preserve">ATENÇÃO: todos os nomes, números, normativos internos e resultados são FICTÍCIOS, criados apenas para demonstração do painel.</t>
  </si>
  <si>
    <t xml:space="preserve">Como o painel usa esta planilha</t>
  </si>
  <si>
    <t xml:space="preserve">1. Publicação</t>
  </si>
  <si>
    <t xml:space="preserve">Salve este arquivo em data/painel-processos-dados.xlsx no repositório. O site lê a planilha diretamente no navegador (SheetJS).</t>
  </si>
  <si>
    <t xml:space="preserve">2. Fallback</t>
  </si>
  <si>
    <t xml:space="preserve">Opcionalmente, gere js/dados.js com o script scripts/planilha_para_js.py (usado quando o site é aberto sem servidor/offline).</t>
  </si>
  <si>
    <t xml:space="preserve">3. Vínculos</t>
  </si>
  <si>
    <t xml:space="preserve">Os relacionamentos usam os CÓDIGOS: Processos→Macroprocesso, Subprocessos→Processo, Atividades→Subprocesso; Documentos/Riscos/Indicadores usam Vinculo_Nivel + Vinculo_Codigo; o Diário usa o código do Processo.</t>
  </si>
  <si>
    <t xml:space="preserve">Convenções de preenchimento</t>
  </si>
  <si>
    <t xml:space="preserve">Listas na célula</t>
  </si>
  <si>
    <t xml:space="preserve">Separe múltiplos itens com ponto e vírgula ( ; ). Ex.: 'SEI; Compras.gov.br; PNCP'.</t>
  </si>
  <si>
    <t xml:space="preserve">Evidências (Diário)</t>
  </si>
  <si>
    <t xml:space="preserve">Formato Nome|URL, separando várias com ';'. Ex.: 'Ata|https://...;Diagrama|img/diagramas/x.svg'.</t>
  </si>
  <si>
    <t xml:space="preserve">Percentual</t>
  </si>
  <si>
    <t xml:space="preserve">Na aba Processos, use percentual (0% a 100%).</t>
  </si>
  <si>
    <t xml:space="preserve">Datas</t>
  </si>
  <si>
    <t xml:space="preserve">Formato dd/mm/aaaa.</t>
  </si>
  <si>
    <t xml:space="preserve">Imagens Bizagi</t>
  </si>
  <si>
    <t xml:space="preserve">Recomendado: publique a imagem exportada do Bizagi on-line (Drive público, intranet acessível etc.) e cole a URL na coluna Imagem_Bizagi — o painel exibe a imagem e o clique abre o link original. Links de compartilhamento do Google Drive são convertidos automaticamente para exibição. Caminhos relativos (img/diagramas/...) também funcionam.</t>
  </si>
  <si>
    <t xml:space="preserve">Células de fórmula</t>
  </si>
  <si>
    <t xml:space="preserve">Colunas com fundo cinza (Riscos: Nivel_PxI e Classificacao; Indicadores: Situacao) são CALCULADAS — não digite valores; ao inserir linhas, copie a fórmula da linha acima.</t>
  </si>
  <si>
    <t xml:space="preserve">Validação de dados</t>
  </si>
  <si>
    <t xml:space="preserve">Campos com lista suspensa buscam os valores na aba 'Listas' (edite lá para incluir novas opções).</t>
  </si>
  <si>
    <t xml:space="preserve">Dicionário de abas</t>
  </si>
  <si>
    <t xml:space="preserve">Macroprocessos</t>
  </si>
  <si>
    <t xml:space="preserve">1º nível da cadeia de valor (CBOK: processos primários/finalísticos, de suporte e gerenciais).</t>
  </si>
  <si>
    <t xml:space="preserve">Processos</t>
  </si>
  <si>
    <t xml:space="preserve">2º nível, com ficha completa: SIPOC (fornecedores, entradas, saídas, clientes), status e marcos do mapeamento (M1–M9), fase do ciclo BPM e dados do projeto.</t>
  </si>
  <si>
    <t xml:space="preserve">Subprocessos</t>
  </si>
  <si>
    <t xml:space="preserve">3º nível, vinculado ao processo.</t>
  </si>
  <si>
    <t xml:space="preserve">Atividades</t>
  </si>
  <si>
    <t xml:space="preserve">4º nível (CBOK: atividades/tarefas), com entradas, saídas, ator, sistemas e prazos.</t>
  </si>
  <si>
    <t xml:space="preserve">Documentos</t>
  </si>
  <si>
    <t xml:space="preserve">Repositório: POPs, manuais, atas, diagramas BPMN (Bizagi), relatórios — vinculados a qualquer nível.</t>
  </si>
  <si>
    <t xml:space="preserve">Riscos</t>
  </si>
  <si>
    <t xml:space="preserve">Riscos vinculados a qualquer nível; nível = Probabilidade × Impacto (matriz 5×5).</t>
  </si>
  <si>
    <t xml:space="preserve">Indicadores</t>
  </si>
  <si>
    <t xml:space="preserve">Indicadores de desempenho por nível, com meta, resultado e situação calculada.</t>
  </si>
  <si>
    <t xml:space="preserve">Diario_Mapeamento</t>
  </si>
  <si>
    <t xml:space="preserve">Registro rastreável do trabalho: reuniões, oficinas, entrevistas, decisões, entregas e marcos, com entradas, saídas/entregáveis e evidências (CBOK 4.0; PMBOK).</t>
  </si>
  <si>
    <t xml:space="preserve">Jornada</t>
  </si>
  <si>
    <t xml:space="preserve">Etapas da jornada de mapeamento (Descobrir → Evoluir), exibidas na aba Repositório do painel.</t>
  </si>
  <si>
    <t xml:space="preserve">Repositorio</t>
  </si>
  <si>
    <t xml:space="preserve">Materiais e ferramentas: metodologia e guia oficiais (RES 031/2025), templates, instrumentos por fase do ciclo BPM, ferramentas e referências.</t>
  </si>
  <si>
    <t xml:space="preserve">NUGEP</t>
  </si>
  <si>
    <t xml:space="preserve">Integrantes do Núcleo de Gestão Normativa e de Processos (aba NUGEP do painel).</t>
  </si>
  <si>
    <t xml:space="preserve">Glossario</t>
  </si>
  <si>
    <t xml:space="preserve">Termos BPM (CBOK), PMBOK e metodologia Codevasf (aba Glossário).</t>
  </si>
  <si>
    <t xml:space="preserve">FAQ</t>
  </si>
  <si>
    <t xml:space="preserve">Perguntas e respostas exibidas na aba FAQ.</t>
  </si>
  <si>
    <t xml:space="preserve">Parametros</t>
  </si>
  <si>
    <t xml:space="preserve">Configurações chave/valor: contato do NUGEP e links da metodologia e do guia.</t>
  </si>
  <si>
    <t xml:space="preserve">Listas</t>
  </si>
  <si>
    <t xml:space="preserve">Domínios das listas suspensas (validação de dados).</t>
  </si>
  <si>
    <t xml:space="preserve">Conteúdo atual (calculado)</t>
  </si>
  <si>
    <t xml:space="preserve">Registros do diário</t>
  </si>
  <si>
    <t xml:space="preserve">Etapas da jornada</t>
  </si>
  <si>
    <t xml:space="preserve">Itens do repositório</t>
  </si>
  <si>
    <t xml:space="preserve">Integrantes do NUGEP</t>
  </si>
  <si>
    <t xml:space="preserve">Termos do glossário</t>
  </si>
  <si>
    <t xml:space="preserve">Perguntas do FAQ</t>
  </si>
  <si>
    <t xml:space="preserve">Referências metodológicas</t>
  </si>
  <si>
    <t xml:space="preserve">BPM CBOK 4.0</t>
  </si>
  <si>
    <t xml:space="preserve">Hierarquia e tipos de processos, ciclo de vida BPM (5 fases), papéis (dono do processo), SIPOC, indicadores e repositório de processos (ABPMP, 2019).</t>
  </si>
  <si>
    <t xml:space="preserve">PMBOK</t>
  </si>
  <si>
    <t xml:space="preserve">Gestão do projeto de mapeamento: termo de abertura, escopo, partes interessadas, riscos do projeto, entregáveis e lições aprendidas (PMI).</t>
  </si>
  <si>
    <t xml:space="preserve">Codigo</t>
  </si>
  <si>
    <t xml:space="preserve">Nome</t>
  </si>
  <si>
    <t xml:space="preserve">Categoria</t>
  </si>
  <si>
    <t xml:space="preserve">Ordem</t>
  </si>
  <si>
    <t xml:space="preserve">Descricao</t>
  </si>
  <si>
    <t xml:space="preserve">Objetivo</t>
  </si>
  <si>
    <t xml:space="preserve">Unidade_Responsavel</t>
  </si>
  <si>
    <t xml:space="preserve">Dono_Processo</t>
  </si>
  <si>
    <t xml:space="preserve">Entregas</t>
  </si>
  <si>
    <t xml:space="preserve">Clientes_Beneficiarios</t>
  </si>
  <si>
    <t xml:space="preserve">Partes_Interessadas</t>
  </si>
  <si>
    <t xml:space="preserve">Sistemas</t>
  </si>
  <si>
    <t xml:space="preserve">Normativos_Aplicaveis</t>
  </si>
  <si>
    <t xml:space="preserve">Imagem_Bizagi</t>
  </si>
  <si>
    <t xml:space="preserve">Observacoes</t>
  </si>
  <si>
    <t xml:space="preserve">MP-01</t>
  </si>
  <si>
    <t xml:space="preserve">Gestão Estratégica e Governança</t>
  </si>
  <si>
    <t xml:space="preserve">Gerencial</t>
  </si>
  <si>
    <t xml:space="preserve">Formulação, desdobramento e monitoramento da estratégia corporativa, da governança e do desempenho institucional.</t>
  </si>
  <si>
    <t xml:space="preserve">Garantir que a atuação da Companhia esteja alinhada à estratégia, com decisões baseadas em evidências.</t>
  </si>
  <si>
    <t xml:space="preserve">AE/GPE</t>
  </si>
  <si>
    <t xml:space="preserve">Helena Castro — Gerente de Planejamento</t>
  </si>
  <si>
    <t xml:space="preserve">Plano Estratégico; Plano de Ação Anual; Relatórios de desempenho</t>
  </si>
  <si>
    <t xml:space="preserve">Diretoria Executiva; Conselho de Administração; Unidades internas</t>
  </si>
  <si>
    <t xml:space="preserve">Ministério supervisor; Órgãos de controle; Sociedade</t>
  </si>
  <si>
    <t xml:space="preserve">e-Codevasf; SEI; Painéis de BI</t>
  </si>
  <si>
    <t xml:space="preserve">Estatuto Social; Regimento Interno; Lei nº 13.303/2016</t>
  </si>
  <si>
    <t xml:space="preserve">img/diagramas/mp-01.svg</t>
  </si>
  <si>
    <t xml:space="preserve">MP-02</t>
  </si>
  <si>
    <t xml:space="preserve">Gestão de Riscos, Integridade e Controles</t>
  </si>
  <si>
    <t xml:space="preserve">Identificação, avaliação e tratamento de riscos corporativos, integridade e controles internos (2ª linha).</t>
  </si>
  <si>
    <t xml:space="preserve">Assegurar razoável segurança para o alcance dos objetivos institucionais.</t>
  </si>
  <si>
    <t xml:space="preserve">AE/GAG</t>
  </si>
  <si>
    <t xml:space="preserve">Fernanda Alves — Gerente de Governança</t>
  </si>
  <si>
    <t xml:space="preserve">Política de Gestão de Riscos; Matriz de riscos corporativa; Plano de integridade</t>
  </si>
  <si>
    <t xml:space="preserve">Alta administração; Gestores de 1ª linha</t>
  </si>
  <si>
    <t xml:space="preserve">Auditoria interna; CGU; TCU</t>
  </si>
  <si>
    <t xml:space="preserve">SEI; Sistema de gestão de riscos</t>
  </si>
  <si>
    <t xml:space="preserve">Política de Gestão de Riscos (fictícia); IN Conjunta MP/CGU nº 01/2016</t>
  </si>
  <si>
    <t xml:space="preserve">img/diagramas/mp-02.svg</t>
  </si>
  <si>
    <t xml:space="preserve">MP-03</t>
  </si>
  <si>
    <t xml:space="preserve">Desenvolvimento Territorial e Estruturação Produtiva</t>
  </si>
  <si>
    <t xml:space="preserve">Finalístico</t>
  </si>
  <si>
    <t xml:space="preserve">Apoio a arranjos produtivos, inclusão socioeconômica e estruturação de cadeias produtivas nos vales.</t>
  </si>
  <si>
    <t xml:space="preserve">Promover o desenvolvimento regional integrado e sustentável.</t>
  </si>
  <si>
    <t xml:space="preserve">AR/GDT</t>
  </si>
  <si>
    <t xml:space="preserve">Eduardo Martins — Gerente de Desenvolvimento</t>
  </si>
  <si>
    <t xml:space="preserve">Projetos de estruturação produtiva; Convênios e instrumentos de repasse</t>
  </si>
  <si>
    <t xml:space="preserve">Produtores rurais; Cooperativas; Municípios</t>
  </si>
  <si>
    <t xml:space="preserve">Parlamentares; Entes federados; Entidades parceiras</t>
  </si>
  <si>
    <t xml:space="preserve">TransfereGov; SEI</t>
  </si>
  <si>
    <t xml:space="preserve">Lei nº 14.133/2021; Portarias de transferências voluntárias</t>
  </si>
  <si>
    <t xml:space="preserve">img/diagramas/mp-03.svg</t>
  </si>
  <si>
    <t xml:space="preserve">MP-04</t>
  </si>
  <si>
    <t xml:space="preserve">Gestão de Empreendimentos de Irrigação</t>
  </si>
  <si>
    <t xml:space="preserve">Implantação, operação, manutenção e transferência de gestão de perímetros públicos de irrigação.</t>
  </si>
  <si>
    <t xml:space="preserve">Ampliar a área irrigada produtiva com sustentabilidade hídrica e econômica.</t>
  </si>
  <si>
    <t xml:space="preserve">AI/GOM</t>
  </si>
  <si>
    <t xml:space="preserve">Marcos Vinícius — Gerente de Operação</t>
  </si>
  <si>
    <t xml:space="preserve">Perímetros em operação; Água distribuída; Relatórios de O&amp;M</t>
  </si>
  <si>
    <t xml:space="preserve">Irrigantes; Distritos de irrigação</t>
  </si>
  <si>
    <t xml:space="preserve">ANA; Agências estaduais; Associações de usuários</t>
  </si>
  <si>
    <t xml:space="preserve">SIG-Irrigação (fictício); SEI</t>
  </si>
  <si>
    <t xml:space="preserve">Lei nº 12.787/2013 (Política Nacional de Irrigação)</t>
  </si>
  <si>
    <t xml:space="preserve">img/diagramas/mp-04.svg</t>
  </si>
  <si>
    <t xml:space="preserve">MP-05</t>
  </si>
  <si>
    <t xml:space="preserve">Revitalização de Bacias Hidrográficas</t>
  </si>
  <si>
    <t xml:space="preserve">Ações de recuperação hidroambiental, segurança hídrica e uso sustentável dos recursos naturais.</t>
  </si>
  <si>
    <t xml:space="preserve">Contribuir para a revitalização das bacias dos rios São Francisco e Parnaíba.</t>
  </si>
  <si>
    <t xml:space="preserve">AR/GRB</t>
  </si>
  <si>
    <t xml:space="preserve">Luciana Prado — Gerente de Revitalização</t>
  </si>
  <si>
    <t xml:space="preserve">Nascentes recuperadas; Obras hidroambientais; Sistemas de abastecimento</t>
  </si>
  <si>
    <t xml:space="preserve">Comunidades ribeirinhas; Municípios</t>
  </si>
  <si>
    <t xml:space="preserve">Comitês de bacia; MMA; Órgãos ambientais</t>
  </si>
  <si>
    <t xml:space="preserve">SEI; GeoPortal (fictício)</t>
  </si>
  <si>
    <t xml:space="preserve">Legislação ambiental aplicável</t>
  </si>
  <si>
    <t xml:space="preserve">img/diagramas/mp-05.svg</t>
  </si>
  <si>
    <t xml:space="preserve">MP-06</t>
  </si>
  <si>
    <t xml:space="preserve">Gestão de Licitações e Contratos</t>
  </si>
  <si>
    <t xml:space="preserve">Suporte</t>
  </si>
  <si>
    <t xml:space="preserve">Planejamento das contratações, seleção de fornecedores e gestão dos contratos administrativos da Companhia.</t>
  </si>
  <si>
    <t xml:space="preserve">Prover contratações tempestivas, vantajosas e conformes à legislação.</t>
  </si>
  <si>
    <t xml:space="preserve">AA/GLC</t>
  </si>
  <si>
    <t xml:space="preserve">Ricardo Nogueira — Gerente de Licitações</t>
  </si>
  <si>
    <t xml:space="preserve">Editais publicados; Contratos firmados; Atas de registro de preços</t>
  </si>
  <si>
    <t xml:space="preserve">Todas as unidades demandantes</t>
  </si>
  <si>
    <t xml:space="preserve">Fornecedores; Assessoria Jurídica; Órgãos de controle; PNCP</t>
  </si>
  <si>
    <t xml:space="preserve">Compras.gov.br; PNCP; Painel de Preços; SEI</t>
  </si>
  <si>
    <t xml:space="preserve">Lei nº 14.133/2021; Lei nº 13.303/2016; IN SEGES nº 65/2021; NI-027/2024 (fictícia)</t>
  </si>
  <si>
    <t xml:space="preserve">img/diagramas/mp-06.svg</t>
  </si>
  <si>
    <t xml:space="preserve">Macroprocesso priorizado no ciclo 2026 de mapeamento.</t>
  </si>
  <si>
    <t xml:space="preserve">MP-07</t>
  </si>
  <si>
    <t xml:space="preserve">Gestão de Pessoas</t>
  </si>
  <si>
    <t xml:space="preserve">Provimento, desenvolvimento, remuneração e qualidade de vida do corpo funcional.</t>
  </si>
  <si>
    <t xml:space="preserve">Assegurar pessoas qualificadas e engajadas para a missão institucional.</t>
  </si>
  <si>
    <t xml:space="preserve">AG/GGP</t>
  </si>
  <si>
    <t xml:space="preserve">Patrícia Ramos — Gerente de Pessoas</t>
  </si>
  <si>
    <t xml:space="preserve">Empregados admitidos e capacitados; Folha de pagamento</t>
  </si>
  <si>
    <t xml:space="preserve">Empregados; Gestores</t>
  </si>
  <si>
    <t xml:space="preserve">Sindicatos; SEST; Ministério supervisor</t>
  </si>
  <si>
    <t xml:space="preserve">SIGEP (fictício); SEI</t>
  </si>
  <si>
    <t xml:space="preserve">CLT; Normas internas de pessoal</t>
  </si>
  <si>
    <t xml:space="preserve">img/diagramas/mp-07.svg</t>
  </si>
  <si>
    <t xml:space="preserve">MP-08</t>
  </si>
  <si>
    <t xml:space="preserve">Gestão de Tecnologia da Informação</t>
  </si>
  <si>
    <t xml:space="preserve">Planejamento, desenvolvimento, sustentação e segurança dos serviços de TI.</t>
  </si>
  <si>
    <t xml:space="preserve">Prover soluções digitais seguras que habilitem os processos de negócio.</t>
  </si>
  <si>
    <t xml:space="preserve">AT/GTI</t>
  </si>
  <si>
    <t xml:space="preserve">Daniela Ribeiro — Gerente de TI</t>
  </si>
  <si>
    <t xml:space="preserve">Sistemas em produção; Serviços de infraestrutura; Suporte ao usuário</t>
  </si>
  <si>
    <t xml:space="preserve">Todas as unidades</t>
  </si>
  <si>
    <t xml:space="preserve">SGD/MGI; Fornecedores de TI</t>
  </si>
  <si>
    <t xml:space="preserve">e-Codevasf; Service Desk</t>
  </si>
  <si>
    <t xml:space="preserve">IN SGD nº 94/2022; Política de Segurança da Informação (fictícia)</t>
  </si>
  <si>
    <t xml:space="preserve">img/diagramas/mp-08.svg</t>
  </si>
  <si>
    <t xml:space="preserve">Macroprocesso</t>
  </si>
  <si>
    <t xml:space="preserve">Area_Responsavel</t>
  </si>
  <si>
    <t xml:space="preserve">Interlocutor</t>
  </si>
  <si>
    <t xml:space="preserve">Prioridade</t>
  </si>
  <si>
    <t xml:space="preserve">Complexidade</t>
  </si>
  <si>
    <t xml:space="preserve">Status_Mapeamento</t>
  </si>
  <si>
    <t xml:space="preserve">Fase_Ciclo_BPM</t>
  </si>
  <si>
    <t xml:space="preserve">Inicio_Mapeamento</t>
  </si>
  <si>
    <t xml:space="preserve">Prazo_Previsto</t>
  </si>
  <si>
    <t xml:space="preserve">Data_Conclusao</t>
  </si>
  <si>
    <t xml:space="preserve">Fornecedores</t>
  </si>
  <si>
    <t xml:space="preserve">Entradas</t>
  </si>
  <si>
    <t xml:space="preserve">Saidas</t>
  </si>
  <si>
    <t xml:space="preserve">Clientes</t>
  </si>
  <si>
    <t xml:space="preserve">Normativos_Relacionados</t>
  </si>
  <si>
    <t xml:space="preserve">Processo_SEI</t>
  </si>
  <si>
    <t xml:space="preserve">M1_Formulario_Enviado</t>
  </si>
  <si>
    <t xml:space="preserve">M2_Formulario_Retornado</t>
  </si>
  <si>
    <t xml:space="preserve">M3_Reuniao_Contextualizacao</t>
  </si>
  <si>
    <t xml:space="preserve">M4_ASIS_Modelado</t>
  </si>
  <si>
    <t xml:space="preserve">M5_ASIS_Validado</t>
  </si>
  <si>
    <t xml:space="preserve">M6_Normativos_Identificados</t>
  </si>
  <si>
    <t xml:space="preserve">M7_TOBE_Elaborado</t>
  </si>
  <si>
    <t xml:space="preserve">M8_TOBE_Validado</t>
  </si>
  <si>
    <t xml:space="preserve">M9_Publicado_Repositorio</t>
  </si>
  <si>
    <t xml:space="preserve">Proxima_Acao</t>
  </si>
  <si>
    <t xml:space="preserve">Pendencia</t>
  </si>
  <si>
    <t xml:space="preserve">Ultima_Atualizacao</t>
  </si>
  <si>
    <t xml:space="preserve">P-06.01</t>
  </si>
  <si>
    <t xml:space="preserve">Planejamento da Contratação</t>
  </si>
  <si>
    <t xml:space="preserve">Da identificação da necessidade (DFD) até a aprovação do ETP, TR e pesquisa de preços que instruem o certame.</t>
  </si>
  <si>
    <t xml:space="preserve">Instruir as contratações com estudos e artefatos completos, reduzindo retrabalho e impugnações.</t>
  </si>
  <si>
    <t xml:space="preserve">Ricardo Nogueira</t>
  </si>
  <si>
    <t xml:space="preserve">Carlos Eduardo Lima (UNP)</t>
  </si>
  <si>
    <t xml:space="preserve">Alta</t>
  </si>
  <si>
    <t xml:space="preserve">Concluído</t>
  </si>
  <si>
    <t xml:space="preserve">5. Medir o sucesso</t>
  </si>
  <si>
    <t xml:space="preserve">Áreas demandantes; Painel de Preços; Fornecedores (cotações)</t>
  </si>
  <si>
    <t xml:space="preserve">DFD; Plano de Contratações Anual; Requisitos da área</t>
  </si>
  <si>
    <t xml:space="preserve">ETP aprovado; TR aprovado; Pesquisa de preços validada</t>
  </si>
  <si>
    <t xml:space="preserve">AA/GLC (Seleção do Fornecedor); Assessoria Jurídica</t>
  </si>
  <si>
    <t xml:space="preserve">SEI; Compras.gov.br; Painel de Preços</t>
  </si>
  <si>
    <t xml:space="preserve">Lei nº 14.133/2021; IN SEGES nº 65/2021; NI-027/2024 (fictícia)</t>
  </si>
  <si>
    <t xml:space="preserve">59500.000123/2026-11</t>
  </si>
  <si>
    <t xml:space="preserve">img/diagramas/p-06-01.svg</t>
  </si>
  <si>
    <t xml:space="preserve">Sim</t>
  </si>
  <si>
    <t xml:space="preserve">Monitorar indicadores do processo e revisar POP em 12 meses.</t>
  </si>
  <si>
    <t xml:space="preserve">P-06.02</t>
  </si>
  <si>
    <t xml:space="preserve">Seleção do Fornecedor</t>
  </si>
  <si>
    <t xml:space="preserve">Da divulgação do edital à homologação do resultado, incluindo sessão pública, julgamento e recursos.</t>
  </si>
  <si>
    <t xml:space="preserve">Selecionar a proposta mais vantajosa com celeridade e segurança jurídica.</t>
  </si>
  <si>
    <t xml:space="preserve">Média</t>
  </si>
  <si>
    <t xml:space="preserve">Em andamento</t>
  </si>
  <si>
    <t xml:space="preserve">2. Arquitetar mudanças</t>
  </si>
  <si>
    <t xml:space="preserve">P-06.01 (artefatos); Compras.gov.br</t>
  </si>
  <si>
    <t xml:space="preserve">Edital minutado; Parecer jurídico; ETP/TR</t>
  </si>
  <si>
    <t xml:space="preserve">Resultado homologado; Contrato/ata para assinatura</t>
  </si>
  <si>
    <t xml:space="preserve">Unidades demandantes; Fornecedores</t>
  </si>
  <si>
    <t xml:space="preserve">Compras.gov.br; PNCP; SEI</t>
  </si>
  <si>
    <t xml:space="preserve">Lei nº 14.133/2021; NI-027/2024 (fictícia)</t>
  </si>
  <si>
    <t xml:space="preserve">59500.000456/2026-22</t>
  </si>
  <si>
    <t xml:space="preserve">img/diagramas/p-06-02.svg</t>
  </si>
  <si>
    <t xml:space="preserve">Não</t>
  </si>
  <si>
    <t xml:space="preserve">Validar AS-IS com o dono do processo (reunião marcada).</t>
  </si>
  <si>
    <t xml:space="preserve">Pendente retorno da área sobre fluxo de recursos administrativos.</t>
  </si>
  <si>
    <t xml:space="preserve">P-06.03</t>
  </si>
  <si>
    <t xml:space="preserve">Gestão e Fiscalização Contratual</t>
  </si>
  <si>
    <t xml:space="preserve">Da assinatura do contrato ao encerramento, incluindo fiscalização, medições, pagamentos e sanções.</t>
  </si>
  <si>
    <t xml:space="preserve">Garantir a entrega do objeto contratado no prazo, custo e qualidade pactuados.</t>
  </si>
  <si>
    <t xml:space="preserve">Bruna Souza (UNP)</t>
  </si>
  <si>
    <t xml:space="preserve">P-06.02 (contrato); Fornecedores contratados</t>
  </si>
  <si>
    <t xml:space="preserve">Contrato assinado; Cronograma; Garantias</t>
  </si>
  <si>
    <t xml:space="preserve">Objeto recebido; Pagamentos efetuados; Termo de encerramento</t>
  </si>
  <si>
    <t xml:space="preserve">SEI; Compras.gov.br</t>
  </si>
  <si>
    <t xml:space="preserve">Lei nº 14.133/2021; Manual de Fiscalização (fictício)</t>
  </si>
  <si>
    <t xml:space="preserve">59500.000789/2026-33</t>
  </si>
  <si>
    <t xml:space="preserve">img/diagramas/p-06-03.svg</t>
  </si>
  <si>
    <t xml:space="preserve">Concluir modelagem AS-IS das medições e pagamentos.</t>
  </si>
  <si>
    <t xml:space="preserve">P-04.01</t>
  </si>
  <si>
    <t xml:space="preserve">Operação e Manutenção de Perímetros Irrigados</t>
  </si>
  <si>
    <t xml:space="preserve">Programação e distribuição de água, manutenção da infraestrutura de uso comum e relacionamento com irrigantes.</t>
  </si>
  <si>
    <t xml:space="preserve">Assegurar a distribuição hídrica confiável e a conservação dos ativos.</t>
  </si>
  <si>
    <t xml:space="preserve">Marcos Vinícius</t>
  </si>
  <si>
    <t xml:space="preserve">Eduardo Martins (UNP)</t>
  </si>
  <si>
    <t xml:space="preserve">ANA (outorgas); Distritos de irrigação</t>
  </si>
  <si>
    <t xml:space="preserve">Outorga de uso; Demanda de irrigação; Plano de cultivo</t>
  </si>
  <si>
    <t xml:space="preserve">Água distribuída; Infraestrutura mantida; Relatórios de O&amp;M</t>
  </si>
  <si>
    <t xml:space="preserve">Irrigantes; Distritos</t>
  </si>
  <si>
    <t xml:space="preserve">Lei nº 12.787/2013</t>
  </si>
  <si>
    <t xml:space="preserve">59500.000901/2026-44</t>
  </si>
  <si>
    <t xml:space="preserve">img/diagramas/p-04-01.svg</t>
  </si>
  <si>
    <t xml:space="preserve">Agendar oficina de validação do AS-IS com o distrito.</t>
  </si>
  <si>
    <t xml:space="preserve">P-05.01</t>
  </si>
  <si>
    <t xml:space="preserve">Recuperação de Nascentes e Matas Ciliares</t>
  </si>
  <si>
    <t xml:space="preserve">Seleção de áreas, execução de cercamento e plantio, e monitoramento da regeneração.</t>
  </si>
  <si>
    <t xml:space="preserve">Recuperar áreas degradadas prioritárias das bacias.</t>
  </si>
  <si>
    <t xml:space="preserve">Luciana Prado</t>
  </si>
  <si>
    <t xml:space="preserve">Não iniciado</t>
  </si>
  <si>
    <t xml:space="preserve">1. Alinhamento à estratégia e metas</t>
  </si>
  <si>
    <t xml:space="preserve">Municípios; Comitês de bacia</t>
  </si>
  <si>
    <t xml:space="preserve">Diagnóstico hidroambiental; Termos de cooperação</t>
  </si>
  <si>
    <t xml:space="preserve">Nascentes recuperadas; Relatórios de monitoramento</t>
  </si>
  <si>
    <t xml:space="preserve">Comunidades; Órgãos ambientais</t>
  </si>
  <si>
    <t xml:space="preserve">img/diagramas/p-05-01.svg</t>
  </si>
  <si>
    <t xml:space="preserve">Enviar formulário de levantamento à área (previsto ago/2026).</t>
  </si>
  <si>
    <t xml:space="preserve">P-01.01</t>
  </si>
  <si>
    <t xml:space="preserve">Formulação e Monitoramento do Planejamento Estratégico</t>
  </si>
  <si>
    <t xml:space="preserve">Construção do plano estratégico, desdobramento em planos de ação e monitoramento periódico de resultados.</t>
  </si>
  <si>
    <t xml:space="preserve">Manter a estratégia viva, monitorada e comunicada.</t>
  </si>
  <si>
    <t xml:space="preserve">Helena Castro</t>
  </si>
  <si>
    <t xml:space="preserve">Gustavo Pereira (UNP)</t>
  </si>
  <si>
    <t xml:space="preserve">Diretoria; Unidades</t>
  </si>
  <si>
    <t xml:space="preserve">Diretrizes de governo; Diagnóstico institucional</t>
  </si>
  <si>
    <t xml:space="preserve">Plano Estratégico; Painel de indicadores; RAG</t>
  </si>
  <si>
    <t xml:space="preserve">Diretoria Executiva; Conselhos</t>
  </si>
  <si>
    <t xml:space="preserve">e-Codevasf; Painéis de BI</t>
  </si>
  <si>
    <t xml:space="preserve">Lei nº 13.303/2016</t>
  </si>
  <si>
    <t xml:space="preserve">59500.000015/2025-77</t>
  </si>
  <si>
    <t xml:space="preserve">img/diagramas/p-01-01.svg</t>
  </si>
  <si>
    <t xml:space="preserve">Ciclo de monitoramento trimestral (próximo: set/2026).</t>
  </si>
  <si>
    <t xml:space="preserve">P-07.01</t>
  </si>
  <si>
    <t xml:space="preserve">Admissão e Integração de Empregados</t>
  </si>
  <si>
    <t xml:space="preserve">Da homologação do concurso à integração do novo empregado, incluindo exames, posse e ambientação.</t>
  </si>
  <si>
    <t xml:space="preserve">Admitir e integrar novos empregados com agilidade e conformidade.</t>
  </si>
  <si>
    <t xml:space="preserve">Patrícia Ramos</t>
  </si>
  <si>
    <t xml:space="preserve">Baixa</t>
  </si>
  <si>
    <t xml:space="preserve">Banca do concurso; Candidatos</t>
  </si>
  <si>
    <t xml:space="preserve">Resultado homologado; Documentação do candidato</t>
  </si>
  <si>
    <t xml:space="preserve">Empregado admitido e integrado</t>
  </si>
  <si>
    <t xml:space="preserve">Novos empregados; Unidades de lotação</t>
  </si>
  <si>
    <t xml:space="preserve">img/diagramas/p-07-01.svg</t>
  </si>
  <si>
    <t xml:space="preserve">Aguardando priorização no ciclo 2027.</t>
  </si>
  <si>
    <t xml:space="preserve">Processo</t>
  </si>
  <si>
    <t xml:space="preserve">Dono</t>
  </si>
  <si>
    <t xml:space="preserve">SP-06.01.01</t>
  </si>
  <si>
    <t xml:space="preserve">Estudo Técnico Preliminar (ETP)</t>
  </si>
  <si>
    <t xml:space="preserve">Caracterização da necessidade, análise de soluções de mercado e demonstração da viabilidade da contratação.</t>
  </si>
  <si>
    <t xml:space="preserve">Fundamentar tecnicamente a melhor solução para a necessidade.</t>
  </si>
  <si>
    <t xml:space="preserve">ETP aprovado no SEI</t>
  </si>
  <si>
    <t xml:space="preserve">img/diagramas/sp-06-01-01.svg</t>
  </si>
  <si>
    <t xml:space="preserve">SP-06.01.02</t>
  </si>
  <si>
    <t xml:space="preserve">Termo de Referência (TR)</t>
  </si>
  <si>
    <t xml:space="preserve">Definição do objeto, requisitos, modelo de execução e gestão contratual, e critérios de julgamento.</t>
  </si>
  <si>
    <t xml:space="preserve">Especificar com precisão o objeto e as condições da contratação.</t>
  </si>
  <si>
    <t xml:space="preserve">TR aprovado e validado juridicamente</t>
  </si>
  <si>
    <t xml:space="preserve">SEI</t>
  </si>
  <si>
    <t xml:space="preserve">img/diagramas/sp-06-01-02.svg</t>
  </si>
  <si>
    <t xml:space="preserve">SP-06.01.03</t>
  </si>
  <si>
    <t xml:space="preserve">Pesquisa de Preços</t>
  </si>
  <si>
    <t xml:space="preserve">Levantamento de preços em fontes admitidas (Painel de Preços, PNCP, cotações) e consolidação do valor estimado.</t>
  </si>
  <si>
    <t xml:space="preserve">Estimar o valor da contratação conforme a IN SEGES nº 65/2021.</t>
  </si>
  <si>
    <t xml:space="preserve">Relatório de pesquisa de preços; Mapa comparativo</t>
  </si>
  <si>
    <t xml:space="preserve">Painel de Preços; PNCP; SEI</t>
  </si>
  <si>
    <t xml:space="preserve">img/diagramas/sp-06-01-03.svg</t>
  </si>
  <si>
    <t xml:space="preserve">SP-06.02.01</t>
  </si>
  <si>
    <t xml:space="preserve">Condução da Sessão Pública</t>
  </si>
  <si>
    <t xml:space="preserve">Abertura da sessão no sistema, fase de lances, julgamento, habilitação e registro em ata.</t>
  </si>
  <si>
    <t xml:space="preserve">Conduzir o certame com transparência e celeridade.</t>
  </si>
  <si>
    <t xml:space="preserve">Ata da sessão; Resultado por item</t>
  </si>
  <si>
    <t xml:space="preserve">Compras.gov.br</t>
  </si>
  <si>
    <t xml:space="preserve">img/diagramas/sp-06-02-01.svg</t>
  </si>
  <si>
    <t xml:space="preserve">SP-04.01.01</t>
  </si>
  <si>
    <t xml:space="preserve">Distribuição de Água aos Irrigantes</t>
  </si>
  <si>
    <t xml:space="preserve">Programação semanal, operação de comportas e bombas, e registro de volumes distribuídos.</t>
  </si>
  <si>
    <t xml:space="preserve">Entregar a água programada com eficiência e equidade.</t>
  </si>
  <si>
    <t xml:space="preserve">Programação hídrica executada; Registros de volume</t>
  </si>
  <si>
    <t xml:space="preserve">SIG-Irrigação (fictício)</t>
  </si>
  <si>
    <t xml:space="preserve">img/diagramas/sp-04-01-01.svg</t>
  </si>
  <si>
    <t xml:space="preserve">Subprocesso</t>
  </si>
  <si>
    <t xml:space="preserve">Responsavel_Ator</t>
  </si>
  <si>
    <t xml:space="preserve">Prazo_Padrao</t>
  </si>
  <si>
    <t xml:space="preserve">Base_Normativa</t>
  </si>
  <si>
    <t xml:space="preserve">A-06.01.01.01</t>
  </si>
  <si>
    <t xml:space="preserve">Formalizar a necessidade (DFD)</t>
  </si>
  <si>
    <t xml:space="preserve">Registrar o Documento de Formalização da Demanda com justificativa, quantitativos e alinhamento ao PCA.</t>
  </si>
  <si>
    <t xml:space="preserve">Área demandante</t>
  </si>
  <si>
    <t xml:space="preserve">Necessidade identificada; Plano de Contratações Anual</t>
  </si>
  <si>
    <t xml:space="preserve">DFD assinado no SEI</t>
  </si>
  <si>
    <t xml:space="preserve">5 dias úteis</t>
  </si>
  <si>
    <t xml:space="preserve">NI-027/2024 (fictícia)</t>
  </si>
  <si>
    <t xml:space="preserve">A-06.01.01.02</t>
  </si>
  <si>
    <t xml:space="preserve">Levantar soluções de mercado</t>
  </si>
  <si>
    <t xml:space="preserve">Pesquisar soluções disponíveis, contratações similares e alternativas (inclusive não contratar).</t>
  </si>
  <si>
    <t xml:space="preserve">Equipe de planejamento da contratação</t>
  </si>
  <si>
    <t xml:space="preserve">DFD; Catálogos; Contratações similares (PNCP)</t>
  </si>
  <si>
    <t xml:space="preserve">Levantamento de soluções documentado</t>
  </si>
  <si>
    <t xml:space="preserve">PNCP; Compras.gov.br</t>
  </si>
  <si>
    <t xml:space="preserve">10 dias úteis</t>
  </si>
  <si>
    <t xml:space="preserve">Lei nº 14.133/2021, art. 18</t>
  </si>
  <si>
    <t xml:space="preserve">A-06.01.01.03</t>
  </si>
  <si>
    <t xml:space="preserve">Estimar quantidades e resultados</t>
  </si>
  <si>
    <t xml:space="preserve">Definir quantitativos com memória de cálculo e resultados pretendidos com a contratação.</t>
  </si>
  <si>
    <t xml:space="preserve">Levantamento de soluções; Séries históricas</t>
  </si>
  <si>
    <t xml:space="preserve">Memória de cálculo de quantitativos</t>
  </si>
  <si>
    <t xml:space="preserve">A-06.01.01.04</t>
  </si>
  <si>
    <t xml:space="preserve">Elaborar e aprovar o ETP</t>
  </si>
  <si>
    <t xml:space="preserve">Consolidar o ETP no sistema e submeter à aprovação da autoridade competente.</t>
  </si>
  <si>
    <t xml:space="preserve">Equipe de planejamento; Autoridade competente</t>
  </si>
  <si>
    <t xml:space="preserve">Levantamentos e memórias anteriores</t>
  </si>
  <si>
    <t xml:space="preserve">ETP aprovado</t>
  </si>
  <si>
    <t xml:space="preserve">7 dias úteis</t>
  </si>
  <si>
    <t xml:space="preserve">A-06.01.02.01</t>
  </si>
  <si>
    <t xml:space="preserve">Redigir o Termo de Referência</t>
  </si>
  <si>
    <t xml:space="preserve">Elaborar o TR a partir do ETP, definindo objeto, requisitos, modelo de execução e critérios de medição.</t>
  </si>
  <si>
    <t xml:space="preserve">ETP aprovado; Modelos padronizados</t>
  </si>
  <si>
    <t xml:space="preserve">Minuta de TR</t>
  </si>
  <si>
    <t xml:space="preserve">Lei nº 14.133/2021, art. 6º, XXIII</t>
  </si>
  <si>
    <t xml:space="preserve">A-06.01.02.02</t>
  </si>
  <si>
    <t xml:space="preserve">Validar o TR com a Assessoria Jurídica</t>
  </si>
  <si>
    <t xml:space="preserve">Submeter a minuta ao órgão jurídico e ajustar conforme o parecer.</t>
  </si>
  <si>
    <t xml:space="preserve">AA/GLC; Assessoria Jurídica</t>
  </si>
  <si>
    <t xml:space="preserve">TR validado; Parecer jurídico</t>
  </si>
  <si>
    <t xml:space="preserve">15 dias úteis</t>
  </si>
  <si>
    <t xml:space="preserve">Lei nº 14.133/2021, art. 53</t>
  </si>
  <si>
    <t xml:space="preserve">A-06.01.03.01</t>
  </si>
  <si>
    <t xml:space="preserve">Realizar a pesquisa de preços</t>
  </si>
  <si>
    <t xml:space="preserve">Consultar fontes admitidas, registrar parâmetros e tratar valores inexequíveis ou excessivos.</t>
  </si>
  <si>
    <t xml:space="preserve">TR validado; Fontes de preços</t>
  </si>
  <si>
    <t xml:space="preserve">Relatório de pesquisa de preços</t>
  </si>
  <si>
    <t xml:space="preserve">Painel de Preços; PNCP</t>
  </si>
  <si>
    <t xml:space="preserve">IN SEGES nº 65/2021</t>
  </si>
  <si>
    <t xml:space="preserve">A-06.01.03.02</t>
  </si>
  <si>
    <t xml:space="preserve">Consolidar o valor estimado</t>
  </si>
  <si>
    <t xml:space="preserve">Aplicar o método definido (média/mediana/menor preço) e justificar a estimativa final.</t>
  </si>
  <si>
    <t xml:space="preserve">Relatório de pesquisa</t>
  </si>
  <si>
    <t xml:space="preserve">Valor estimado consolidado</t>
  </si>
  <si>
    <t xml:space="preserve">3 dias úteis</t>
  </si>
  <si>
    <t xml:space="preserve">IN SEGES nº 65/2021, art. 6º</t>
  </si>
  <si>
    <t xml:space="preserve">A-06.02.01.01</t>
  </si>
  <si>
    <t xml:space="preserve">Publicar o edital</t>
  </si>
  <si>
    <t xml:space="preserve">Divulgar o edital no PNCP e no sistema de compras, observando prazos mínimos legais.</t>
  </si>
  <si>
    <t xml:space="preserve">Agente de contratação</t>
  </si>
  <si>
    <t xml:space="preserve">Edital aprovado; Parecer jurídico</t>
  </si>
  <si>
    <t xml:space="preserve">Edital publicado (PNCP)</t>
  </si>
  <si>
    <t xml:space="preserve">Compras.gov.br; PNCP</t>
  </si>
  <si>
    <t xml:space="preserve">2 dias úteis</t>
  </si>
  <si>
    <t xml:space="preserve">Lei nº 14.133/2021, art. 54</t>
  </si>
  <si>
    <t xml:space="preserve">A-06.02.01.02</t>
  </si>
  <si>
    <t xml:space="preserve">Conduzir a sessão e julgar propostas</t>
  </si>
  <si>
    <t xml:space="preserve">Operar a fase de lances, julgar propostas, habilitar o vencedor e registrar a ata.</t>
  </si>
  <si>
    <t xml:space="preserve">Agente de contratação; Equipe de apoio</t>
  </si>
  <si>
    <t xml:space="preserve">Edital publicado; Propostas</t>
  </si>
  <si>
    <t xml:space="preserve">Ata da sessão; Resultado do julgamento</t>
  </si>
  <si>
    <t xml:space="preserve">Conforme edital</t>
  </si>
  <si>
    <t xml:space="preserve">Lei nº 14.133/2021</t>
  </si>
  <si>
    <t xml:space="preserve">A-04.01.01.01</t>
  </si>
  <si>
    <t xml:space="preserve">Programar a distribuição hídrica</t>
  </si>
  <si>
    <t xml:space="preserve">Elaborar a programação semanal de distribuição conforme demanda dos lotes e disponibilidade hídrica.</t>
  </si>
  <si>
    <t xml:space="preserve">Equipe de operação do perímetro</t>
  </si>
  <si>
    <t xml:space="preserve">Plano de cultivo; Disponibilidade hídrica</t>
  </si>
  <si>
    <t xml:space="preserve">Programação semanal aprovada</t>
  </si>
  <si>
    <t xml:space="preserve">Semanal</t>
  </si>
  <si>
    <t xml:space="preserve">A-04.01.01.02</t>
  </si>
  <si>
    <t xml:space="preserve">Operar e registrar a distribuição</t>
  </si>
  <si>
    <t xml:space="preserve">Operar comportas e bombas conforme programação e registrar volumes por ponto de entrega.</t>
  </si>
  <si>
    <t xml:space="preserve">Programação semanal</t>
  </si>
  <si>
    <t xml:space="preserve">Volumes registrados; Ocorrências</t>
  </si>
  <si>
    <t xml:space="preserve">Diário</t>
  </si>
  <si>
    <t xml:space="preserve">ID</t>
  </si>
  <si>
    <t xml:space="preserve">Vinculo_Nivel</t>
  </si>
  <si>
    <t xml:space="preserve">Vinculo_Codigo</t>
  </si>
  <si>
    <t xml:space="preserve">Tipo_Documento</t>
  </si>
  <si>
    <t xml:space="preserve">Titulo</t>
  </si>
  <si>
    <t xml:space="preserve">Versao</t>
  </si>
  <si>
    <t xml:space="preserve">Data</t>
  </si>
  <si>
    <t xml:space="preserve">Situacao</t>
  </si>
  <si>
    <t xml:space="preserve">Link</t>
  </si>
  <si>
    <t xml:space="preserve">DOC-001</t>
  </si>
  <si>
    <t xml:space="preserve">Procedimento Operacional (POP)</t>
  </si>
  <si>
    <t xml:space="preserve">POP 06.01 — Planejamento da Contratação</t>
  </si>
  <si>
    <t xml:space="preserve">2.0</t>
  </si>
  <si>
    <t xml:space="preserve">Vigente</t>
  </si>
  <si>
    <t xml:space="preserve">https://exemplo.codevasf.gov.br/repositorio/pop-06-01.pdf</t>
  </si>
  <si>
    <t xml:space="preserve">Publicado após validação do TO-BE.</t>
  </si>
  <si>
    <t xml:space="preserve">DOC-002</t>
  </si>
  <si>
    <t xml:space="preserve">Diagrama BPMN</t>
  </si>
  <si>
    <t xml:space="preserve">Diagrama AS-IS — Planejamento da Contratação (Bizagi)</t>
  </si>
  <si>
    <t xml:space="preserve">1.0</t>
  </si>
  <si>
    <t xml:space="preserve">Exportado do Bizagi Modeler.</t>
  </si>
  <si>
    <t xml:space="preserve">DOC-003</t>
  </si>
  <si>
    <t xml:space="preserve">Diagrama TO-BE — Planejamento da Contratação (Bizagi)</t>
  </si>
  <si>
    <t xml:space="preserve">https://exemplo.codevasf.gov.br/repositorio/p-06-01-tobe.pdf</t>
  </si>
  <si>
    <t xml:space="preserve">DOC-004</t>
  </si>
  <si>
    <t xml:space="preserve">Ata de reunião</t>
  </si>
  <si>
    <t xml:space="preserve">Ata — Reunião de contextualização com a GLC</t>
  </si>
  <si>
    <t xml:space="preserve">https://exemplo.codevasf.gov.br/sei/ata-contextualizacao-p0601</t>
  </si>
  <si>
    <t xml:space="preserve">SEI 59500.000123/2026-11.</t>
  </si>
  <si>
    <t xml:space="preserve">DOC-005</t>
  </si>
  <si>
    <t xml:space="preserve">Relatório</t>
  </si>
  <si>
    <t xml:space="preserve">Relatório de oportunidades de melhoria (AS-IS → TO-BE)</t>
  </si>
  <si>
    <t xml:space="preserve">https://exemplo.codevasf.gov.br/repositorio/rel-melhorias-p0601.pdf</t>
  </si>
  <si>
    <t xml:space="preserve">DOC-006</t>
  </si>
  <si>
    <t xml:space="preserve">Formulário/Modelo</t>
  </si>
  <si>
    <t xml:space="preserve">Modelo de DFD — Documento de Formalização da Demanda</t>
  </si>
  <si>
    <t xml:space="preserve">3.1</t>
  </si>
  <si>
    <t xml:space="preserve">https://exemplo.codevasf.gov.br/modelos/dfd.docx</t>
  </si>
  <si>
    <t xml:space="preserve">DOC-007</t>
  </si>
  <si>
    <t xml:space="preserve">Roteiro de pesquisa de preços (IN SEGES nº 65/2021)</t>
  </si>
  <si>
    <t xml:space="preserve">1.2</t>
  </si>
  <si>
    <t xml:space="preserve">https://exemplo.codevasf.gov.br/repositorio/roteiro-precos.pdf</t>
  </si>
  <si>
    <t xml:space="preserve">DOC-008</t>
  </si>
  <si>
    <t xml:space="preserve">Norma interna</t>
  </si>
  <si>
    <t xml:space="preserve">NI-027/2024 — Norma de Licitações e Contratos (fictícia)</t>
  </si>
  <si>
    <t xml:space="preserve">4.0</t>
  </si>
  <si>
    <t xml:space="preserve">https://exemplo.codevasf.gov.br/normativos/ni-027</t>
  </si>
  <si>
    <t xml:space="preserve">DOC-009</t>
  </si>
  <si>
    <t xml:space="preserve">Manual</t>
  </si>
  <si>
    <t xml:space="preserve">Manual de Gestão e Fiscalização de Contratos (fictício)</t>
  </si>
  <si>
    <t xml:space="preserve">2.3</t>
  </si>
  <si>
    <t xml:space="preserve">Em revisão</t>
  </si>
  <si>
    <t xml:space="preserve">https://exemplo.codevasf.gov.br/normativos/manual-fiscalizacao</t>
  </si>
  <si>
    <t xml:space="preserve">DOC-010</t>
  </si>
  <si>
    <t xml:space="preserve">Ata — Contextualização do processo Seleção do Fornecedor</t>
  </si>
  <si>
    <t xml:space="preserve">https://exemplo.codevasf.gov.br/sei/ata-contextualizacao-p0602</t>
  </si>
  <si>
    <t xml:space="preserve">DOC-011</t>
  </si>
  <si>
    <t xml:space="preserve">Diagrama AS-IS parcial — O&amp;M de Perímetros (Bizagi)</t>
  </si>
  <si>
    <t xml:space="preserve">0.3</t>
  </si>
  <si>
    <t xml:space="preserve">Em elaboração</t>
  </si>
  <si>
    <t xml:space="preserve">Modelagem em curso.</t>
  </si>
  <si>
    <t xml:space="preserve">DOC-012</t>
  </si>
  <si>
    <t xml:space="preserve">Atividade</t>
  </si>
  <si>
    <t xml:space="preserve">Passo a passo do DFD no SEI</t>
  </si>
  <si>
    <t xml:space="preserve">https://exemplo.codevasf.gov.br/modelos/dfd-sei-passoapasso.pdf</t>
  </si>
  <si>
    <t xml:space="preserve">DOC-013</t>
  </si>
  <si>
    <t xml:space="preserve">Caderno de Indicadores Estratégicos 2026</t>
  </si>
  <si>
    <t xml:space="preserve">https://exemplo.codevasf.gov.br/estrategia/caderno-2026.pdf</t>
  </si>
  <si>
    <t xml:space="preserve">DOC-014</t>
  </si>
  <si>
    <t xml:space="preserve">Plano</t>
  </si>
  <si>
    <t xml:space="preserve">Plano de implantação do TO-BE (PMBOK — plano do projeto)</t>
  </si>
  <si>
    <t xml:space="preserve">https://exemplo.codevasf.gov.br/repositorio/plano-tobe-p0601.pdf</t>
  </si>
  <si>
    <t xml:space="preserve">Descricao_Risco</t>
  </si>
  <si>
    <t xml:space="preserve">Probabilidade_1a5</t>
  </si>
  <si>
    <t xml:space="preserve">Impacto_1a5</t>
  </si>
  <si>
    <t xml:space="preserve">Nivel_PxI</t>
  </si>
  <si>
    <t xml:space="preserve">Classificacao</t>
  </si>
  <si>
    <t xml:space="preserve">Resposta</t>
  </si>
  <si>
    <t xml:space="preserve">Controles_Tratamento</t>
  </si>
  <si>
    <t xml:space="preserve">Responsavel</t>
  </si>
  <si>
    <t xml:space="preserve">Status</t>
  </si>
  <si>
    <t xml:space="preserve">R-001</t>
  </si>
  <si>
    <t xml:space="preserve">Estimativas de preço defasadas gerando sobrepreço ou licitação deserta.</t>
  </si>
  <si>
    <t xml:space="preserve">Operacional</t>
  </si>
  <si>
    <t xml:space="preserve">Mitigar</t>
  </si>
  <si>
    <t xml:space="preserve">Roteiro de pesquisa com múltiplas fontes (Painel de Preços, PNCP) e revisão pela UNP.</t>
  </si>
  <si>
    <t xml:space="preserve">Em tratamento</t>
  </si>
  <si>
    <t xml:space="preserve">R-002</t>
  </si>
  <si>
    <t xml:space="preserve">TR genérico ou restritivo provocando impugnações e atrasos no certame.</t>
  </si>
  <si>
    <t xml:space="preserve">Legal/Conformidade</t>
  </si>
  <si>
    <t xml:space="preserve">Checklist de revisão e validação obrigatória pela Assessoria Jurídica.</t>
  </si>
  <si>
    <t xml:space="preserve">R-003</t>
  </si>
  <si>
    <t xml:space="preserve">Fiscalização intempestiva de contratos, com medições e pagamentos atrasados.</t>
  </si>
  <si>
    <t xml:space="preserve">Designação formal de fiscais, agenda de medições e alertas no SEI.</t>
  </si>
  <si>
    <t xml:space="preserve">Aberto</t>
  </si>
  <si>
    <t xml:space="preserve">R-004</t>
  </si>
  <si>
    <t xml:space="preserve">Conhecimento concentrado em um único empregado (pessoa-chave) na elaboração de ETP.</t>
  </si>
  <si>
    <t xml:space="preserve">Pessoas</t>
  </si>
  <si>
    <t xml:space="preserve">Publicar POP, treinar substitutos e revezar a equipe de planejamento.</t>
  </si>
  <si>
    <t xml:space="preserve">R-005</t>
  </si>
  <si>
    <t xml:space="preserve">Indisponibilidade hídrica comprometendo a programação de distribuição.</t>
  </si>
  <si>
    <t xml:space="preserve">Plano de contingência hídrica e priorização de culturas conforme regras do perímetro.</t>
  </si>
  <si>
    <t xml:space="preserve">R-006</t>
  </si>
  <si>
    <t xml:space="preserve">Instabilidade do Compras.gov.br durante a sessão pública.</t>
  </si>
  <si>
    <t xml:space="preserve">Tecnologia da Informação</t>
  </si>
  <si>
    <t xml:space="preserve">Protocolo de suspensão formal da sessão e comunicação imediata aos licitantes.</t>
  </si>
  <si>
    <t xml:space="preserve">Daniela Ribeiro</t>
  </si>
  <si>
    <t xml:space="preserve">R-007</t>
  </si>
  <si>
    <t xml:space="preserve">Alterações normativas frequentes exigindo atualização contínua de procedimentos.</t>
  </si>
  <si>
    <t xml:space="preserve">Monitoramento normativo mensal (resenha) e revisão programada dos POPs.</t>
  </si>
  <si>
    <t xml:space="preserve">Bruna Souza</t>
  </si>
  <si>
    <t xml:space="preserve">R-008</t>
  </si>
  <si>
    <t xml:space="preserve">Uso de fontes de preço não admitidas pela IN SEGES nº 65/2021.</t>
  </si>
  <si>
    <t xml:space="preserve">Validação da pesquisa pela UNP antes da aprovação do valor estimado.</t>
  </si>
  <si>
    <t xml:space="preserve">Carlos Eduardo Lima</t>
  </si>
  <si>
    <t xml:space="preserve">Encerrado</t>
  </si>
  <si>
    <t xml:space="preserve">R-009</t>
  </si>
  <si>
    <t xml:space="preserve">Baixo engajamento das áreas demandantes no preenchimento do DFD.</t>
  </si>
  <si>
    <t xml:space="preserve">Oficinas de capacitação e modelo simplificado de DFD no SEI.</t>
  </si>
  <si>
    <t xml:space="preserve">Descricao_Formula</t>
  </si>
  <si>
    <t xml:space="preserve">Unidade</t>
  </si>
  <si>
    <t xml:space="preserve">Polaridade</t>
  </si>
  <si>
    <t xml:space="preserve">Meta</t>
  </si>
  <si>
    <t xml:space="preserve">Resultado_Atual</t>
  </si>
  <si>
    <t xml:space="preserve">Periodicidade</t>
  </si>
  <si>
    <t xml:space="preserve">Fonte</t>
  </si>
  <si>
    <t xml:space="preserve">Ultima_Medicao</t>
  </si>
  <si>
    <t xml:space="preserve">IND-001</t>
  </si>
  <si>
    <t xml:space="preserve">Tempo médio do ciclo de contratação</t>
  </si>
  <si>
    <t xml:space="preserve">Média de dias entre o DFD e a homologação do certame.</t>
  </si>
  <si>
    <t xml:space="preserve">dias</t>
  </si>
  <si>
    <t xml:space="preserve">Menor melhor</t>
  </si>
  <si>
    <t xml:space="preserve">Trimestral</t>
  </si>
  <si>
    <t xml:space="preserve">IND-002</t>
  </si>
  <si>
    <t xml:space="preserve">Prazo médio de elaboração do ETP</t>
  </si>
  <si>
    <t xml:space="preserve">Média de dias úteis entre o DFD e a aprovação do ETP.</t>
  </si>
  <si>
    <t xml:space="preserve">Mensal</t>
  </si>
  <si>
    <t xml:space="preserve">IND-003</t>
  </si>
  <si>
    <t xml:space="preserve">Impugnações por edital</t>
  </si>
  <si>
    <t xml:space="preserve">Nº médio de impugnações recebidas por edital publicado.</t>
  </si>
  <si>
    <t xml:space="preserve">nº</t>
  </si>
  <si>
    <t xml:space="preserve">IND-004</t>
  </si>
  <si>
    <t xml:space="preserve">Contratos com fiscal designado</t>
  </si>
  <si>
    <t xml:space="preserve">% de contratos vigentes com fiscal formalmente designado.</t>
  </si>
  <si>
    <t xml:space="preserve">%</t>
  </si>
  <si>
    <t xml:space="preserve">Maior melhor</t>
  </si>
  <si>
    <t xml:space="preserve">IND-005</t>
  </si>
  <si>
    <t xml:space="preserve">Eficiência no uso da água</t>
  </si>
  <si>
    <t xml:space="preserve">Relação % entre volume faturado e volume captado no perímetro.</t>
  </si>
  <si>
    <t xml:space="preserve">IND-006</t>
  </si>
  <si>
    <t xml:space="preserve">Processos com mapeamento concluído</t>
  </si>
  <si>
    <t xml:space="preserve">% de processos do macroprocesso com marco M9 concluído.</t>
  </si>
  <si>
    <t xml:space="preserve">Painel de Processos</t>
  </si>
  <si>
    <t xml:space="preserve">IND-007</t>
  </si>
  <si>
    <t xml:space="preserve">Ações estratégicas monitoradas no prazo</t>
  </si>
  <si>
    <t xml:space="preserve">% de ações do plano com status atualizado no ciclo.</t>
  </si>
  <si>
    <t xml:space="preserve">Painéis de BI</t>
  </si>
  <si>
    <t xml:space="preserve">IND-008</t>
  </si>
  <si>
    <t xml:space="preserve">Pesquisas de preço com 3+ fontes</t>
  </si>
  <si>
    <t xml:space="preserve">% de pesquisas de preços com três ou mais fontes admitidas.</t>
  </si>
  <si>
    <t xml:space="preserve">IND-009</t>
  </si>
  <si>
    <t xml:space="preserve">Nascentes recuperadas no ano</t>
  </si>
  <si>
    <t xml:space="preserve">Nº de nascentes com recuperação concluída no exercício.</t>
  </si>
  <si>
    <t xml:space="preserve">Anual</t>
  </si>
  <si>
    <t xml:space="preserve">GeoPortal (fictício)</t>
  </si>
  <si>
    <t xml:space="preserve">Tipo</t>
  </si>
  <si>
    <t xml:space="preserve">Autor</t>
  </si>
  <si>
    <t xml:space="preserve">Participantes</t>
  </si>
  <si>
    <t xml:space="preserve">Entradas_Insumos</t>
  </si>
  <si>
    <t xml:space="preserve">Saidas_Entregaveis</t>
  </si>
  <si>
    <t xml:space="preserve">Evidencias</t>
  </si>
  <si>
    <t xml:space="preserve">Memoria</t>
  </si>
  <si>
    <t xml:space="preserve">REG-001</t>
  </si>
  <si>
    <t xml:space="preserve">Marco</t>
  </si>
  <si>
    <t xml:space="preserve">Abertura do projeto de mapeamento</t>
  </si>
  <si>
    <t xml:space="preserve">Aprovação do termo de abertura do projeto de mapeamento do processo, com escopo, equipe e cronograma.</t>
  </si>
  <si>
    <t xml:space="preserve">Bruna Souza; Ricardo Nogueira; Carlos Eduardo Lima</t>
  </si>
  <si>
    <t xml:space="preserve">Plano de ação 2026; Priorização da carteira de processos</t>
  </si>
  <si>
    <t xml:space="preserve">Termo de abertura aprovado (TAP)</t>
  </si>
  <si>
    <t xml:space="preserve">Termo de abertura|https://exemplo.codevasf.gov.br/sei/tap-p0601</t>
  </si>
  <si>
    <t xml:space="preserve">Escopo limitado ao planejamento da contratação; seleção e gestão contratual tratadas em projetos próprios.</t>
  </si>
  <si>
    <t xml:space="preserve">REG-002</t>
  </si>
  <si>
    <t xml:space="preserve">Reunião</t>
  </si>
  <si>
    <t xml:space="preserve">Reunião de contextualização com a GLC</t>
  </si>
  <si>
    <t xml:space="preserve">Apresentação da metodologia, entendimento do contexto do processo e definição dos interlocutores.</t>
  </si>
  <si>
    <t xml:space="preserve">Equipe GLC; Ricardo Nogueira; Bruna Souza; Carlos Eduardo Lima</t>
  </si>
  <si>
    <t xml:space="preserve">Formulário de levantamento preenchido</t>
  </si>
  <si>
    <t xml:space="preserve">Ata da reunião; Lista preliminar de atividades</t>
  </si>
  <si>
    <t xml:space="preserve">Ata|https://exemplo.codevasf.gov.br/sei/ata-contextualizacao-p0601</t>
  </si>
  <si>
    <t xml:space="preserve">A área destacou gargalo na pesquisa de preços e retrabalho na aprovação do ETP.</t>
  </si>
  <si>
    <t xml:space="preserve">REG-003</t>
  </si>
  <si>
    <t xml:space="preserve">Entrevista</t>
  </si>
  <si>
    <t xml:space="preserve">Entrevista com a equipe de ETP</t>
  </si>
  <si>
    <t xml:space="preserve">Detalhamento das atividades de elaboração do ETP, entradas, saídas e sistemas utilizados.</t>
  </si>
  <si>
    <t xml:space="preserve">Roteiro de entrevista; Amostras de ETP</t>
  </si>
  <si>
    <t xml:space="preserve">Registro de entrevista; Insumos para o AS-IS</t>
  </si>
  <si>
    <t xml:space="preserve">Registro de entrevista|https://exemplo.codevasf.gov.br/sei/entrevista-etp</t>
  </si>
  <si>
    <t xml:space="preserve">REG-004</t>
  </si>
  <si>
    <t xml:space="preserve">Oficina</t>
  </si>
  <si>
    <t xml:space="preserve">Oficina de modelagem AS-IS</t>
  </si>
  <si>
    <t xml:space="preserve">Modelagem colaborativa do fluxo atual em BPMN no Bizagi Modeler, com validação visual dos participantes.</t>
  </si>
  <si>
    <t xml:space="preserve">Equipe GLC; UNP</t>
  </si>
  <si>
    <t xml:space="preserve">Insumos das entrevistas; Notação BPMN 2.0</t>
  </si>
  <si>
    <t xml:space="preserve">Diagrama BPMN AS-IS v0.1</t>
  </si>
  <si>
    <t xml:space="preserve">Diagrama AS-IS v0.1|img/diagramas/p-06-01.svg</t>
  </si>
  <si>
    <t xml:space="preserve">Identificados 3 retrabalhos e 2 handoffs desnecessários (princípios de desenho do CBOK).</t>
  </si>
  <si>
    <t xml:space="preserve">REG-005</t>
  </si>
  <si>
    <t xml:space="preserve">Validação</t>
  </si>
  <si>
    <t xml:space="preserve">Validação do AS-IS com o dono do processo</t>
  </si>
  <si>
    <t xml:space="preserve">Revisão e aprovação formal do diagrama AS-IS pelo dono do processo.</t>
  </si>
  <si>
    <t xml:space="preserve">Ricardo Nogueira; Equipe GLC; UNP</t>
  </si>
  <si>
    <t xml:space="preserve">Diagrama AS-IS v0.1</t>
  </si>
  <si>
    <t xml:space="preserve">Diagrama AS-IS v1.0 validado</t>
  </si>
  <si>
    <t xml:space="preserve">Diagrama AS-IS v1.0|img/diagramas/p-06-01.svg;Ata de validação|https://exemplo.codevasf.gov.br/sei/ata-validacao-asis</t>
  </si>
  <si>
    <t xml:space="preserve">REG-006</t>
  </si>
  <si>
    <t xml:space="preserve">Decisão</t>
  </si>
  <si>
    <t xml:space="preserve">Definição do escopo do TO-BE</t>
  </si>
  <si>
    <t xml:space="preserve">Decisão de incorporar o roteiro de pesquisa de preços e o modelo simplificado de DFD no redesenho.</t>
  </si>
  <si>
    <t xml:space="preserve">Ricardo Nogueira; Bruna Souza</t>
  </si>
  <si>
    <t xml:space="preserve">Relatório preliminar de melhorias</t>
  </si>
  <si>
    <t xml:space="preserve">Escopo do TO-BE registrado</t>
  </si>
  <si>
    <t xml:space="preserve">Registro de decisão|https://exemplo.codevasf.gov.br/sei/decisao-tobe</t>
  </si>
  <si>
    <t xml:space="preserve">Priorizado o redesenho 'de fora para dentro', a partir da área demandante (cliente interno).</t>
  </si>
  <si>
    <t xml:space="preserve">REG-007</t>
  </si>
  <si>
    <t xml:space="preserve">Entrega</t>
  </si>
  <si>
    <t xml:space="preserve">TO-BE elaborado</t>
  </si>
  <si>
    <t xml:space="preserve">Entrega do diagrama TO-BE e do relatório de oportunidades de melhoria.</t>
  </si>
  <si>
    <t xml:space="preserve">UNP; Equipe GLC</t>
  </si>
  <si>
    <t xml:space="preserve">AS-IS validado; Boas práticas (CBOK cap. 6)</t>
  </si>
  <si>
    <t xml:space="preserve">Diagrama TO-BE v0.1; Relatório de melhorias</t>
  </si>
  <si>
    <t xml:space="preserve">Relatório de melhorias|https://exemplo.codevasf.gov.br/repositorio/rel-melhorias-p0601.pdf</t>
  </si>
  <si>
    <t xml:space="preserve">REG-008</t>
  </si>
  <si>
    <t xml:space="preserve">Validação do TO-BE</t>
  </si>
  <si>
    <t xml:space="preserve">Aprovação do redesenho pelo dono do processo e pela gerência da área.</t>
  </si>
  <si>
    <t xml:space="preserve">Ricardo Nogueira; Gerência AA</t>
  </si>
  <si>
    <t xml:space="preserve">Diagrama TO-BE v0.1</t>
  </si>
  <si>
    <t xml:space="preserve">Diagrama TO-BE v1.0 validado</t>
  </si>
  <si>
    <t xml:space="preserve">Ata de validação TO-BE|https://exemplo.codevasf.gov.br/sei/ata-validacao-tobe</t>
  </si>
  <si>
    <t xml:space="preserve">REG-009</t>
  </si>
  <si>
    <t xml:space="preserve">Publicação no repositório de processos</t>
  </si>
  <si>
    <t xml:space="preserve">Publicação do POP 06.01 e dos diagramas no repositório corporativo; encerramento do projeto.</t>
  </si>
  <si>
    <t xml:space="preserve">UNP</t>
  </si>
  <si>
    <t xml:space="preserve">TO-BE validado; POP revisado</t>
  </si>
  <si>
    <t xml:space="preserve">POP 06.01 v2.0 publicado; Página do processo no painel</t>
  </si>
  <si>
    <t xml:space="preserve">POP 06.01|https://exemplo.codevasf.gov.br/repositorio/pop-06-01.pdf</t>
  </si>
  <si>
    <t xml:space="preserve">Lições aprendidas registradas para o próximo ciclo (PMBOK — encerramento).</t>
  </si>
  <si>
    <t xml:space="preserve">REG-010</t>
  </si>
  <si>
    <t xml:space="preserve">Monitoramento de indicadores (fase 5)</t>
  </si>
  <si>
    <t xml:space="preserve">Primeira reunião do ciclo de medição do processo redesenhado (CBOK — medir o sucesso).</t>
  </si>
  <si>
    <t xml:space="preserve">Gustavo Pereira</t>
  </si>
  <si>
    <t xml:space="preserve">UNP; GLC</t>
  </si>
  <si>
    <t xml:space="preserve">Dados de mai/2026 (SEI e Compras.gov.br)</t>
  </si>
  <si>
    <t xml:space="preserve">Ata; Ajuste da meta do IND-002</t>
  </si>
  <si>
    <t xml:space="preserve">Ata de monitoramento|https://exemplo.codevasf.gov.br/sei/ata-monitoramento-jun26</t>
  </si>
  <si>
    <t xml:space="preserve">REG-011</t>
  </si>
  <si>
    <t xml:space="preserve">Contextualização — Seleção do Fornecedor</t>
  </si>
  <si>
    <t xml:space="preserve">Início do mapeamento do processo de seleção, com apresentação do método e coleta do formulário.</t>
  </si>
  <si>
    <t xml:space="preserve">Ata; Cronograma do projeto</t>
  </si>
  <si>
    <t xml:space="preserve">Ata|https://exemplo.codevasf.gov.br/sei/ata-contextualizacao-p0602</t>
  </si>
  <si>
    <t xml:space="preserve">REG-012</t>
  </si>
  <si>
    <t xml:space="preserve">Oficina de modelagem AS-IS (sessão 1)</t>
  </si>
  <si>
    <t xml:space="preserve">Modelagem do fluxo da sessão pública e do julgamento de propostas.</t>
  </si>
  <si>
    <t xml:space="preserve">Agentes de contratação; UNP</t>
  </si>
  <si>
    <t xml:space="preserve">Insumos da contextualização</t>
  </si>
  <si>
    <t xml:space="preserve">Diagrama AS-IS parcial v0.2</t>
  </si>
  <si>
    <t xml:space="preserve">Diagrama parcial|img/diagramas/p-06-02.svg</t>
  </si>
  <si>
    <t xml:space="preserve">Fluxo de recursos administrativos ainda pendente de detalhamento com a área.</t>
  </si>
  <si>
    <t xml:space="preserve">REG-013</t>
  </si>
  <si>
    <t xml:space="preserve">Entrevista — operação do perímetro</t>
  </si>
  <si>
    <t xml:space="preserve">Levantamento das rotinas de programação e distribuição hídrica com a equipe de campo.</t>
  </si>
  <si>
    <t xml:space="preserve">Eduardo Martins</t>
  </si>
  <si>
    <t xml:space="preserve">Equipe de operação; UNP</t>
  </si>
  <si>
    <t xml:space="preserve">Roteiro de entrevista</t>
  </si>
  <si>
    <t xml:space="preserve">Registro|https://exemplo.codevasf.gov.br/sei/entrevista-p0401</t>
  </si>
  <si>
    <t xml:space="preserve">Fase</t>
  </si>
  <si>
    <t xml:space="preserve">Duracao</t>
  </si>
  <si>
    <t xml:space="preserve">Atividades_Chave</t>
  </si>
  <si>
    <t xml:space="preserve">Quem_Faz</t>
  </si>
  <si>
    <t xml:space="preserve">Entregaveis</t>
  </si>
  <si>
    <t xml:space="preserve">Sentimento_Usuario</t>
  </si>
  <si>
    <t xml:space="preserve">Descobrir</t>
  </si>
  <si>
    <t xml:space="preserve">Escuta e contextualização</t>
  </si>
  <si>
    <t xml:space="preserve">1–2 semanas</t>
  </si>
  <si>
    <t xml:space="preserve">Compreender a dor real, o contexto e as expectativas de quem executa e de quem se beneficia do processo.</t>
  </si>
  <si>
    <t xml:space="preserve">Reunião de sensibilização com a unidade demandante; Entrevistas semiestruturadas com executores e gestores; Aplicação do formulário de contextualização; Escuta ativa das partes interessadas (jornada empática)</t>
  </si>
  <si>
    <t xml:space="preserve">NUGEP; Interlocutor da área; Dono do processo</t>
  </si>
  <si>
    <t xml:space="preserve">Ata de reunião; Formulário preenchido; Mapa de partes interessadas</t>
  </si>
  <si>
    <t xml:space="preserve">Curiosidade e ansiedade: “por que estão olhando meu trabalho?”</t>
  </si>
  <si>
    <t xml:space="preserve">Definir</t>
  </si>
  <si>
    <t xml:space="preserve">Delimitação de escopo</t>
  </si>
  <si>
    <t xml:space="preserve">1 semana</t>
  </si>
  <si>
    <t xml:space="preserve">Traçar limites claros: onde começa, onde termina, quem participa e o que está fora do mapeamento.</t>
  </si>
  <si>
    <t xml:space="preserve">SIPOC preliminar (Fornecedores, Entradas, Processo, Saídas, Clientes); Identificação de sistemas e normativos aplicáveis; Definição de premissas, restrições e critérios de sucesso; Termo de abertura do projeto de mapeamento (PMBOK)</t>
  </si>
  <si>
    <t xml:space="preserve">Gerente do projeto; NUGEP</t>
  </si>
  <si>
    <t xml:space="preserve">Ficha do mapeamento (Project Charter) publicada</t>
  </si>
  <si>
    <t xml:space="preserve">Segurança: “agora sei o que esperam de mim”</t>
  </si>
  <si>
    <t xml:space="preserve">Desenvolver</t>
  </si>
  <si>
    <t xml:space="preserve">Modelagem AS-IS</t>
  </si>
  <si>
    <t xml:space="preserve">2–4 semanas</t>
  </si>
  <si>
    <t xml:space="preserve">Fotografar o processo como ele é hoje, incluindo variações, filas, retrabalhos e workarounds.</t>
  </si>
  <si>
    <t xml:space="preserve">Workshops de modelagem com quem executa; Desenho BPMN no Bizagi (com anexação de evidências); Registro no diário de bordo: hipóteses, dores, memória do mapeamento; Identificação de riscos, gargalos e handoffs</t>
  </si>
  <si>
    <t xml:space="preserve">Equipe de mapeamento; Executores do processo</t>
  </si>
  <si>
    <t xml:space="preserve">Diagrama BPMN AS-IS; Lista de dores e riscos</t>
  </si>
  <si>
    <t xml:space="preserve">Reconhecimento: “alguém finalmente enxerga o que a gente vive”</t>
  </si>
  <si>
    <t xml:space="preserve">Validação AS-IS</t>
  </si>
  <si>
    <t xml:space="preserve">Confirmar com quem executa e com quem decide que o retrato do processo é fiel.</t>
  </si>
  <si>
    <t xml:space="preserve">Reunião de validação com donos e executores; Ajustes finos no BPMN e nos artefatos; Homologação formal do AS-IS</t>
  </si>
  <si>
    <t xml:space="preserve">Dono do processo; NUGEP</t>
  </si>
  <si>
    <t xml:space="preserve">AS-IS homologado e publicado no repositório</t>
  </si>
  <si>
    <t xml:space="preserve">Orgulho: “é isso que a gente faz”</t>
  </si>
  <si>
    <t xml:space="preserve">Redesenho TO-BE</t>
  </si>
  <si>
    <t xml:space="preserve">Desenhar o processo desejado, eliminando desperdícios e melhorando a experiência de quem executa e de quem recebe.</t>
  </si>
  <si>
    <t xml:space="preserve">Análise de causas-raiz das dores identificadas; Ideação de melhorias com a equipe da área; Modelagem TO-BE (BPMN) e simulação de cenários; Definição de indicadores de desempenho e riscos residuais</t>
  </si>
  <si>
    <t xml:space="preserve">NUGEP; Área; Escritório de Riscos (2ª linha)</t>
  </si>
  <si>
    <t xml:space="preserve">Diagrama TO-BE; Indicadores; Plano de transição</t>
  </si>
  <si>
    <t xml:space="preserve">Esperança: “dá pra melhorar de verdade”</t>
  </si>
  <si>
    <t xml:space="preserve">Entregar</t>
  </si>
  <si>
    <t xml:space="preserve">Publicação e transição</t>
  </si>
  <si>
    <t xml:space="preserve">2 semanas</t>
  </si>
  <si>
    <t xml:space="preserve">Colocar o novo processo em operação com apoio, treinamento e comunicação clara.</t>
  </si>
  <si>
    <t xml:space="preserve">Publicação no repositório institucional de processos; Capacitação dos executores e multiplicadores; Atualização de normativos e do e-Codevasf; Kick-off do TO-BE</t>
  </si>
  <si>
    <t xml:space="preserve">Área responsável; NUGEP; Comunicação</t>
  </si>
  <si>
    <t xml:space="preserve">Processo publicado; Equipe capacitada; Comunicação institucional</t>
  </si>
  <si>
    <t xml:space="preserve">Confiança: “fui preparado para o novo jeito”</t>
  </si>
  <si>
    <t xml:space="preserve">Evoluir</t>
  </si>
  <si>
    <t xml:space="preserve">Monitoramento e indicadores</t>
  </si>
  <si>
    <t xml:space="preserve">Contínuo</t>
  </si>
  <si>
    <t xml:space="preserve">Acompanhar o desempenho real do processo e a experiência de quem o executa e recebe.</t>
  </si>
  <si>
    <t xml:space="preserve">Coleta de indicadores (eficiência, eficácia, qualidade, satisfação); Monitoramento de riscos e controles (2ª linha); Escuta contínua da unidade e dos beneficiários</t>
  </si>
  <si>
    <t xml:space="preserve">Dono do processo; NUGEP; Escritório de Riscos</t>
  </si>
  <si>
    <t xml:space="preserve">Painel de indicadores; Radar de riscos atualizado</t>
  </si>
  <si>
    <t xml:space="preserve">Pertencimento: “meu trabalho é acompanhado e valorizado”</t>
  </si>
  <si>
    <t xml:space="preserve">Melhoria contínua</t>
  </si>
  <si>
    <t xml:space="preserve">Fechar o ciclo: aprender, ajustar e reiniciar a jornada sempre que necessário (PDCA/CBOK 4.0).</t>
  </si>
  <si>
    <t xml:space="preserve">Retrospectivas periódicas com a área; Revisão do processo com base em dados e feedback; Abertura de novo ciclo de redesenho quando necessário</t>
  </si>
  <si>
    <t xml:space="preserve">NUGEP; Comunidade de prática BPM</t>
  </si>
  <si>
    <t xml:space="preserve">Novo ciclo de mapeamento ou ajustes incrementais</t>
  </si>
  <si>
    <t xml:space="preserve">Autonomia: “nosso processo é vivo, evolui com a gente”</t>
  </si>
  <si>
    <t xml:space="preserve">Fase_Ciclo</t>
  </si>
  <si>
    <t xml:space="preserve">REP-001</t>
  </si>
  <si>
    <t xml:space="preserve">Documento oficial</t>
  </si>
  <si>
    <t xml:space="preserve">RES 031/2025</t>
  </si>
  <si>
    <t xml:space="preserve">Metodologia de Gerenciamento de Processos da Codevasf</t>
  </si>
  <si>
    <t xml:space="preserve">Documento normativo que institui a metodologia corporativa de gerenciamento de processos (disponível na intranet/SEI).</t>
  </si>
  <si>
    <t xml:space="preserve">Codevasf</t>
  </si>
  <si>
    <t xml:space="preserve">https://intraplone.codevasf.gov.br/documentos_normativos_referencia/governanca-e-gestao/copy_of_planos/met_gerenciamento-processos_res-031_2025-01-08.pdf</t>
  </si>
  <si>
    <t xml:space="preserve">REP-002</t>
  </si>
  <si>
    <t xml:space="preserve">Guia de Gerenciamento de Processos da Codevasf</t>
  </si>
  <si>
    <t xml:space="preserve">Guia prático que detalha etapas, papéis, artefatos e padrões do mapeamento (disponível na intranet/SEI).</t>
  </si>
  <si>
    <t xml:space="preserve">https://intraplone.codevasf.gov.br/documentos_normativos_referencia/governanca-e-gestao/copy_of_planos/guia_gerenciamento-processos_res-031_2025-01-08.pdf</t>
  </si>
  <si>
    <t xml:space="preserve">REP-003</t>
  </si>
  <si>
    <t xml:space="preserve">Template</t>
  </si>
  <si>
    <t xml:space="preserve">Planejamento</t>
  </si>
  <si>
    <t xml:space="preserve">Formulário de Levantamento de Processos</t>
  </si>
  <si>
    <t xml:space="preserve">Template estruturado para coleta de informações com as áreas: objetivo, atores, atividades, insumos, produtos e normativos.</t>
  </si>
  <si>
    <t xml:space="preserve">https://exemplo.codevasf.gov.br/modelos/formulario-levantamento.docx</t>
  </si>
  <si>
    <t xml:space="preserve">REP-004</t>
  </si>
  <si>
    <t xml:space="preserve">Planilha de Controle do Mapeamento</t>
  </si>
  <si>
    <t xml:space="preserve">Planilha com os processos pré-carregados, semáforos automáticos, marcos M1–M9 e listas suspensas — base de dados deste painel.</t>
  </si>
  <si>
    <t xml:space="preserve">data/painel-processos-dados.xlsx</t>
  </si>
  <si>
    <t xml:space="preserve">REP-005</t>
  </si>
  <si>
    <t xml:space="preserve">Desenho</t>
  </si>
  <si>
    <t xml:space="preserve">Modelo de Diagramas BPMN</t>
  </si>
  <si>
    <t xml:space="preserve">Template padrão para modelagem em BPMN 2.0 (pools, lanes, eventos, atividades e gateways), em formato Bizagi e draw.io.</t>
  </si>
  <si>
    <t xml:space="preserve">https://exemplo.codevasf.gov.br/modelos/template-bpmn.bpm</t>
  </si>
  <si>
    <t xml:space="preserve">REP-006</t>
  </si>
  <si>
    <t xml:space="preserve">Análise</t>
  </si>
  <si>
    <t xml:space="preserve">Roteiro de Reunião de Contextualização</t>
  </si>
  <si>
    <t xml:space="preserve">Guia para conduzir a reunião de contextualização: perguntas-guia, dinâmicas de elicitação e checklist de tópicos.</t>
  </si>
  <si>
    <t xml:space="preserve">https://exemplo.codevasf.gov.br/modelos/roteiro-contextualizacao.docx</t>
  </si>
  <si>
    <t xml:space="preserve">REP-007</t>
  </si>
  <si>
    <t xml:space="preserve">Checklist de Validação AS-IS / TO-BE</t>
  </si>
  <si>
    <t xml:space="preserve">Critérios de qualidade para verificação dos modelos antes da validação formal com a área responsável.</t>
  </si>
  <si>
    <t xml:space="preserve">https://exemplo.codevasf.gov.br/modelos/checklist-validacao.docx</t>
  </si>
  <si>
    <t xml:space="preserve">REP-008</t>
  </si>
  <si>
    <t xml:space="preserve">Implementação</t>
  </si>
  <si>
    <t xml:space="preserve">Templates de Comunicação Oficial</t>
  </si>
  <si>
    <t xml:space="preserve">Modelos de ofício, memorando e e-mail: envio de formulário, convite para reunião, validação e publicação.</t>
  </si>
  <si>
    <t xml:space="preserve">https://exemplo.codevasf.gov.br/modelos/templates-comunicacao.zip</t>
  </si>
  <si>
    <t xml:space="preserve">REP-009</t>
  </si>
  <si>
    <t xml:space="preserve">Instrumento</t>
  </si>
  <si>
    <t xml:space="preserve">TC-01</t>
  </si>
  <si>
    <t xml:space="preserve">Termo de Abertura do Mapeamento (Process Charter)</t>
  </si>
  <si>
    <t xml:space="preserve">Formaliza o início do mapeamento de um processo: escopo, dono, equipe, prazos e premissas.</t>
  </si>
  <si>
    <t xml:space="preserve">CBOK 4.0</t>
  </si>
  <si>
    <t xml:space="preserve">https://exemplo.codevasf.gov.br/instrumentos/tc-01.docx</t>
  </si>
  <si>
    <t xml:space="preserve">REP-010</t>
  </si>
  <si>
    <t xml:space="preserve">SIPOC-01</t>
  </si>
  <si>
    <t xml:space="preserve">Matriz SIPOC</t>
  </si>
  <si>
    <t xml:space="preserve">Visão de alto nível do processo: Fornecedores, Entradas, Processo (5–7 passos), Saídas e Clientes.</t>
  </si>
  <si>
    <t xml:space="preserve">https://exemplo.codevasf.gov.br/instrumentos/sipoc-01.docx</t>
  </si>
  <si>
    <t xml:space="preserve">REP-011</t>
  </si>
  <si>
    <t xml:space="preserve">BPMN-01</t>
  </si>
  <si>
    <t xml:space="preserve">Checklist BPMN 2.0 (notação)</t>
  </si>
  <si>
    <t xml:space="preserve">Lista de verificação dos elementos mínimos para um diagrama BPMN aderente ao padrão.</t>
  </si>
  <si>
    <t xml:space="preserve">https://exemplo.codevasf.gov.br/instrumentos/bpmn-01.docx</t>
  </si>
  <si>
    <t xml:space="preserve">REP-012</t>
  </si>
  <si>
    <t xml:space="preserve">RACI-01</t>
  </si>
  <si>
    <t xml:space="preserve">Matriz RACI</t>
  </si>
  <si>
    <t xml:space="preserve">Atribui Responsável (R), Aprovador (A), Consultado (C) e Informado (I) por atividade.</t>
  </si>
  <si>
    <t xml:space="preserve">https://exemplo.codevasf.gov.br/instrumentos/raci-01.xlsx</t>
  </si>
  <si>
    <t xml:space="preserve">REP-013</t>
  </si>
  <si>
    <t xml:space="preserve">Monitoramento</t>
  </si>
  <si>
    <t xml:space="preserve">KPI-01</t>
  </si>
  <si>
    <t xml:space="preserve">Canvas de Indicador (KPI)</t>
  </si>
  <si>
    <t xml:space="preserve">Define nome, fórmula, fonte, meta, periodicidade e responsável de um indicador.</t>
  </si>
  <si>
    <t xml:space="preserve">https://exemplo.codevasf.gov.br/instrumentos/kpi-01.docx</t>
  </si>
  <si>
    <t xml:space="preserve">REP-014</t>
  </si>
  <si>
    <t xml:space="preserve">RISK-01</t>
  </si>
  <si>
    <t xml:space="preserve">Registro de Riscos (ISO 31000)</t>
  </si>
  <si>
    <t xml:space="preserve">Identifica risco, causa, efeito, probabilidade, impacto, resposta e responsável.</t>
  </si>
  <si>
    <t xml:space="preserve">ISO 31000</t>
  </si>
  <si>
    <t xml:space="preserve">https://exemplo.codevasf.gov.br/instrumentos/risk-01.xlsx</t>
  </si>
  <si>
    <t xml:space="preserve">REP-015</t>
  </si>
  <si>
    <t xml:space="preserve">AS-IS-01</t>
  </si>
  <si>
    <t xml:space="preserve">Roteiro de entrevista AS-IS</t>
  </si>
  <si>
    <t xml:space="preserve">Perguntas-guia para levantar o processo como ele é hoje com quem executa.</t>
  </si>
  <si>
    <t xml:space="preserve">https://exemplo.codevasf.gov.br/instrumentos/as-is-01.docx</t>
  </si>
  <si>
    <t xml:space="preserve">REP-016</t>
  </si>
  <si>
    <t xml:space="preserve">TO-BE-01</t>
  </si>
  <si>
    <t xml:space="preserve">Plano de transição AS-IS → TO-BE</t>
  </si>
  <si>
    <t xml:space="preserve">Compara o processo atual e o futuro e organiza as ações de migração.</t>
  </si>
  <si>
    <t xml:space="preserve">https://exemplo.codevasf.gov.br/instrumentos/to-be-01.docx</t>
  </si>
  <si>
    <t xml:space="preserve">REP-017</t>
  </si>
  <si>
    <t xml:space="preserve">Refinamento</t>
  </si>
  <si>
    <t xml:space="preserve">MAT-01</t>
  </si>
  <si>
    <t xml:space="preserve">Diagnóstico rápido de maturidade (PEMM)</t>
  </si>
  <si>
    <t xml:space="preserve">Autoavaliação em 5 dimensões: desenho, executores, dono, infraestrutura e indicadores.</t>
  </si>
  <si>
    <t xml:space="preserve">https://exemplo.codevasf.gov.br/instrumentos/mat-01.xlsx</t>
  </si>
  <si>
    <t xml:space="preserve">REP-018</t>
  </si>
  <si>
    <t xml:space="preserve">Ferramenta</t>
  </si>
  <si>
    <t xml:space="preserve">Bizagi Modeler</t>
  </si>
  <si>
    <t xml:space="preserve">Ferramenta gratuita de modelagem BPMN 2.0, recomendada pela UNP para os diagramas AS-IS e TO-BE.</t>
  </si>
  <si>
    <t xml:space="preserve">Bizagi</t>
  </si>
  <si>
    <t xml:space="preserve">https://www.bizagi.com/pt/plataforma/modeler</t>
  </si>
  <si>
    <t xml:space="preserve">REP-019</t>
  </si>
  <si>
    <t xml:space="preserve">draw.io / diagrams.net</t>
  </si>
  <si>
    <t xml:space="preserve">Ferramenta on-line gratuita para diagramas; suporta BPMN e integra com Google Drive.</t>
  </si>
  <si>
    <t xml:space="preserve">diagrams.net</t>
  </si>
  <si>
    <t xml:space="preserve">https://app.diagrams.net</t>
  </si>
  <si>
    <t xml:space="preserve">REP-020</t>
  </si>
  <si>
    <t xml:space="preserve">Microsoft Visio</t>
  </si>
  <si>
    <t xml:space="preserve">Ferramenta Microsoft para diagramas e modelagem de processos, via licença corporativa da Codevasf.</t>
  </si>
  <si>
    <t xml:space="preserve">Microsoft</t>
  </si>
  <si>
    <t xml:space="preserve">https://exemplo.codevasf.gov.br/ti/solicitar-visio</t>
  </si>
  <si>
    <t xml:space="preserve">REP-021</t>
  </si>
  <si>
    <t xml:space="preserve">Lucidchart</t>
  </si>
  <si>
    <t xml:space="preserve">Plataforma colaborativa on-line para modelagem, com edição simultânea por vários usuários.</t>
  </si>
  <si>
    <t xml:space="preserve">Lucid</t>
  </si>
  <si>
    <t xml:space="preserve">https://www.lucidchart.com</t>
  </si>
  <si>
    <t xml:space="preserve">REP-022</t>
  </si>
  <si>
    <t xml:space="preserve">Referência</t>
  </si>
  <si>
    <t xml:space="preserve">BPM CBOK 4.0 — ABPMP International</t>
  </si>
  <si>
    <t xml:space="preserve">Guia de referência em gerenciamento de processos de negócio; padrão metodológico principal da UNP.</t>
  </si>
  <si>
    <t xml:space="preserve">ABPMP</t>
  </si>
  <si>
    <t xml:space="preserve">https://www.abpmp-br.org</t>
  </si>
  <si>
    <t xml:space="preserve">REP-023</t>
  </si>
  <si>
    <t xml:space="preserve">PMBOK — Project Management Institute</t>
  </si>
  <si>
    <t xml:space="preserve">Guia de gestão de projetos do PMI; referência complementar para gerir o próprio projeto de mapeamento.</t>
  </si>
  <si>
    <t xml:space="preserve">PMI</t>
  </si>
  <si>
    <t xml:space="preserve">https://www.pmi.org</t>
  </si>
  <si>
    <t xml:space="preserve">REP-024</t>
  </si>
  <si>
    <t xml:space="preserve">Decreto nº 10.382/2020 — Governo Federal</t>
  </si>
  <si>
    <t xml:space="preserve">Política de governança das empresas estatais federais; base legal para gestão por processos e controles internos.</t>
  </si>
  <si>
    <t xml:space="preserve">Planalto</t>
  </si>
  <si>
    <t xml:space="preserve">http://www.planalto.gov.br/ccivil_03/_ato2019-2022/2020/decreto/D10382.htm</t>
  </si>
  <si>
    <t xml:space="preserve">Papel</t>
  </si>
  <si>
    <t xml:space="preserve">Unidade_Sigla</t>
  </si>
  <si>
    <t xml:space="preserve">Unidade_Nome</t>
  </si>
  <si>
    <t xml:space="preserve">Email</t>
  </si>
  <si>
    <t xml:space="preserve">Telefone</t>
  </si>
  <si>
    <t xml:space="preserve">Coordenadora do NUGEP</t>
  </si>
  <si>
    <t xml:space="preserve">AE/GPE/UNP</t>
  </si>
  <si>
    <t xml:space="preserve">Unidade de Gestão Normativa e de Processos</t>
  </si>
  <si>
    <t xml:space="preserve">bruna.souza@codevasf.gov.br</t>
  </si>
  <si>
    <t xml:space="preserve">(61) 2028-4441</t>
  </si>
  <si>
    <t xml:space="preserve">Analista de Processos</t>
  </si>
  <si>
    <t xml:space="preserve">Gerência de Planejamento Estratégico</t>
  </si>
  <si>
    <t xml:space="preserve">carlos.lima@codevasf.gov.br</t>
  </si>
  <si>
    <t xml:space="preserve">(61) 2028-4442</t>
  </si>
  <si>
    <t xml:space="preserve">Especialista em BPM</t>
  </si>
  <si>
    <t xml:space="preserve">Gerência de Tecnologia da Informação</t>
  </si>
  <si>
    <t xml:space="preserve">daniela.ribeiro@codevasf.gov.br</t>
  </si>
  <si>
    <t xml:space="preserve">(61) 2028-4501</t>
  </si>
  <si>
    <t xml:space="preserve">Interlocutor de Processos Finalísticos</t>
  </si>
  <si>
    <t xml:space="preserve">AR/GPR</t>
  </si>
  <si>
    <t xml:space="preserve">Gerência de Projetos de Revitalização</t>
  </si>
  <si>
    <t xml:space="preserve">eduardo.martins@codevasf.gov.br</t>
  </si>
  <si>
    <t xml:space="preserve">(61) 2028-4612</t>
  </si>
  <si>
    <t xml:space="preserve">Fernanda Alves</t>
  </si>
  <si>
    <t xml:space="preserve">Analista de Riscos e Conformidade</t>
  </si>
  <si>
    <t xml:space="preserve">Gerência de Auditoria e Governança</t>
  </si>
  <si>
    <t xml:space="preserve">fernanda.alves@codevasf.gov.br</t>
  </si>
  <si>
    <t xml:space="preserve">(61) 2028-4380</t>
  </si>
  <si>
    <t xml:space="preserve">Apoio Metodológico — PMBOK/CBOK</t>
  </si>
  <si>
    <t xml:space="preserve">gustavo.pereira@codevasf.gov.br</t>
  </si>
  <si>
    <t xml:space="preserve">(61) 2028-4443</t>
  </si>
  <si>
    <t xml:space="preserve">Termo</t>
  </si>
  <si>
    <t xml:space="preserve">Definicao</t>
  </si>
  <si>
    <t xml:space="preserve">Termos_Relacionados</t>
  </si>
  <si>
    <t xml:space="preserve">BPM (CBOK)</t>
  </si>
  <si>
    <t xml:space="preserve">Association of Business Process Management Professionals — entidade internacional sem fins lucrativos que mantém o CBOK e certificações como CBPP (Certified Business Process Professional).</t>
  </si>
  <si>
    <t xml:space="preserve">CBOK; BPM</t>
  </si>
  <si>
    <t xml:space="preserve">Conjunto de tarefas executadas para transformar entradas em saídas dentro de um processo. É o nível operacional mapeado em diagramas BPMN.</t>
  </si>
  <si>
    <t xml:space="preserve">Tarefa; Subprocesso; BPMN</t>
  </si>
  <si>
    <t xml:space="preserve">Arquitetura de Processos</t>
  </si>
  <si>
    <t xml:space="preserve">Visão estruturada e hierárquica de todos os processos da organização, do macroprocesso à tarefa, mostrando relações, donos e contribuição para a estratégia.</t>
  </si>
  <si>
    <t xml:space="preserve">Cadeia de Valor; Macroprocesso</t>
  </si>
  <si>
    <t xml:space="preserve">AS-IS</t>
  </si>
  <si>
    <t xml:space="preserve">Modelo do processo no estado atual (como ele realmente é executado hoje), usado como base de diagnóstico antes de propor melhorias.</t>
  </si>
  <si>
    <t xml:space="preserve">TO-BE; Análise de Processos</t>
  </si>
  <si>
    <t xml:space="preserve">Análise de Processos</t>
  </si>
  <si>
    <t xml:space="preserve">Estudo do processo AS-IS para identificar gargalos, retrabalho, desperdícios e oportunidades de melhoria. Usa ferramentas como Ishikawa, 5 porquês e análise de valor agregado.</t>
  </si>
  <si>
    <t xml:space="preserve">AS-IS; Melhoria Contínua; Gargalo</t>
  </si>
  <si>
    <t xml:space="preserve">Agile</t>
  </si>
  <si>
    <t xml:space="preserve">Projetos (PMBOK)</t>
  </si>
  <si>
    <t xml:space="preserve">Abordagem iterativa e incremental de gerenciamento, baseada no Manifesto Ágil, com entregas frequentes e adaptação contínua.</t>
  </si>
  <si>
    <t xml:space="preserve">Manifesto Ágil</t>
  </si>
  <si>
    <t xml:space="preserve">Scrum; Kanban; Sprint</t>
  </si>
  <si>
    <t xml:space="preserve">AE</t>
  </si>
  <si>
    <t xml:space="preserve">Metodologia Codevasf</t>
  </si>
  <si>
    <t xml:space="preserve">Área de Estratégia e Finanças da Codevasf, instância superior da GPE/UNP.</t>
  </si>
  <si>
    <t xml:space="preserve">GPE; UNP</t>
  </si>
  <si>
    <t xml:space="preserve">Accountability</t>
  </si>
  <si>
    <t xml:space="preserve">Governança e Papéis</t>
  </si>
  <si>
    <t xml:space="preserve">Obrigação de prestar contas e responder pelos resultados, especialmente no setor público.</t>
  </si>
  <si>
    <t xml:space="preserve">TCU</t>
  </si>
  <si>
    <t xml:space="preserve">Governança Pública</t>
  </si>
  <si>
    <t xml:space="preserve">BPM</t>
  </si>
  <si>
    <t xml:space="preserve">Business Process Management — disciplina gerencial integrada que combina técnicas, métodos e ferramentas para identificar, modelar, executar, monitorar e melhorar continuamente os processos de negócio, alinhando-os à estratégia e à entrega de valor ao cliente.</t>
  </si>
  <si>
    <t xml:space="preserve">ABPMP CBOK 4.0</t>
  </si>
  <si>
    <t xml:space="preserve">Processo de Negócio; Ciclo de Vida BPM; Governança de Processos</t>
  </si>
  <si>
    <t xml:space="preserve">BPMN</t>
  </si>
  <si>
    <t xml:space="preserve">Business Process Model and Notation — padrão da OMG para modelagem gráfica de processos de negócio. Define símbolos para atividades, eventos, gateways, fluxos e raias.</t>
  </si>
  <si>
    <t xml:space="preserve">OMG / CBOK 4.0</t>
  </si>
  <si>
    <t xml:space="preserve">Notação; Raia (Swimlane); Pool</t>
  </si>
  <si>
    <t xml:space="preserve">Beneficiário / Cidadão-usuário (Customer)</t>
  </si>
  <si>
    <t xml:space="preserve">SIPOC e Modelagem</t>
  </si>
  <si>
    <t xml:space="preserve">Destinatário da saída do processo no setor público. Pode ser interno (outra unidade da Codevasf) ou externo — cidadão, irrigante, comunidade beneficiária, ente federativo ou órgão parceiro.</t>
  </si>
  <si>
    <t xml:space="preserve">SIPOC</t>
  </si>
  <si>
    <t xml:space="preserve">Baseline</t>
  </si>
  <si>
    <t xml:space="preserve">Indicadores e Riscos</t>
  </si>
  <si>
    <t xml:space="preserve">Valor de referência inicial de um indicador, usado como base para comparar resultados futuros.</t>
  </si>
  <si>
    <t xml:space="preserve">Indicador; Meta</t>
  </si>
  <si>
    <t xml:space="preserve">Burndown</t>
  </si>
  <si>
    <t xml:space="preserve">Gráfico que mostra a quantidade de trabalho restante ao longo do tempo, comum em métodos ágeis.</t>
  </si>
  <si>
    <t xml:space="preserve">Scrum</t>
  </si>
  <si>
    <t xml:space="preserve">Agile; Sprint</t>
  </si>
  <si>
    <t xml:space="preserve">Burnup</t>
  </si>
  <si>
    <t xml:space="preserve">Gráfico que mostra o trabalho concluído acumulado ao longo do tempo, comparando com o escopo total.</t>
  </si>
  <si>
    <t xml:space="preserve">Burndown; Agile</t>
  </si>
  <si>
    <t xml:space="preserve">CBOK</t>
  </si>
  <si>
    <t xml:space="preserve">Guide to the Business Process Management Common Body of Knowledge — referência da ABPMP que consolida conceitos, práticas e competências essenciais de BPM. A versão 4.0 reorganiza o conteúdo em 9 áreas de conhecimento.</t>
  </si>
  <si>
    <t xml:space="preserve">BPM; ABPMP</t>
  </si>
  <si>
    <t xml:space="preserve">Cadeia de Valor</t>
  </si>
  <si>
    <t xml:space="preserve">Representação visual dos macroprocessos de uma organização ordenados segundo sua contribuição para a entrega de valor. Permite visão sistêmica e priorização do mapeamento.</t>
  </si>
  <si>
    <t xml:space="preserve">Porter / CBOK 4.0</t>
  </si>
  <si>
    <t xml:space="preserve">Macroprocesso; Arquitetura de Processos</t>
  </si>
  <si>
    <t xml:space="preserve">Ciclo de Vida BPM</t>
  </si>
  <si>
    <t xml:space="preserve">Sequência iterativa de fases para gerenciar processos: planejar, analisar, desenhar, implementar, monitorar e refinar (PDCA aplicado a processos).</t>
  </si>
  <si>
    <t xml:space="preserve">BPM; Análise de Processos</t>
  </si>
  <si>
    <t xml:space="preserve">Cronograma</t>
  </si>
  <si>
    <t xml:space="preserve">Modelo que apresenta a sequência, datas e durações das atividades do projeto.</t>
  </si>
  <si>
    <t xml:space="preserve">Gantt</t>
  </si>
  <si>
    <t xml:space="preserve">Caminho Crítico</t>
  </si>
  <si>
    <t xml:space="preserve">Sequência de atividades que determina a menor duração possível do projeto. Atrasos em qualquer atividade do caminho crítico atrasam o projeto.</t>
  </si>
  <si>
    <t xml:space="preserve">PMBOK / CPM</t>
  </si>
  <si>
    <t xml:space="preserve">CPI</t>
  </si>
  <si>
    <t xml:space="preserve">Cost Performance Index — índice de desempenho de custo. CPI &lt; 1 indica estouro de orçamento.</t>
  </si>
  <si>
    <t xml:space="preserve">EVM</t>
  </si>
  <si>
    <t xml:space="preserve">EVM; SPI</t>
  </si>
  <si>
    <t xml:space="preserve">Compliance</t>
  </si>
  <si>
    <t xml:space="preserve">Conformidade com leis, regulamentos, normas e políticas internas. Inclui prevenção a fraudes e corrupção.</t>
  </si>
  <si>
    <t xml:space="preserve">Lei 12.846/2013</t>
  </si>
  <si>
    <t xml:space="preserve">Governança Pública; Controle Interno</t>
  </si>
  <si>
    <t xml:space="preserve">Controle Interno</t>
  </si>
  <si>
    <t xml:space="preserve">Conjunto de atividades, planos e métodos adotados para salvaguardar ativos, conferir exatidão e segurança aos dados e promover a eficiência operacional.</t>
  </si>
  <si>
    <t xml:space="preserve">INTOSAI / IN 03/2017</t>
  </si>
  <si>
    <t xml:space="preserve">Desperdício (Muda)</t>
  </si>
  <si>
    <t xml:space="preserve">Toda atividade que consome recursos sem agregar valor ao cliente. Os 7+1 desperdícios clássicos: superprodução, espera, transporte, processamento excessivo, estoque, movimento, defeito e talento não utilizado.</t>
  </si>
  <si>
    <t xml:space="preserve">Lean</t>
  </si>
  <si>
    <t xml:space="preserve">Lean; Valor Agregado</t>
  </si>
  <si>
    <t xml:space="preserve">Dono do Processo</t>
  </si>
  <si>
    <t xml:space="preserve">Pessoa formalmente responsável pelo desempenho, integridade e melhoria contínua de um processo de ponta a ponta, independentemente da estrutura hierárquica.</t>
  </si>
  <si>
    <t xml:space="preserve">Governança de Processos</t>
  </si>
  <si>
    <t xml:space="preserve">Diagrama de Tartaruga</t>
  </si>
  <si>
    <t xml:space="preserve">Ferramenta de modelagem que detalha um processo por entradas, saídas, recursos, métodos, pessoas e indicadores, formando o desenho de uma tartaruga.</t>
  </si>
  <si>
    <t xml:space="preserve">ISO 9001</t>
  </si>
  <si>
    <t xml:space="preserve">Evento</t>
  </si>
  <si>
    <t xml:space="preserve">Acontecimento que afeta o fluxo do processo: início, fim, intermediário, de tempo, mensagem ou erro.</t>
  </si>
  <si>
    <t xml:space="preserve">Escritório de Processos (BPM Office)</t>
  </si>
  <si>
    <t xml:space="preserve">Unidade organizacional responsável por orientar metodologia, manter o repositório de processos e apoiar áreas no mapeamento. Na Codevasf, esse papel é da UNP/GPE.</t>
  </si>
  <si>
    <t xml:space="preserve">UNP; Governança de Processos</t>
  </si>
  <si>
    <t xml:space="preserve">Entrada (Input)</t>
  </si>
  <si>
    <t xml:space="preserve">Insumo, informação, documento ou recurso necessário para iniciar ou executar uma atividade do processo.</t>
  </si>
  <si>
    <t xml:space="preserve">Eficiência</t>
  </si>
  <si>
    <t xml:space="preserve">Relação entre o que foi produzido (saída) e os recursos consumidos (entrada). “Fazer certo as coisas”.</t>
  </si>
  <si>
    <t xml:space="preserve">Eficácia; Efetividade</t>
  </si>
  <si>
    <t xml:space="preserve">Eficácia</t>
  </si>
  <si>
    <t xml:space="preserve">Grau em que os resultados pretendidos foram alcançados. “Fazer as coisas certas”.</t>
  </si>
  <si>
    <t xml:space="preserve">Eficiência; Efetividade</t>
  </si>
  <si>
    <t xml:space="preserve">Efetividade</t>
  </si>
  <si>
    <t xml:space="preserve">Impacto real e duradouro do processo no público-alvo ou na sociedade. Combina eficiência e eficácia com sustentabilidade.</t>
  </si>
  <si>
    <t xml:space="preserve">Gestão Pública</t>
  </si>
  <si>
    <t xml:space="preserve">Eficiência; Eficácia</t>
  </si>
  <si>
    <t xml:space="preserve">Escopo</t>
  </si>
  <si>
    <t xml:space="preserve">Soma dos produtos, serviços e resultados a serem entregues no projeto. Inclui escopo do produto e escopo do trabalho.</t>
  </si>
  <si>
    <t xml:space="preserve">EAP; Entrega</t>
  </si>
  <si>
    <t xml:space="preserve">EAP</t>
  </si>
  <si>
    <t xml:space="preserve">Estrutura Analítica do Projeto (Work Breakdown Structure — WBS) — decomposição hierárquica do escopo em entregas e pacotes de trabalho.</t>
  </si>
  <si>
    <t xml:space="preserve">Escopo; Entrega; Pacote de Trabalho</t>
  </si>
  <si>
    <t xml:space="preserve">Produto, resultado ou capacidade único e verificável, obtido a partir de uma fase ou de todo o projeto.</t>
  </si>
  <si>
    <t xml:space="preserve">Earned Value Management — técnica que integra escopo, prazo e custo para medir o desempenho do projeto (SPI, CPI).</t>
  </si>
  <si>
    <t xml:space="preserve">SPI; CPI; Cronograma</t>
  </si>
  <si>
    <t xml:space="preserve">Fornecedor (Supplier)</t>
  </si>
  <si>
    <t xml:space="preserve">Pessoa, área ou sistema que fornece insumos (entradas) ao processo.</t>
  </si>
  <si>
    <t xml:space="preserve">Fluxograma</t>
  </si>
  <si>
    <t xml:space="preserve">Representação gráfica sequencial das etapas de um processo, usando símbolos padronizados para atividade, decisão, início e fim.</t>
  </si>
  <si>
    <t xml:space="preserve">ASME / ISO</t>
  </si>
  <si>
    <t xml:space="preserve">Gateway</t>
  </si>
  <si>
    <t xml:space="preserve">Elemento BPMN que controla a divergência ou convergência do fluxo: decisão exclusiva, paralela ou inclusiva.</t>
  </si>
  <si>
    <t xml:space="preserve">Gargalo</t>
  </si>
  <si>
    <t xml:space="preserve">Ponto do processo onde a capacidade é menor que a demanda, restringindo a vazão de todo o fluxo. Identificado por filas, atrasos e acúmulo de trabalho.</t>
  </si>
  <si>
    <t xml:space="preserve">Teoria das Restrições</t>
  </si>
  <si>
    <t xml:space="preserve">Estrutura de papéis, responsabilidades, políticas e instâncias decisórias que garante que os processos sejam executados, monitorados e melhorados conforme a estratégia.</t>
  </si>
  <si>
    <t xml:space="preserve">Gráfico de barras horizontais que representa o cronograma do projeto ao longo do tempo, com início, duração e fim de cada atividade.</t>
  </si>
  <si>
    <t xml:space="preserve">Henry Gantt</t>
  </si>
  <si>
    <t xml:space="preserve">GPE</t>
  </si>
  <si>
    <t xml:space="preserve">Gerência de Planejamento Estratégico da Codevasf, à qual a UNP está subordinada.</t>
  </si>
  <si>
    <t xml:space="preserve">UNP; AE</t>
  </si>
  <si>
    <t xml:space="preserve">Conjunto de mecanismos de liderança, estratégia e controle postos em prática para avaliar, direcionar e monitorar a gestão pública.</t>
  </si>
  <si>
    <t xml:space="preserve">Decreto 9.203/2017</t>
  </si>
  <si>
    <t xml:space="preserve">Accountability; Governança de Processos</t>
  </si>
  <si>
    <t xml:space="preserve">Handoff</t>
  </si>
  <si>
    <t xml:space="preserve">Transferência de responsabilidade entre áreas, sistemas ou pessoas no fluxo do processo. Cada handoff é ponto crítico de falha e atraso.</t>
  </si>
  <si>
    <t xml:space="preserve">Processo Ponta a Ponta</t>
  </si>
  <si>
    <t xml:space="preserve">Indicador</t>
  </si>
  <si>
    <t xml:space="preserve">Medida quantitativa ou qualitativa que reflete o desempenho de um processo, atividade ou objetivo. Deve ter fórmula, fonte, meta, periodicidade e responsável.</t>
  </si>
  <si>
    <t xml:space="preserve">KPI; Meta; Baseline</t>
  </si>
  <si>
    <t xml:space="preserve">Impacto</t>
  </si>
  <si>
    <t xml:space="preserve">Magnitude das consequências de um evento de risco caso ele se concretize, normalmente avaliado em escala.</t>
  </si>
  <si>
    <t xml:space="preserve">Risco; Probabilidade</t>
  </si>
  <si>
    <t xml:space="preserve">Interlocutor de Processos</t>
  </si>
  <si>
    <t xml:space="preserve">Empregado indicado pela unidade gestora para representar a área no projeto de mapeamento: facilita reuniões, valida modelos e mobiliza especialistas.</t>
  </si>
  <si>
    <t xml:space="preserve">Dono do Processo; UNP</t>
  </si>
  <si>
    <t xml:space="preserve">Kaizen</t>
  </si>
  <si>
    <t xml:space="preserve">Filosofia japonesa de melhoria contínua que promove pequenas mudanças incrementais com participação de toda a equipe.</t>
  </si>
  <si>
    <t xml:space="preserve">PDCA; Melhoria Contínua</t>
  </si>
  <si>
    <t xml:space="preserve">KPI</t>
  </si>
  <si>
    <t xml:space="preserve">Key Performance Indicator — indicador-chave de desempenho. Métrica quantificável usada para avaliar o sucesso de um processo, projeto ou objetivo estratégico.</t>
  </si>
  <si>
    <t xml:space="preserve">BSC / CBOK</t>
  </si>
  <si>
    <t xml:space="preserve">Indicador; Meta; SLA</t>
  </si>
  <si>
    <t xml:space="preserve">Kanban</t>
  </si>
  <si>
    <t xml:space="preserve">Método visual de gestão do fluxo de trabalho, com cartões e colunas (To Do, Doing, Done) e limites de WIP.</t>
  </si>
  <si>
    <t xml:space="preserve">Toyota / Kanban Method</t>
  </si>
  <si>
    <t xml:space="preserve">Agile; WIP</t>
  </si>
  <si>
    <t xml:space="preserve">Conjunto de práticas focadas na eliminação de desperdícios (muda) e maximização de valor para o cliente, oriundas do Sistema Toyota de Produção.</t>
  </si>
  <si>
    <t xml:space="preserve">Toyota / Lean</t>
  </si>
  <si>
    <t xml:space="preserve">Valor Agregado; Desperdício (Muda)</t>
  </si>
  <si>
    <t xml:space="preserve">Linha de Base (Baseline)</t>
  </si>
  <si>
    <t xml:space="preserve">Versão aprovada do escopo, prazo ou custo, usada como referência para comparação com o desempenho real.</t>
  </si>
  <si>
    <t xml:space="preserve">Baseline; Escopo; Cronograma</t>
  </si>
  <si>
    <t xml:space="preserve">Lições Aprendidas</t>
  </si>
  <si>
    <t xml:space="preserve">Conhecimento adquirido durante o projeto, registrado para uso em projetos futuros. Inclui o que deu certo, o que deu errado e recomendações.</t>
  </si>
  <si>
    <t xml:space="preserve">LGPD</t>
  </si>
  <si>
    <t xml:space="preserve">Lei Geral de Proteção de Dados Pessoais (Lei 13.709/2018) — disciplina o tratamento de dados pessoais por pessoas físicas e jurídicas, públicas e privadas.</t>
  </si>
  <si>
    <t xml:space="preserve">Lei 13.709/2018</t>
  </si>
  <si>
    <t xml:space="preserve">Agrupamento dos grandes processos de uma organização que atravessam várias áreas e contribuem de forma estratégica para a cadeia de valor. Na Codevasf, são classificados em gerenciais, finalísticos e de suporte.</t>
  </si>
  <si>
    <t xml:space="preserve">CBOK 4.0 / Codevasf</t>
  </si>
  <si>
    <t xml:space="preserve">Cadeia de Valor; Processo de Negócio; Subprocesso</t>
  </si>
  <si>
    <t xml:space="preserve">Modelagem de Processos</t>
  </si>
  <si>
    <t xml:space="preserve">Representação gráfica e textual de um processo, mostrando atividades, papéis, fluxos, decisões e eventos. Geralmente utiliza notação BPMN.</t>
  </si>
  <si>
    <t xml:space="preserve">BPMN; AS-IS; TO-BE; SIPOC</t>
  </si>
  <si>
    <t xml:space="preserve">Melhoria Contínua</t>
  </si>
  <si>
    <t xml:space="preserve">Esforço sistemático e incremental para aperfeiçoar processos, fundamentado em ciclos PDCA e Kaizen.</t>
  </si>
  <si>
    <t xml:space="preserve">Deming / CBOK 4.0</t>
  </si>
  <si>
    <t xml:space="preserve">PDCA; Kaizen; Ciclo de Vida BPM</t>
  </si>
  <si>
    <t xml:space="preserve">Maturidade em Processos</t>
  </si>
  <si>
    <t xml:space="preserve">Grau de evolução da gestão por processos em uma organização, geralmente medido em 5 níveis (inicial, gerenciado, definido, mensurado, otimizado).</t>
  </si>
  <si>
    <t xml:space="preserve">CMMI / BPM-MM</t>
  </si>
  <si>
    <t xml:space="preserve">BPM; Governança de Processos</t>
  </si>
  <si>
    <t xml:space="preserve">Valor numérico que se deseja alcançar para um indicador em um prazo determinado, geralmente desafiador e mensurável.</t>
  </si>
  <si>
    <t xml:space="preserve">BSC</t>
  </si>
  <si>
    <t xml:space="preserve">Indicador; KPI</t>
  </si>
  <si>
    <t xml:space="preserve">Matriz de Risco</t>
  </si>
  <si>
    <t xml:space="preserve">Ferramenta que cruza probabilidade e impacto para classificar e priorizar riscos (baixo, moderado, alto, extremo).</t>
  </si>
  <si>
    <t xml:space="preserve">Risco; Probabilidade; Impacto</t>
  </si>
  <si>
    <t xml:space="preserve">Mitigação</t>
  </si>
  <si>
    <t xml:space="preserve">Ação para reduzir a probabilidade ou o impacto de um risco, ou para tratar suas consequências.</t>
  </si>
  <si>
    <t xml:space="preserve">Risco; Plano de Mitigação</t>
  </si>
  <si>
    <t xml:space="preserve">Marco (Milestone)</t>
  </si>
  <si>
    <t xml:space="preserve">Ponto significativo no cronograma, normalmente a conclusão de uma entrega importante. Não consome tempo.</t>
  </si>
  <si>
    <t xml:space="preserve">Cronograma; Entrega</t>
  </si>
  <si>
    <t xml:space="preserve">Matriz de responsabilidades que define quem é Responsável (executa), Accountable (responde), Consultado e Informado em cada atividade.</t>
  </si>
  <si>
    <t xml:space="preserve">Stakeholder; Dono do Processo</t>
  </si>
  <si>
    <t xml:space="preserve">Mapeamento de Processos (Codevasf)</t>
  </si>
  <si>
    <t xml:space="preserve">Trabalho conduzido pela UNP em parceria com as unidades gestoras para documentar processos em formato padronizado (SIPOC, BPMN, indicadores e riscos), conforme a RES 031/2025.</t>
  </si>
  <si>
    <t xml:space="preserve">SIPOC; BPMN; Metodologia Codevasf</t>
  </si>
  <si>
    <t xml:space="preserve">Conjunto de etapas, artefatos e padrões definidos na Metodologia e no Guia de Gerenciamento de Processos (RES 031/2025) para conduzir o mapeamento e a melhoria dos processos.</t>
  </si>
  <si>
    <t xml:space="preserve">Mapeamento de Processos (Codevasf); UNP</t>
  </si>
  <si>
    <t xml:space="preserve">Notação</t>
  </si>
  <si>
    <t xml:space="preserve">Conjunto padronizado de símbolos para representar processos. BPMN é a mais usada em BPM.</t>
  </si>
  <si>
    <t xml:space="preserve">BPMN; Fluxograma</t>
  </si>
  <si>
    <t xml:space="preserve">Processo de Negócio</t>
  </si>
  <si>
    <t xml:space="preserve">Conjunto definido de atividades, executadas por pessoas ou sistemas, que entrega um resultado de valor a um cliente interno ou externo. Tem início, fim, entradas, saídas e mensuração claros.</t>
  </si>
  <si>
    <t xml:space="preserve">Macroprocesso; Subprocesso; Atividade; Tarefa</t>
  </si>
  <si>
    <t xml:space="preserve">Pool</t>
  </si>
  <si>
    <t xml:space="preserve">Contêiner BPMN que representa um participante (organização, sistema ou área) e agrupa raias.</t>
  </si>
  <si>
    <t xml:space="preserve">BPMN; Raia (Swimlane)</t>
  </si>
  <si>
    <t xml:space="preserve">PDCA</t>
  </si>
  <si>
    <t xml:space="preserve">Plan-Do-Check-Act — ciclo de melhoria contínua atribuído a Deming/Shewhart: planejar, executar, verificar e agir corretivamente.</t>
  </si>
  <si>
    <t xml:space="preserve">Deming</t>
  </si>
  <si>
    <t xml:space="preserve">Melhoria Contínua; Kaizen</t>
  </si>
  <si>
    <t xml:space="preserve">Visão completa do processo, do primeiro evento desencadeador até a entrega final ao cliente, atravessando todas as áreas envolvidas.</t>
  </si>
  <si>
    <t xml:space="preserve">Processo de Negócio; Handoff</t>
  </si>
  <si>
    <t xml:space="preserve">Probabilidade</t>
  </si>
  <si>
    <t xml:space="preserve">Estimativa da chance de ocorrência de um evento de risco, geralmente em escala (muito baixa, baixa, média, alta, muito alta).</t>
  </si>
  <si>
    <t xml:space="preserve">Risco; Impacto</t>
  </si>
  <si>
    <t xml:space="preserve">Plano de Mitigação</t>
  </si>
  <si>
    <t xml:space="preserve">Conjunto estruturado de ações, prazos e responsáveis para tratar um risco específico.</t>
  </si>
  <si>
    <t xml:space="preserve">Mitigação; Risco</t>
  </si>
  <si>
    <t xml:space="preserve">Project Management Body of Knowledge — guia do PMI que consolida boas práticas, princípios e domínios de desempenho em gerenciamento de projetos.</t>
  </si>
  <si>
    <t xml:space="preserve">PMI; Projeto</t>
  </si>
  <si>
    <t xml:space="preserve">Project Management Institute — instituto internacional que mantém o PMBOK e certificações como PMP.</t>
  </si>
  <si>
    <t xml:space="preserve">Projeto</t>
  </si>
  <si>
    <t xml:space="preserve">Esforço temporário empreendido para criar um produto, serviço ou resultado único. Tem início e fim definidos.</t>
  </si>
  <si>
    <t xml:space="preserve">Programa; Portfólio; Entrega</t>
  </si>
  <si>
    <t xml:space="preserve">Programa</t>
  </si>
  <si>
    <t xml:space="preserve">Conjunto de projetos relacionados, gerenciados de forma coordenada para obter benefícios que não seriam alcançados se gerenciados individualmente.</t>
  </si>
  <si>
    <t xml:space="preserve">Projeto; Portfólio</t>
  </si>
  <si>
    <t xml:space="preserve">Portfólio</t>
  </si>
  <si>
    <t xml:space="preserve">Conjunto de projetos, programas e operações gerenciados em grupo para atingir objetivos estratégicos.</t>
  </si>
  <si>
    <t xml:space="preserve">Projeto; Programa</t>
  </si>
  <si>
    <t xml:space="preserve">Pacote de Trabalho</t>
  </si>
  <si>
    <t xml:space="preserve">Componente de menor nível da EAP, para o qual se pode estimar custo, prazo e responsável.</t>
  </si>
  <si>
    <t xml:space="preserve">EAP; Escopo</t>
  </si>
  <si>
    <t xml:space="preserve">Plano de Ações AE/GPE</t>
  </si>
  <si>
    <t xml:space="preserve">Plano de Ações 2026 conduzido pela AE/GPE/UNP para estruturar o escritório de processos, mapear processos prioritários e implantar a governança.</t>
  </si>
  <si>
    <t xml:space="preserve">Codevasf 2026</t>
  </si>
  <si>
    <t xml:space="preserve">UNP; GPE; AE</t>
  </si>
  <si>
    <t xml:space="preserve">Raia (Swimlane)</t>
  </si>
  <si>
    <t xml:space="preserve">Faixa horizontal ou vertical no diagrama BPMN que indica o papel, área ou sistema responsável pelas atividades nela contidas.</t>
  </si>
  <si>
    <t xml:space="preserve">BPMN; Pool</t>
  </si>
  <si>
    <t xml:space="preserve">Reengenharia</t>
  </si>
  <si>
    <t xml:space="preserve">Repensar e redesenhar radicalmente processos para obter ganhos expressivos em custo, qualidade, serviço e velocidade. Diferente da melhoria contínua incremental.</t>
  </si>
  <si>
    <t xml:space="preserve">Hammer &amp; Champy</t>
  </si>
  <si>
    <t xml:space="preserve">TO-BE; Melhoria Contínua</t>
  </si>
  <si>
    <t xml:space="preserve">Risco</t>
  </si>
  <si>
    <t xml:space="preserve">Efeito da incerteza sobre os objetivos. Pode ser ameaça (negativo) ou oportunidade (positivo). Tem causa, evento e consequência.</t>
  </si>
  <si>
    <t xml:space="preserve">ISO 31000 / PMBOK</t>
  </si>
  <si>
    <t xml:space="preserve">Probabilidade; Impacto; Mitigação</t>
  </si>
  <si>
    <t xml:space="preserve">Recorte de um processo, com objetivo específico, que pode ser detalhado em atividades e tarefas. Permite gerenciar partes complexas do processo separadamente.</t>
  </si>
  <si>
    <t xml:space="preserve">Processo de Negócio; Atividade</t>
  </si>
  <si>
    <t xml:space="preserve">Ferramenta visual que descreve um processo em alto nível por meio de cinco elementos: Suppliers (Fornecedores), Inputs (Entradas), Process (Processo), Outputs (Saídas) e Customers (Clientes).</t>
  </si>
  <si>
    <t xml:space="preserve">Six Sigma / CBOK</t>
  </si>
  <si>
    <t xml:space="preserve">Fornecedor (Supplier); Entrada (Input); Saída (Output)</t>
  </si>
  <si>
    <t xml:space="preserve">Saída (Output)</t>
  </si>
  <si>
    <t xml:space="preserve">Produto, serviço, informação ou decisão gerada pelo processo e entregue a um cliente.</t>
  </si>
  <si>
    <t xml:space="preserve">SLA</t>
  </si>
  <si>
    <t xml:space="preserve">Service Level Agreement — acordo formal entre prestador e cliente que define níveis de serviço, prazos, qualidade e penalidades.</t>
  </si>
  <si>
    <t xml:space="preserve">ITIL</t>
  </si>
  <si>
    <t xml:space="preserve">KPI; Indicador</t>
  </si>
  <si>
    <t xml:space="preserve">Stakeholder</t>
  </si>
  <si>
    <t xml:space="preserve">Parte interessada — pessoa, grupo ou organização que afeta ou é afetada pelo projeto.</t>
  </si>
  <si>
    <t xml:space="preserve">Framework ágil baseado em sprints curtas, papéis definidos (Product Owner, Scrum Master, Time) e cerimônias (planning, daily, review, retro).</t>
  </si>
  <si>
    <t xml:space="preserve">Schwaber &amp; Sutherland</t>
  </si>
  <si>
    <t xml:space="preserve">Sprint</t>
  </si>
  <si>
    <t xml:space="preserve">Iteração de duração fixa (geralmente 1 a 4 semanas) em Scrum, ao final da qual se entrega um incremento potencialmente utilizável.</t>
  </si>
  <si>
    <t xml:space="preserve">Scrum; Agile</t>
  </si>
  <si>
    <t xml:space="preserve">SPI</t>
  </si>
  <si>
    <t xml:space="preserve">Schedule Performance Index — índice de desempenho de prazo do projeto. SPI &lt; 1 indica atraso.</t>
  </si>
  <si>
    <t xml:space="preserve">EVM; CPI</t>
  </si>
  <si>
    <t xml:space="preserve">Status de Mapeamento</t>
  </si>
  <si>
    <t xml:space="preserve">Indicador do estágio em que se encontra o mapeamento de um processo: Não iniciado, Em andamento, Concluído ou Suspenso.</t>
  </si>
  <si>
    <t xml:space="preserve">Semáforo do Processo</t>
  </si>
  <si>
    <t xml:space="preserve">Sinal visual (verde, amarelo, vermelho) que combina prazo e percentual de execução do mapeamento.</t>
  </si>
  <si>
    <t xml:space="preserve">Tarefa</t>
  </si>
  <si>
    <t xml:space="preserve">Menor unidade de trabalho identificada em uma atividade. Pode ser manual, automatizada ou de regra de negócio.</t>
  </si>
  <si>
    <t xml:space="preserve">TO-BE</t>
  </si>
  <si>
    <t xml:space="preserve">Modelo do processo no estado futuro desejado, após análise e proposta de melhorias. Serve de referência para a implementação.</t>
  </si>
  <si>
    <t xml:space="preserve">AS-IS; Melhoria Contínua</t>
  </si>
  <si>
    <t xml:space="preserve">Unidade de Gestão Normativa e de Processos da Codevasf — vinculada à GPE/AE. Responsável por conduzir a metodologia de mapeamento e a governança dos processos da Empresa.</t>
  </si>
  <si>
    <t xml:space="preserve">GPE; AE</t>
  </si>
  <si>
    <t xml:space="preserve">Unidade Gestora</t>
  </si>
  <si>
    <t xml:space="preserve">Área da Codevasf responsável pelo processo, por seus resultados e pela manutenção da documentação atualizada.</t>
  </si>
  <si>
    <t xml:space="preserve">Valor Agregado</t>
  </si>
  <si>
    <t xml:space="preserve">Atributo de uma atividade que transforma a entrada de forma percebida como valiosa pelo cliente. Atividades sem valor agregado devem ser eliminadas ou reduzidas.</t>
  </si>
  <si>
    <t xml:space="preserve">Lean / CBOK</t>
  </si>
  <si>
    <t xml:space="preserve">WIP</t>
  </si>
  <si>
    <t xml:space="preserve">Work in Progress — quantidade de trabalho em andamento. Limitar o WIP reduz multitarefa e acelera entregas.</t>
  </si>
  <si>
    <t xml:space="preserve">Kanban / Lean</t>
  </si>
  <si>
    <t xml:space="preserve">Kanban; Lean</t>
  </si>
  <si>
    <t xml:space="preserve">Pergunta</t>
  </si>
  <si>
    <t xml:space="preserve">Conceitos básicos</t>
  </si>
  <si>
    <t xml:space="preserve">O que é Gestão de Processos (BPM)?</t>
  </si>
  <si>
    <t xml:space="preserve">Business Process Management é uma disciplina gerencial integrada que combina técnicas, métodos e ferramentas para identificar, modelar, executar, monitorar e melhorar continuamente os processos de negócio, alinhando-os à estratégia e à entrega de valor (CBOK 4.0).</t>
  </si>
  <si>
    <t xml:space="preserve">Qual a diferença entre Gestão DE Processos e Gestão POR Processos?</t>
  </si>
  <si>
    <t xml:space="preserve">Gestão DE processos é o trabalho de melhorar processos individualmente: mapear, analisar, redesenhar e medir cada um. Gestão POR processos é o modelo de gestão da organização orientado a processos ponta a ponta — com donos, indicadores e decisões estruturadas pelos fluxos de valor, e não pelos silos funcionais. Este painel evidencia os dois: o repositório de processos (DE) e a cadeia de valor com governança (POR).</t>
  </si>
  <si>
    <t xml:space="preserve">Qual a diferença entre macroprocesso, processo, subprocesso, atividade e tarefa?</t>
  </si>
  <si>
    <t xml:space="preserve">São os níveis da arquitetura de processos (CBOK 4.0): o macroprocesso agrupa grandes conjuntos de processos da cadeia de valor; o processo entrega um resultado a um cliente interno ou externo; o subprocesso é um recorte gerenciável do processo; a atividade é o nível operacional modelado em BPMN; e a tarefa é a menor unidade de trabalho dentro de uma atividade.</t>
  </si>
  <si>
    <t xml:space="preserve">O que é um processo finalístico, gerencial e de suporte?</t>
  </si>
  <si>
    <t xml:space="preserve">Finalísticos (ou primários) entregam valor diretamente ao beneficiário — na Codevasf, irrigação, revitalização e desenvolvimento territorial. De suporte habilitam os demais (licitações, pessoas, TI). Gerenciais medem, controlam e direcionam a organização (estratégia, riscos e governança).</t>
  </si>
  <si>
    <t xml:space="preserve">Modelagem e SIPOC</t>
  </si>
  <si>
    <t xml:space="preserve">O que é SIPOC e como ler a ficha de um processo?</t>
  </si>
  <si>
    <t xml:space="preserve">SIPOC é a visão de alto nível do processo em cinco colunas: Fornecedores, Entradas, Processo, Saídas e Clientes. Na ficha de cada processo deste painel, o SIPOC aparece logo após os dados gerais, seguido dos marcos M1–M9, indicadores, riscos, documentos e do diário de mapeamento.</t>
  </si>
  <si>
    <t xml:space="preserve">O que é AS-IS e TO-BE?</t>
  </si>
  <si>
    <t xml:space="preserve">AS-IS é o retrato do processo como ele é executado hoje, usado para diagnóstico. TO-BE é o desenho do processo futuro, após a análise de melhorias. Os dois modelos são validados formalmente com o dono do processo antes da publicação (marcos M5 e M8).</t>
  </si>
  <si>
    <t xml:space="preserve">Que notação a Codevasf usa para modelar processos?</t>
  </si>
  <si>
    <t xml:space="preserve">BPMN 2.0, modelada preferencialmente no Bizagi Modeler, conforme o Guia de Gerenciamento de Processos (RES 031/2025). Os diagramas publicados aparecem na ficha de cada macroprocesso, processo e subprocesso.</t>
  </si>
  <si>
    <t xml:space="preserve">Como propor uma mudança em um processo já mapeado?</t>
  </si>
  <si>
    <t xml:space="preserve">Use o botão flutuante “Sugerir melhoria de processo” (que abre um e-mail para a UNP) ou procure o dono do processo indicado na ficha. Propostas aceitas abrem um novo ciclo de análise e redesenho, registrado no diário de mapeamento.</t>
  </si>
  <si>
    <t xml:space="preserve">Cadeia de Valor e governança</t>
  </si>
  <si>
    <t xml:space="preserve">O que é a Cadeia de Valor Integrada da Codevasf?</t>
  </si>
  <si>
    <t xml:space="preserve">É a representação dos macroprocessos da Companhia organizados por contribuição ao valor público: gerenciais no direcionamento, finalísticos na entrega à sociedade e de suporte na sustentação — emoldurados pela missão, visão, propósito e valores. Ela é a porta de entrada de navegação deste painel.</t>
  </si>
  <si>
    <t xml:space="preserve">Quem é o dono do processo?</t>
  </si>
  <si>
    <t xml:space="preserve">É a pessoa formalmente responsável pelo desempenho, pela integridade e pela melhoria contínua do processo de ponta a ponta, independentemente da hierarquia (CBOK 4.0). O dono está identificado na ficha de cada processo.</t>
  </si>
  <si>
    <t xml:space="preserve">Qual o papel da UNP, da GPE e da AE?</t>
  </si>
  <si>
    <t xml:space="preserve">A UNP é o escritório de processos: conduz a metodologia, mantém o repositório e apoia as áreas. Ela integra a GPE (Gerência de Planejamento Estratégico), que por sua vez se vincula à AE (Área de Estratégia e Finanças), instância superior de governança.</t>
  </si>
  <si>
    <t xml:space="preserve">Quem aprova as mudanças nos processos?</t>
  </si>
  <si>
    <t xml:space="preserve">O dono do processo valida os modelos (AS-IS e TO-BE) e as instâncias de governança definidas na RES 031/2025 aprovam a publicação, com apoio metodológico da UNP. Mudanças que alteram normativos seguem também o fluxo do Sistema Normativo.</t>
  </si>
  <si>
    <t xml:space="preserve">Indicadores, metas e riscos</t>
  </si>
  <si>
    <t xml:space="preserve">O que é um KPI?</t>
  </si>
  <si>
    <t xml:space="preserve">Key Performance Indicator: um indicador-chave de desempenho, com fórmula, fonte, meta, periodicidade e responsável definidos. A aba Indicadores lista os KPIs por nível (macroprocesso, processo, subprocesso) com a situação calculada em relação à meta.</t>
  </si>
  <si>
    <t xml:space="preserve">Qual a diferença entre eficiência, eficácia e efetividade?</t>
  </si>
  <si>
    <t xml:space="preserve">Eficiência é fazer certo as coisas (relação produto/recursos); eficácia é fazer as coisas certas (alcançar o resultado pretendido); efetividade é o impacto real e duradouro no público-alvo — a combinação das duas com sustentabilidade.</t>
  </si>
  <si>
    <t xml:space="preserve">Como os riscos são classificados?</t>
  </si>
  <si>
    <t xml:space="preserve">Pela matriz 5×5 de probabilidade × impacto: o produto P×I gera o nível — Baixo (até 4), Moderado (5 a 11), Alto (12 a 19) e Extremo (20 a 25). A aba Riscos mostra a matriz com os riscos posicionados e a tabela com resposta, controles e status.</t>
  </si>
  <si>
    <t xml:space="preserve">Onde vejo os riscos do projeto de mapeamento?</t>
  </si>
  <si>
    <t xml:space="preserve">Na aba Riscos (visão geral, com matriz e tabela) e na ficha de cada item da hierarquia, que lista os riscos vinculados àquele macroprocesso, processo, subprocesso ou atividade.</t>
  </si>
  <si>
    <t xml:space="preserve">O que é o Plano de Ações AE/GPE 2026?</t>
  </si>
  <si>
    <t xml:space="preserve">É o plano conduzido pela AE/GPE/UNP para estruturar o escritório de processos, mapear os processos prioritários e implantar a governança de processos na Codevasf. Os projetos de mapeamento deste painel derivam dele. (Nesta demonstração, os dados são fictícios.)</t>
  </si>
  <si>
    <t xml:space="preserve">Quem é a responsável geral pelo plano?</t>
  </si>
  <si>
    <t xml:space="preserve">A coordenação do NUGEP — Núcleo de Gestão Normativa e de Processos (ver aba NUGEP), em articulação com a GPE e a AE.</t>
  </si>
  <si>
    <t xml:space="preserve">Como o avanço das ações é medido?</t>
  </si>
  <si>
    <t xml:space="preserve">Pelos marcos M1–M9 de cada mapeamento, pelo percentual de execução, pelos indicadores da aba Indicadores e pelos registros rastreáveis do diário de mapeamento.</t>
  </si>
  <si>
    <t xml:space="preserve">O painel usa PMBOK ou CBOK?</t>
  </si>
  <si>
    <t xml:space="preserve">Os dois, com papéis distintos: o CBOK 4.0 orienta o conteúdo de processos (hierarquia, SIPOC, ciclo de vida BPM, indicadores); o PMBOK orienta a gestão de cada mapeamento como projeto (termo de abertura, escopo, marcos, riscos e lições aprendidas).</t>
  </si>
  <si>
    <t xml:space="preserve">Como usar o painel</t>
  </si>
  <si>
    <t xml:space="preserve">Como pesquiso um processo?</t>
  </si>
  <si>
    <t xml:space="preserve">Use a busca no topo da página (digite e pressione Enter) para pesquisar em processos, documentos, glossário e registros — ou navegue pela aba Processos, filtrando por macroprocesso, status e texto.</t>
  </si>
  <si>
    <t xml:space="preserve">Como sugerir uma melhoria ou reportar um erro?</t>
  </si>
  <si>
    <t xml:space="preserve">Pelo botão flutuante “Sugerir melhoria de processo”, que abre um e-mail para a UNP (ae.gpe.unp@codevasf.gov.br). Indique o código do processo para agilizar a análise.</t>
  </si>
  <si>
    <t xml:space="preserve">Como o painel é alimentado?</t>
  </si>
  <si>
    <t xml:space="preserve">Por uma planilha única (Google Sheets ou o arquivo data/painel-processos-dados.xlsx do repositório): cadeia de valor, fichas, documentos, riscos, indicadores, diário, jornada, repositório, NUGEP, glossário e FAQ vêm todos de lá. Os detalhes estão na aba LEIA-ME da planilha e no README.</t>
  </si>
  <si>
    <t xml:space="preserve">Onde encontro os modelos, a metodologia e o guia oficiais?</t>
  </si>
  <si>
    <t xml:space="preserve">Na aba Repositório: a jornada de mapeamento, a Metodologia e o Guia de Gerenciamento de Processos (RES 031/2025, na intranet/SEI), os instrumentos por fase do ciclo BPM, os templates e as ferramentas de modelagem.</t>
  </si>
  <si>
    <t xml:space="preserve">Chave</t>
  </si>
  <si>
    <t xml:space="preserve">Valor</t>
  </si>
  <si>
    <t xml:space="preserve">Contato_Unidade</t>
  </si>
  <si>
    <t xml:space="preserve">Unidade de Gestão Normativa e de Processos (AE/GPE/UNP)</t>
  </si>
  <si>
    <t xml:space="preserve">Contato_Email</t>
  </si>
  <si>
    <t xml:space="preserve">ae.gpe.unp@codevasf.gov.br</t>
  </si>
  <si>
    <t xml:space="preserve">Contato_Telefone</t>
  </si>
  <si>
    <t xml:space="preserve">Link_Metodologia</t>
  </si>
  <si>
    <t xml:space="preserve">Link_Guia</t>
  </si>
  <si>
    <t xml:space="preserve">Categoria_Macroprocesso</t>
  </si>
  <si>
    <t xml:space="preserve">Sim_Nao</t>
  </si>
  <si>
    <t xml:space="preserve">Nivel_Vinculo</t>
  </si>
  <si>
    <t xml:space="preserve">Situacao_Documento</t>
  </si>
  <si>
    <t xml:space="preserve">Categoria_Risco</t>
  </si>
  <si>
    <t xml:space="preserve">Resposta_Risco</t>
  </si>
  <si>
    <t xml:space="preserve">Status_Risco</t>
  </si>
  <si>
    <t xml:space="preserve">Tipo_Registro</t>
  </si>
  <si>
    <t xml:space="preserve">Fase_Jornada</t>
  </si>
  <si>
    <t xml:space="preserve">Categoria_Repositorio</t>
  </si>
  <si>
    <t xml:space="preserve">Fase_Instrumento</t>
  </si>
  <si>
    <t xml:space="preserve">Categoria_Glossario</t>
  </si>
  <si>
    <t xml:space="preserve">Categoria_FAQ</t>
  </si>
  <si>
    <t xml:space="preserve">Aceitar</t>
  </si>
  <si>
    <t xml:space="preserve">Bimestral</t>
  </si>
  <si>
    <t xml:space="preserve">3. Desenvolver iniciativas</t>
  </si>
  <si>
    <t xml:space="preserve">Transferir</t>
  </si>
  <si>
    <t xml:space="preserve">Suspenso</t>
  </si>
  <si>
    <t xml:space="preserve">4. Implementar mudanças</t>
  </si>
  <si>
    <t xml:space="preserve">Revogado</t>
  </si>
  <si>
    <t xml:space="preserve">Evitar</t>
  </si>
  <si>
    <t xml:space="preserve">Semestral</t>
  </si>
  <si>
    <t xml:space="preserve">Financeiro/Orçamentário</t>
  </si>
  <si>
    <t xml:space="preserve">Imagem/Reputação</t>
  </si>
  <si>
    <t xml:space="preserve">Nota</t>
  </si>
  <si>
    <t xml:space="preserve">Outro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</si>
</sst>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%"/>
    <numFmt numFmtId="167" formatCode="dd/mm/yyyy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C326F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color rgb="FFC0392B"/>
      <name val="Arial"/>
      <family val="0"/>
      <charset val="1"/>
    </font>
    <font>
      <b val="true"/>
      <sz val="14"/>
      <color rgb="FF0C326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0F0F0"/>
        <bgColor rgb="FFFFFFFF"/>
      </patternFill>
    </fill>
    <fill>
      <patternFill patternType="solid">
        <fgColor rgb="FF1351B4"/>
        <bgColor rgb="FF3333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1351B4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0F0F0"/>
      <rgbColor rgb="FFCCFFFF"/>
      <rgbColor rgb="FF660066"/>
      <rgbColor rgb="FFFF8080"/>
      <rgbColor rgb="FF1351B4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C326F"/>
      <rgbColor rgb="FF339966"/>
      <rgbColor rgb="FF003300"/>
      <rgbColor rgb="FF333300"/>
      <rgbColor rgb="FFC0392B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5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100"/>
    <col collapsed="false" customWidth="true" hidden="false" outlineLevel="0" max="4" min="4" style="0" width="16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 t="s">
        <v>2</v>
      </c>
    </row>
    <row r="6" customFormat="false" ht="17.35" hidden="false" customHeight="false" outlineLevel="0" collapsed="false">
      <c r="B6" s="4" t="s">
        <v>3</v>
      </c>
    </row>
    <row r="7" customFormat="false" ht="23.85" hidden="false" customHeight="false" outlineLevel="0" collapsed="false">
      <c r="B7" s="5" t="s">
        <v>4</v>
      </c>
      <c r="C7" s="6" t="s">
        <v>5</v>
      </c>
    </row>
    <row r="8" customFormat="false" ht="23.85" hidden="false" customHeight="false" outlineLevel="0" collapsed="false">
      <c r="B8" s="5" t="s">
        <v>6</v>
      </c>
      <c r="C8" s="6" t="s">
        <v>7</v>
      </c>
    </row>
    <row r="9" customFormat="false" ht="35.05" hidden="false" customHeight="false" outlineLevel="0" collapsed="false">
      <c r="B9" s="5" t="s">
        <v>8</v>
      </c>
      <c r="C9" s="6" t="s">
        <v>9</v>
      </c>
    </row>
    <row r="11" customFormat="false" ht="17.35" hidden="false" customHeight="false" outlineLevel="0" collapsed="false">
      <c r="B11" s="4" t="s">
        <v>10</v>
      </c>
    </row>
    <row r="12" customFormat="false" ht="15" hidden="false" customHeight="false" outlineLevel="0" collapsed="false">
      <c r="B12" s="5" t="s">
        <v>11</v>
      </c>
      <c r="C12" s="6" t="s">
        <v>12</v>
      </c>
    </row>
    <row r="13" customFormat="false" ht="15" hidden="false" customHeight="false" outlineLevel="0" collapsed="false">
      <c r="B13" s="5" t="s">
        <v>13</v>
      </c>
      <c r="C13" s="6" t="s">
        <v>14</v>
      </c>
    </row>
    <row r="14" customFormat="false" ht="15" hidden="false" customHeight="false" outlineLevel="0" collapsed="false">
      <c r="B14" s="5" t="s">
        <v>15</v>
      </c>
      <c r="C14" s="6" t="s">
        <v>16</v>
      </c>
    </row>
    <row r="15" customFormat="false" ht="15" hidden="false" customHeight="false" outlineLevel="0" collapsed="false">
      <c r="B15" s="5" t="s">
        <v>17</v>
      </c>
      <c r="C15" s="6" t="s">
        <v>18</v>
      </c>
    </row>
    <row r="16" customFormat="false" ht="35.05" hidden="false" customHeight="false" outlineLevel="0" collapsed="false">
      <c r="B16" s="5" t="s">
        <v>19</v>
      </c>
      <c r="C16" s="6" t="s">
        <v>20</v>
      </c>
    </row>
    <row r="17" customFormat="false" ht="23.85" hidden="false" customHeight="false" outlineLevel="0" collapsed="false">
      <c r="B17" s="5" t="s">
        <v>21</v>
      </c>
      <c r="C17" s="6" t="s">
        <v>22</v>
      </c>
    </row>
    <row r="18" customFormat="false" ht="15" hidden="false" customHeight="false" outlineLevel="0" collapsed="false">
      <c r="B18" s="5" t="s">
        <v>23</v>
      </c>
      <c r="C18" s="6" t="s">
        <v>24</v>
      </c>
    </row>
    <row r="20" customFormat="false" ht="17.35" hidden="false" customHeight="false" outlineLevel="0" collapsed="false">
      <c r="B20" s="4" t="s">
        <v>25</v>
      </c>
    </row>
    <row r="21" customFormat="false" ht="15" hidden="false" customHeight="false" outlineLevel="0" collapsed="false">
      <c r="B21" s="5" t="s">
        <v>26</v>
      </c>
      <c r="C21" s="6" t="s">
        <v>27</v>
      </c>
    </row>
    <row r="22" customFormat="false" ht="23.85" hidden="false" customHeight="false" outlineLevel="0" collapsed="false">
      <c r="B22" s="5" t="s">
        <v>28</v>
      </c>
      <c r="C22" s="6" t="s">
        <v>29</v>
      </c>
    </row>
    <row r="23" customFormat="false" ht="15" hidden="false" customHeight="false" outlineLevel="0" collapsed="false">
      <c r="B23" s="5" t="s">
        <v>30</v>
      </c>
      <c r="C23" s="6" t="s">
        <v>31</v>
      </c>
    </row>
    <row r="24" customFormat="false" ht="15" hidden="false" customHeight="false" outlineLevel="0" collapsed="false">
      <c r="B24" s="5" t="s">
        <v>32</v>
      </c>
      <c r="C24" s="6" t="s">
        <v>33</v>
      </c>
    </row>
    <row r="25" customFormat="false" ht="15" hidden="false" customHeight="false" outlineLevel="0" collapsed="false">
      <c r="B25" s="5" t="s">
        <v>34</v>
      </c>
      <c r="C25" s="6" t="s">
        <v>35</v>
      </c>
    </row>
    <row r="26" customFormat="false" ht="15" hidden="false" customHeight="false" outlineLevel="0" collapsed="false">
      <c r="B26" s="5" t="s">
        <v>36</v>
      </c>
      <c r="C26" s="6" t="s">
        <v>37</v>
      </c>
    </row>
    <row r="27" customFormat="false" ht="15" hidden="false" customHeight="false" outlineLevel="0" collapsed="false">
      <c r="B27" s="5" t="s">
        <v>38</v>
      </c>
      <c r="C27" s="6" t="s">
        <v>39</v>
      </c>
    </row>
    <row r="28" customFormat="false" ht="23.85" hidden="false" customHeight="false" outlineLevel="0" collapsed="false">
      <c r="B28" s="5" t="s">
        <v>40</v>
      </c>
      <c r="C28" s="6" t="s">
        <v>41</v>
      </c>
    </row>
    <row r="29" customFormat="false" ht="15" hidden="false" customHeight="false" outlineLevel="0" collapsed="false">
      <c r="B29" s="5" t="s">
        <v>42</v>
      </c>
      <c r="C29" s="6" t="s">
        <v>43</v>
      </c>
    </row>
    <row r="30" customFormat="false" ht="23.85" hidden="false" customHeight="false" outlineLevel="0" collapsed="false">
      <c r="B30" s="5" t="s">
        <v>44</v>
      </c>
      <c r="C30" s="6" t="s">
        <v>45</v>
      </c>
    </row>
    <row r="31" customFormat="false" ht="15" hidden="false" customHeight="false" outlineLevel="0" collapsed="false">
      <c r="B31" s="5" t="s">
        <v>46</v>
      </c>
      <c r="C31" s="6" t="s">
        <v>47</v>
      </c>
    </row>
    <row r="32" customFormat="false" ht="15" hidden="false" customHeight="false" outlineLevel="0" collapsed="false">
      <c r="B32" s="5" t="s">
        <v>48</v>
      </c>
      <c r="C32" s="6" t="s">
        <v>49</v>
      </c>
    </row>
    <row r="33" customFormat="false" ht="15" hidden="false" customHeight="false" outlineLevel="0" collapsed="false">
      <c r="B33" s="5" t="s">
        <v>50</v>
      </c>
      <c r="C33" s="6" t="s">
        <v>51</v>
      </c>
    </row>
    <row r="34" customFormat="false" ht="15" hidden="false" customHeight="false" outlineLevel="0" collapsed="false">
      <c r="B34" s="5" t="s">
        <v>52</v>
      </c>
      <c r="C34" s="6" t="s">
        <v>53</v>
      </c>
    </row>
    <row r="35" customFormat="false" ht="15" hidden="false" customHeight="false" outlineLevel="0" collapsed="false">
      <c r="B35" s="5" t="s">
        <v>54</v>
      </c>
      <c r="C35" s="6" t="s">
        <v>55</v>
      </c>
    </row>
    <row r="37" customFormat="false" ht="17.35" hidden="false" customHeight="false" outlineLevel="0" collapsed="false">
      <c r="B37" s="4" t="s">
        <v>56</v>
      </c>
    </row>
    <row r="38" customFormat="false" ht="15" hidden="false" customHeight="false" outlineLevel="0" collapsed="false">
      <c r="B38" s="7" t="s">
        <v>26</v>
      </c>
      <c r="C38" s="8" t="n">
        <f aca="false">COUNTA(Macroprocessos!$A$2:$A$500)</f>
        <v>8</v>
      </c>
    </row>
    <row r="39" customFormat="false" ht="15" hidden="false" customHeight="false" outlineLevel="0" collapsed="false">
      <c r="B39" s="7" t="s">
        <v>28</v>
      </c>
      <c r="C39" s="8" t="n">
        <f aca="false">COUNTA(Processos!$A$2:$A$500)</f>
        <v>7</v>
      </c>
    </row>
    <row r="40" customFormat="false" ht="15" hidden="false" customHeight="false" outlineLevel="0" collapsed="false">
      <c r="B40" s="7" t="s">
        <v>30</v>
      </c>
      <c r="C40" s="8" t="n">
        <f aca="false">COUNTA(Subprocessos!$A$2:$A$500)</f>
        <v>5</v>
      </c>
    </row>
    <row r="41" customFormat="false" ht="15" hidden="false" customHeight="false" outlineLevel="0" collapsed="false">
      <c r="B41" s="7" t="s">
        <v>32</v>
      </c>
      <c r="C41" s="8" t="n">
        <f aca="false">COUNTA(Atividades!$A$2:$A$500)</f>
        <v>12</v>
      </c>
    </row>
    <row r="42" customFormat="false" ht="15" hidden="false" customHeight="false" outlineLevel="0" collapsed="false">
      <c r="B42" s="7" t="s">
        <v>34</v>
      </c>
      <c r="C42" s="8" t="n">
        <f aca="false">COUNTA(Documentos!$A$2:$A$500)</f>
        <v>14</v>
      </c>
    </row>
    <row r="43" customFormat="false" ht="15" hidden="false" customHeight="false" outlineLevel="0" collapsed="false">
      <c r="B43" s="7" t="s">
        <v>36</v>
      </c>
      <c r="C43" s="8" t="n">
        <f aca="false">COUNTA(Riscos!$A$2:$A$500)</f>
        <v>9</v>
      </c>
    </row>
    <row r="44" customFormat="false" ht="15" hidden="false" customHeight="false" outlineLevel="0" collapsed="false">
      <c r="B44" s="7" t="s">
        <v>38</v>
      </c>
      <c r="C44" s="8" t="n">
        <f aca="false">COUNTA(Indicadores!$A$2:$A$500)</f>
        <v>9</v>
      </c>
    </row>
    <row r="45" customFormat="false" ht="15" hidden="false" customHeight="false" outlineLevel="0" collapsed="false">
      <c r="B45" s="7" t="s">
        <v>57</v>
      </c>
      <c r="C45" s="8" t="n">
        <f aca="false">COUNTA(Diario_Mapeamento!$A$2:$A$500)</f>
        <v>13</v>
      </c>
    </row>
    <row r="46" customFormat="false" ht="15" hidden="false" customHeight="false" outlineLevel="0" collapsed="false">
      <c r="B46" s="7" t="s">
        <v>58</v>
      </c>
      <c r="C46" s="8" t="n">
        <f aca="false">COUNTA(Jornada!$A$2:$A$500)</f>
        <v>8</v>
      </c>
    </row>
    <row r="47" customFormat="false" ht="15" hidden="false" customHeight="false" outlineLevel="0" collapsed="false">
      <c r="B47" s="7" t="s">
        <v>59</v>
      </c>
      <c r="C47" s="8" t="n">
        <f aca="false">COUNTA(Repositorio!$A$2:$A$500)</f>
        <v>24</v>
      </c>
    </row>
    <row r="48" customFormat="false" ht="15" hidden="false" customHeight="false" outlineLevel="0" collapsed="false">
      <c r="B48" s="7" t="s">
        <v>60</v>
      </c>
      <c r="C48" s="8" t="n">
        <f aca="false">COUNTA(NUGEP!$A$2:$A$500)</f>
        <v>6</v>
      </c>
    </row>
    <row r="49" customFormat="false" ht="15" hidden="false" customHeight="false" outlineLevel="0" collapsed="false">
      <c r="B49" s="7" t="s">
        <v>61</v>
      </c>
      <c r="C49" s="8" t="n">
        <f aca="false">COUNTA(Glossario!$A$2:$A$500)</f>
        <v>98</v>
      </c>
    </row>
    <row r="50" customFormat="false" ht="15" hidden="false" customHeight="false" outlineLevel="0" collapsed="false">
      <c r="B50" s="7" t="s">
        <v>62</v>
      </c>
      <c r="C50" s="8" t="n">
        <f aca="false">COUNTA(FAQ!$A$2:$A$500)</f>
        <v>24</v>
      </c>
    </row>
    <row r="52" customFormat="false" ht="17.35" hidden="false" customHeight="false" outlineLevel="0" collapsed="false">
      <c r="B52" s="4" t="s">
        <v>63</v>
      </c>
    </row>
    <row r="53" customFormat="false" ht="23.85" hidden="false" customHeight="false" outlineLevel="0" collapsed="false">
      <c r="B53" s="5" t="s">
        <v>64</v>
      </c>
      <c r="C53" s="6" t="s">
        <v>65</v>
      </c>
    </row>
    <row r="54" customFormat="false" ht="23.85" hidden="false" customHeight="false" outlineLevel="0" collapsed="false">
      <c r="B54" s="5" t="s">
        <v>66</v>
      </c>
      <c r="C54" s="6" t="s">
        <v>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4"/>
    <col collapsed="false" customWidth="true" hidden="false" outlineLevel="0" max="3" min="3" style="0" width="12"/>
    <col collapsed="false" customWidth="true" hidden="false" outlineLevel="0" max="4" min="4" style="0" width="7"/>
    <col collapsed="false" customWidth="true" hidden="false" outlineLevel="0" max="6" min="5" style="0" width="46"/>
    <col collapsed="false" customWidth="true" hidden="false" outlineLevel="0" max="7" min="7" style="0" width="16"/>
    <col collapsed="false" customWidth="true" hidden="false" outlineLevel="0" max="8" min="8" style="0" width="26"/>
    <col collapsed="false" customWidth="true" hidden="false" outlineLevel="0" max="9" min="9" style="0" width="40"/>
    <col collapsed="false" customWidth="true" hidden="false" outlineLevel="0" max="11" min="10" style="0" width="34"/>
    <col collapsed="false" customWidth="true" hidden="false" outlineLevel="0" max="12" min="12" style="0" width="30"/>
    <col collapsed="false" customWidth="true" hidden="false" outlineLevel="0" max="13" min="13" style="0" width="40"/>
    <col collapsed="false" customWidth="true" hidden="false" outlineLevel="0" max="14" min="14" style="0" width="30"/>
    <col collapsed="false" customWidth="true" hidden="false" outlineLevel="0" max="15" min="15" style="0" width="26"/>
  </cols>
  <sheetData>
    <row r="1" customFormat="false" ht="30" hidden="false" customHeight="true" outlineLevel="0" collapsed="false">
      <c r="A1" s="9" t="s">
        <v>68</v>
      </c>
      <c r="B1" s="9" t="s">
        <v>69</v>
      </c>
      <c r="C1" s="9" t="s">
        <v>70</v>
      </c>
      <c r="D1" s="9" t="s">
        <v>71</v>
      </c>
      <c r="E1" s="9" t="s">
        <v>72</v>
      </c>
      <c r="F1" s="9" t="s">
        <v>73</v>
      </c>
      <c r="G1" s="9" t="s">
        <v>74</v>
      </c>
      <c r="H1" s="9" t="s">
        <v>75</v>
      </c>
      <c r="I1" s="9" t="s">
        <v>76</v>
      </c>
      <c r="J1" s="9" t="s">
        <v>77</v>
      </c>
      <c r="K1" s="9" t="s">
        <v>78</v>
      </c>
      <c r="L1" s="9" t="s">
        <v>79</v>
      </c>
      <c r="M1" s="9" t="s">
        <v>80</v>
      </c>
      <c r="N1" s="9" t="s">
        <v>81</v>
      </c>
      <c r="O1" s="9" t="s">
        <v>82</v>
      </c>
    </row>
    <row r="2" customFormat="false" ht="35.05" hidden="false" customHeight="false" outlineLevel="0" collapsed="false">
      <c r="A2" s="10" t="s">
        <v>83</v>
      </c>
      <c r="B2" s="10" t="s">
        <v>84</v>
      </c>
      <c r="C2" s="11" t="s">
        <v>85</v>
      </c>
      <c r="D2" s="11" t="n">
        <v>1</v>
      </c>
      <c r="E2" s="12" t="s">
        <v>86</v>
      </c>
      <c r="F2" s="12" t="s">
        <v>87</v>
      </c>
      <c r="G2" s="10" t="s">
        <v>88</v>
      </c>
      <c r="H2" s="10" t="s">
        <v>89</v>
      </c>
      <c r="I2" s="12" t="s">
        <v>90</v>
      </c>
      <c r="J2" s="12" t="s">
        <v>91</v>
      </c>
      <c r="K2" s="12" t="s">
        <v>92</v>
      </c>
      <c r="L2" s="12" t="s">
        <v>93</v>
      </c>
      <c r="M2" s="12" t="s">
        <v>94</v>
      </c>
      <c r="N2" s="10" t="s">
        <v>95</v>
      </c>
      <c r="O2" s="12"/>
    </row>
    <row r="3" customFormat="false" ht="23.85" hidden="false" customHeight="false" outlineLevel="0" collapsed="false">
      <c r="A3" s="10" t="s">
        <v>96</v>
      </c>
      <c r="B3" s="10" t="s">
        <v>97</v>
      </c>
      <c r="C3" s="11" t="s">
        <v>85</v>
      </c>
      <c r="D3" s="11" t="n">
        <v>2</v>
      </c>
      <c r="E3" s="12" t="s">
        <v>98</v>
      </c>
      <c r="F3" s="12" t="s">
        <v>99</v>
      </c>
      <c r="G3" s="10" t="s">
        <v>100</v>
      </c>
      <c r="H3" s="10" t="s">
        <v>101</v>
      </c>
      <c r="I3" s="12" t="s">
        <v>102</v>
      </c>
      <c r="J3" s="12" t="s">
        <v>103</v>
      </c>
      <c r="K3" s="12" t="s">
        <v>104</v>
      </c>
      <c r="L3" s="12" t="s">
        <v>105</v>
      </c>
      <c r="M3" s="12" t="s">
        <v>106</v>
      </c>
      <c r="N3" s="10" t="s">
        <v>107</v>
      </c>
      <c r="O3" s="12"/>
    </row>
    <row r="4" customFormat="false" ht="23.85" hidden="false" customHeight="false" outlineLevel="0" collapsed="false">
      <c r="A4" s="10" t="s">
        <v>108</v>
      </c>
      <c r="B4" s="10" t="s">
        <v>109</v>
      </c>
      <c r="C4" s="11" t="s">
        <v>110</v>
      </c>
      <c r="D4" s="11" t="n">
        <v>3</v>
      </c>
      <c r="E4" s="12" t="s">
        <v>111</v>
      </c>
      <c r="F4" s="12" t="s">
        <v>112</v>
      </c>
      <c r="G4" s="10" t="s">
        <v>113</v>
      </c>
      <c r="H4" s="10" t="s">
        <v>114</v>
      </c>
      <c r="I4" s="12" t="s">
        <v>115</v>
      </c>
      <c r="J4" s="12" t="s">
        <v>116</v>
      </c>
      <c r="K4" s="12" t="s">
        <v>117</v>
      </c>
      <c r="L4" s="12" t="s">
        <v>118</v>
      </c>
      <c r="M4" s="12" t="s">
        <v>119</v>
      </c>
      <c r="N4" s="10" t="s">
        <v>120</v>
      </c>
      <c r="O4" s="12"/>
    </row>
    <row r="5" customFormat="false" ht="23.85" hidden="false" customHeight="false" outlineLevel="0" collapsed="false">
      <c r="A5" s="10" t="s">
        <v>121</v>
      </c>
      <c r="B5" s="10" t="s">
        <v>122</v>
      </c>
      <c r="C5" s="11" t="s">
        <v>110</v>
      </c>
      <c r="D5" s="11" t="n">
        <v>4</v>
      </c>
      <c r="E5" s="12" t="s">
        <v>123</v>
      </c>
      <c r="F5" s="12" t="s">
        <v>124</v>
      </c>
      <c r="G5" s="10" t="s">
        <v>125</v>
      </c>
      <c r="H5" s="10" t="s">
        <v>126</v>
      </c>
      <c r="I5" s="12" t="s">
        <v>127</v>
      </c>
      <c r="J5" s="12" t="s">
        <v>128</v>
      </c>
      <c r="K5" s="12" t="s">
        <v>129</v>
      </c>
      <c r="L5" s="12" t="s">
        <v>130</v>
      </c>
      <c r="M5" s="12" t="s">
        <v>131</v>
      </c>
      <c r="N5" s="10" t="s">
        <v>132</v>
      </c>
      <c r="O5" s="12"/>
    </row>
    <row r="6" customFormat="false" ht="23.85" hidden="false" customHeight="false" outlineLevel="0" collapsed="false">
      <c r="A6" s="10" t="s">
        <v>133</v>
      </c>
      <c r="B6" s="10" t="s">
        <v>134</v>
      </c>
      <c r="C6" s="11" t="s">
        <v>110</v>
      </c>
      <c r="D6" s="11" t="n">
        <v>5</v>
      </c>
      <c r="E6" s="12" t="s">
        <v>135</v>
      </c>
      <c r="F6" s="12" t="s">
        <v>136</v>
      </c>
      <c r="G6" s="10" t="s">
        <v>137</v>
      </c>
      <c r="H6" s="10" t="s">
        <v>138</v>
      </c>
      <c r="I6" s="12" t="s">
        <v>139</v>
      </c>
      <c r="J6" s="12" t="s">
        <v>140</v>
      </c>
      <c r="K6" s="12" t="s">
        <v>141</v>
      </c>
      <c r="L6" s="12" t="s">
        <v>142</v>
      </c>
      <c r="M6" s="12" t="s">
        <v>143</v>
      </c>
      <c r="N6" s="10" t="s">
        <v>144</v>
      </c>
      <c r="O6" s="12"/>
    </row>
    <row r="7" customFormat="false" ht="35.05" hidden="false" customHeight="false" outlineLevel="0" collapsed="false">
      <c r="A7" s="10" t="s">
        <v>145</v>
      </c>
      <c r="B7" s="10" t="s">
        <v>146</v>
      </c>
      <c r="C7" s="11" t="s">
        <v>147</v>
      </c>
      <c r="D7" s="11" t="n">
        <v>6</v>
      </c>
      <c r="E7" s="12" t="s">
        <v>148</v>
      </c>
      <c r="F7" s="12" t="s">
        <v>149</v>
      </c>
      <c r="G7" s="10" t="s">
        <v>150</v>
      </c>
      <c r="H7" s="10" t="s">
        <v>151</v>
      </c>
      <c r="I7" s="12" t="s">
        <v>152</v>
      </c>
      <c r="J7" s="12" t="s">
        <v>153</v>
      </c>
      <c r="K7" s="12" t="s">
        <v>154</v>
      </c>
      <c r="L7" s="12" t="s">
        <v>155</v>
      </c>
      <c r="M7" s="12" t="s">
        <v>156</v>
      </c>
      <c r="N7" s="10" t="s">
        <v>157</v>
      </c>
      <c r="O7" s="12" t="s">
        <v>158</v>
      </c>
    </row>
    <row r="8" customFormat="false" ht="23.85" hidden="false" customHeight="false" outlineLevel="0" collapsed="false">
      <c r="A8" s="10" t="s">
        <v>159</v>
      </c>
      <c r="B8" s="10" t="s">
        <v>160</v>
      </c>
      <c r="C8" s="11" t="s">
        <v>147</v>
      </c>
      <c r="D8" s="11" t="n">
        <v>7</v>
      </c>
      <c r="E8" s="12" t="s">
        <v>161</v>
      </c>
      <c r="F8" s="12" t="s">
        <v>162</v>
      </c>
      <c r="G8" s="10" t="s">
        <v>163</v>
      </c>
      <c r="H8" s="10" t="s">
        <v>164</v>
      </c>
      <c r="I8" s="12" t="s">
        <v>165</v>
      </c>
      <c r="J8" s="12" t="s">
        <v>166</v>
      </c>
      <c r="K8" s="12" t="s">
        <v>167</v>
      </c>
      <c r="L8" s="12" t="s">
        <v>168</v>
      </c>
      <c r="M8" s="12" t="s">
        <v>169</v>
      </c>
      <c r="N8" s="10" t="s">
        <v>170</v>
      </c>
      <c r="O8" s="12"/>
    </row>
    <row r="9" customFormat="false" ht="23.85" hidden="false" customHeight="false" outlineLevel="0" collapsed="false">
      <c r="A9" s="10" t="s">
        <v>171</v>
      </c>
      <c r="B9" s="10" t="s">
        <v>172</v>
      </c>
      <c r="C9" s="11" t="s">
        <v>147</v>
      </c>
      <c r="D9" s="11" t="n">
        <v>8</v>
      </c>
      <c r="E9" s="12" t="s">
        <v>173</v>
      </c>
      <c r="F9" s="12" t="s">
        <v>174</v>
      </c>
      <c r="G9" s="10" t="s">
        <v>175</v>
      </c>
      <c r="H9" s="10" t="s">
        <v>176</v>
      </c>
      <c r="I9" s="12" t="s">
        <v>177</v>
      </c>
      <c r="J9" s="12" t="s">
        <v>178</v>
      </c>
      <c r="K9" s="12" t="s">
        <v>179</v>
      </c>
      <c r="L9" s="12" t="s">
        <v>180</v>
      </c>
      <c r="M9" s="12" t="s">
        <v>181</v>
      </c>
      <c r="N9" s="10" t="s">
        <v>182</v>
      </c>
      <c r="O9" s="12"/>
    </row>
  </sheetData>
  <autoFilter ref="A1:O1"/>
  <dataValidations count="1">
    <dataValidation allowBlank="true" errorStyle="stop" operator="between" showDropDown="false" showErrorMessage="false" showInputMessage="false" sqref="C2:C300" type="list">
      <formula1>Listas!$A$2:$A$4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34"/>
    <col collapsed="false" customWidth="true" hidden="false" outlineLevel="0" max="4" min="4" style="0" width="44"/>
    <col collapsed="false" customWidth="true" hidden="false" outlineLevel="0" max="5" min="5" style="0" width="40"/>
    <col collapsed="false" customWidth="true" hidden="false" outlineLevel="0" max="6" min="6" style="0" width="16"/>
    <col collapsed="false" customWidth="true" hidden="false" outlineLevel="0" max="8" min="7" style="0" width="24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14"/>
    <col collapsed="false" customWidth="true" hidden="false" outlineLevel="0" max="12" min="12" style="0" width="10"/>
    <col collapsed="false" customWidth="true" hidden="false" outlineLevel="0" max="13" min="13" style="0" width="30"/>
    <col collapsed="false" customWidth="true" hidden="false" outlineLevel="0" max="16" min="14" style="0" width="13"/>
    <col collapsed="false" customWidth="true" hidden="false" outlineLevel="0" max="17" min="17" style="0" width="30"/>
    <col collapsed="false" customWidth="true" hidden="false" outlineLevel="0" max="19" min="18" style="0" width="34"/>
    <col collapsed="false" customWidth="true" hidden="false" outlineLevel="0" max="21" min="20" style="0" width="28"/>
    <col collapsed="false" customWidth="true" hidden="false" outlineLevel="0" max="22" min="22" style="0" width="40"/>
    <col collapsed="false" customWidth="true" hidden="false" outlineLevel="0" max="23" min="23" style="0" width="20"/>
    <col collapsed="false" customWidth="true" hidden="false" outlineLevel="0" max="24" min="24" style="0" width="30"/>
    <col collapsed="false" customWidth="true" hidden="false" outlineLevel="0" max="33" min="25" style="0" width="9"/>
    <col collapsed="false" customWidth="true" hidden="false" outlineLevel="0" max="34" min="34" style="0" width="34"/>
    <col collapsed="false" customWidth="true" hidden="false" outlineLevel="0" max="35" min="35" style="0" width="28"/>
    <col collapsed="false" customWidth="true" hidden="false" outlineLevel="0" max="36" min="36" style="0" width="13"/>
  </cols>
  <sheetData>
    <row r="1" customFormat="false" ht="30" hidden="false" customHeight="true" outlineLevel="0" collapsed="false">
      <c r="A1" s="9" t="s">
        <v>68</v>
      </c>
      <c r="B1" s="9" t="s">
        <v>183</v>
      </c>
      <c r="C1" s="9" t="s">
        <v>69</v>
      </c>
      <c r="D1" s="9" t="s">
        <v>72</v>
      </c>
      <c r="E1" s="9" t="s">
        <v>73</v>
      </c>
      <c r="F1" s="9" t="s">
        <v>184</v>
      </c>
      <c r="G1" s="9" t="s">
        <v>75</v>
      </c>
      <c r="H1" s="9" t="s">
        <v>185</v>
      </c>
      <c r="I1" s="9" t="s">
        <v>186</v>
      </c>
      <c r="J1" s="9" t="s">
        <v>187</v>
      </c>
      <c r="K1" s="9" t="s">
        <v>188</v>
      </c>
      <c r="L1" s="9" t="s">
        <v>15</v>
      </c>
      <c r="M1" s="9" t="s">
        <v>189</v>
      </c>
      <c r="N1" s="9" t="s">
        <v>190</v>
      </c>
      <c r="O1" s="9" t="s">
        <v>191</v>
      </c>
      <c r="P1" s="9" t="s">
        <v>192</v>
      </c>
      <c r="Q1" s="9" t="s">
        <v>193</v>
      </c>
      <c r="R1" s="9" t="s">
        <v>194</v>
      </c>
      <c r="S1" s="9" t="s">
        <v>195</v>
      </c>
      <c r="T1" s="9" t="s">
        <v>196</v>
      </c>
      <c r="U1" s="9" t="s">
        <v>79</v>
      </c>
      <c r="V1" s="9" t="s">
        <v>197</v>
      </c>
      <c r="W1" s="9" t="s">
        <v>198</v>
      </c>
      <c r="X1" s="9" t="s">
        <v>81</v>
      </c>
      <c r="Y1" s="9" t="s">
        <v>199</v>
      </c>
      <c r="Z1" s="9" t="s">
        <v>200</v>
      </c>
      <c r="AA1" s="9" t="s">
        <v>201</v>
      </c>
      <c r="AB1" s="9" t="s">
        <v>202</v>
      </c>
      <c r="AC1" s="9" t="s">
        <v>203</v>
      </c>
      <c r="AD1" s="9" t="s">
        <v>204</v>
      </c>
      <c r="AE1" s="9" t="s">
        <v>205</v>
      </c>
      <c r="AF1" s="9" t="s">
        <v>206</v>
      </c>
      <c r="AG1" s="9" t="s">
        <v>207</v>
      </c>
      <c r="AH1" s="9" t="s">
        <v>208</v>
      </c>
      <c r="AI1" s="9" t="s">
        <v>209</v>
      </c>
      <c r="AJ1" s="9" t="s">
        <v>210</v>
      </c>
    </row>
    <row r="2" customFormat="false" ht="35.05" hidden="false" customHeight="false" outlineLevel="0" collapsed="false">
      <c r="A2" s="10" t="s">
        <v>211</v>
      </c>
      <c r="B2" s="10" t="s">
        <v>145</v>
      </c>
      <c r="C2" s="10" t="s">
        <v>212</v>
      </c>
      <c r="D2" s="12" t="s">
        <v>213</v>
      </c>
      <c r="E2" s="12" t="s">
        <v>214</v>
      </c>
      <c r="F2" s="10" t="s">
        <v>150</v>
      </c>
      <c r="G2" s="10" t="s">
        <v>215</v>
      </c>
      <c r="H2" s="10" t="s">
        <v>216</v>
      </c>
      <c r="I2" s="11" t="s">
        <v>217</v>
      </c>
      <c r="J2" s="11" t="s">
        <v>217</v>
      </c>
      <c r="K2" s="11" t="s">
        <v>218</v>
      </c>
      <c r="L2" s="13" t="n">
        <v>1</v>
      </c>
      <c r="M2" s="10" t="s">
        <v>219</v>
      </c>
      <c r="N2" s="14" t="n">
        <v>46027</v>
      </c>
      <c r="O2" s="14" t="n">
        <v>46171</v>
      </c>
      <c r="P2" s="14" t="n">
        <v>46160</v>
      </c>
      <c r="Q2" s="12" t="s">
        <v>220</v>
      </c>
      <c r="R2" s="12" t="s">
        <v>221</v>
      </c>
      <c r="S2" s="12" t="s">
        <v>222</v>
      </c>
      <c r="T2" s="12" t="s">
        <v>223</v>
      </c>
      <c r="U2" s="12" t="s">
        <v>224</v>
      </c>
      <c r="V2" s="12" t="s">
        <v>225</v>
      </c>
      <c r="W2" s="10" t="s">
        <v>226</v>
      </c>
      <c r="X2" s="10" t="s">
        <v>227</v>
      </c>
      <c r="Y2" s="11" t="s">
        <v>228</v>
      </c>
      <c r="Z2" s="11" t="s">
        <v>228</v>
      </c>
      <c r="AA2" s="11" t="s">
        <v>228</v>
      </c>
      <c r="AB2" s="11" t="s">
        <v>228</v>
      </c>
      <c r="AC2" s="11" t="s">
        <v>228</v>
      </c>
      <c r="AD2" s="11" t="s">
        <v>228</v>
      </c>
      <c r="AE2" s="11" t="s">
        <v>228</v>
      </c>
      <c r="AF2" s="11" t="s">
        <v>228</v>
      </c>
      <c r="AG2" s="11" t="s">
        <v>228</v>
      </c>
      <c r="AH2" s="12" t="s">
        <v>229</v>
      </c>
      <c r="AI2" s="12"/>
      <c r="AJ2" s="14" t="n">
        <v>46213</v>
      </c>
    </row>
    <row r="3" customFormat="false" ht="23.85" hidden="false" customHeight="false" outlineLevel="0" collapsed="false">
      <c r="A3" s="10" t="s">
        <v>230</v>
      </c>
      <c r="B3" s="10" t="s">
        <v>145</v>
      </c>
      <c r="C3" s="10" t="s">
        <v>231</v>
      </c>
      <c r="D3" s="12" t="s">
        <v>232</v>
      </c>
      <c r="E3" s="12" t="s">
        <v>233</v>
      </c>
      <c r="F3" s="10" t="s">
        <v>150</v>
      </c>
      <c r="G3" s="10" t="s">
        <v>215</v>
      </c>
      <c r="H3" s="10" t="s">
        <v>216</v>
      </c>
      <c r="I3" s="11" t="s">
        <v>217</v>
      </c>
      <c r="J3" s="11" t="s">
        <v>234</v>
      </c>
      <c r="K3" s="11" t="s">
        <v>235</v>
      </c>
      <c r="L3" s="13" t="n">
        <v>0.6</v>
      </c>
      <c r="M3" s="10" t="s">
        <v>236</v>
      </c>
      <c r="N3" s="14" t="n">
        <v>46174</v>
      </c>
      <c r="O3" s="14" t="n">
        <v>46295</v>
      </c>
      <c r="P3" s="14"/>
      <c r="Q3" s="12" t="s">
        <v>237</v>
      </c>
      <c r="R3" s="12" t="s">
        <v>238</v>
      </c>
      <c r="S3" s="12" t="s">
        <v>239</v>
      </c>
      <c r="T3" s="12" t="s">
        <v>240</v>
      </c>
      <c r="U3" s="12" t="s">
        <v>241</v>
      </c>
      <c r="V3" s="12" t="s">
        <v>242</v>
      </c>
      <c r="W3" s="10" t="s">
        <v>243</v>
      </c>
      <c r="X3" s="10" t="s">
        <v>244</v>
      </c>
      <c r="Y3" s="11" t="s">
        <v>228</v>
      </c>
      <c r="Z3" s="11" t="s">
        <v>228</v>
      </c>
      <c r="AA3" s="11" t="s">
        <v>228</v>
      </c>
      <c r="AB3" s="11" t="s">
        <v>228</v>
      </c>
      <c r="AC3" s="11" t="s">
        <v>245</v>
      </c>
      <c r="AD3" s="11" t="s">
        <v>245</v>
      </c>
      <c r="AE3" s="11" t="s">
        <v>245</v>
      </c>
      <c r="AF3" s="11" t="s">
        <v>245</v>
      </c>
      <c r="AG3" s="11" t="s">
        <v>245</v>
      </c>
      <c r="AH3" s="12" t="s">
        <v>246</v>
      </c>
      <c r="AI3" s="12" t="s">
        <v>247</v>
      </c>
      <c r="AJ3" s="14" t="n">
        <v>46218</v>
      </c>
    </row>
    <row r="4" customFormat="false" ht="23.85" hidden="false" customHeight="false" outlineLevel="0" collapsed="false">
      <c r="A4" s="10" t="s">
        <v>248</v>
      </c>
      <c r="B4" s="10" t="s">
        <v>145</v>
      </c>
      <c r="C4" s="10" t="s">
        <v>249</v>
      </c>
      <c r="D4" s="12" t="s">
        <v>250</v>
      </c>
      <c r="E4" s="12" t="s">
        <v>251</v>
      </c>
      <c r="F4" s="10" t="s">
        <v>150</v>
      </c>
      <c r="G4" s="10" t="s">
        <v>215</v>
      </c>
      <c r="H4" s="10" t="s">
        <v>252</v>
      </c>
      <c r="I4" s="11" t="s">
        <v>217</v>
      </c>
      <c r="J4" s="11" t="s">
        <v>217</v>
      </c>
      <c r="K4" s="11" t="s">
        <v>235</v>
      </c>
      <c r="L4" s="13" t="n">
        <v>0.35</v>
      </c>
      <c r="M4" s="10" t="s">
        <v>236</v>
      </c>
      <c r="N4" s="14" t="n">
        <v>46188</v>
      </c>
      <c r="O4" s="14" t="n">
        <v>46356</v>
      </c>
      <c r="P4" s="14"/>
      <c r="Q4" s="12" t="s">
        <v>253</v>
      </c>
      <c r="R4" s="12" t="s">
        <v>254</v>
      </c>
      <c r="S4" s="12" t="s">
        <v>255</v>
      </c>
      <c r="T4" s="12" t="s">
        <v>240</v>
      </c>
      <c r="U4" s="12" t="s">
        <v>256</v>
      </c>
      <c r="V4" s="12" t="s">
        <v>257</v>
      </c>
      <c r="W4" s="10" t="s">
        <v>258</v>
      </c>
      <c r="X4" s="10" t="s">
        <v>259</v>
      </c>
      <c r="Y4" s="11" t="s">
        <v>228</v>
      </c>
      <c r="Z4" s="11" t="s">
        <v>228</v>
      </c>
      <c r="AA4" s="11" t="s">
        <v>228</v>
      </c>
      <c r="AB4" s="11" t="s">
        <v>245</v>
      </c>
      <c r="AC4" s="11" t="s">
        <v>245</v>
      </c>
      <c r="AD4" s="11" t="s">
        <v>245</v>
      </c>
      <c r="AE4" s="11" t="s">
        <v>245</v>
      </c>
      <c r="AF4" s="11" t="s">
        <v>245</v>
      </c>
      <c r="AG4" s="11" t="s">
        <v>245</v>
      </c>
      <c r="AH4" s="12" t="s">
        <v>260</v>
      </c>
      <c r="AI4" s="12"/>
      <c r="AJ4" s="14" t="n">
        <v>46223</v>
      </c>
    </row>
    <row r="5" customFormat="false" ht="35.05" hidden="false" customHeight="false" outlineLevel="0" collapsed="false">
      <c r="A5" s="10" t="s">
        <v>261</v>
      </c>
      <c r="B5" s="10" t="s">
        <v>121</v>
      </c>
      <c r="C5" s="10" t="s">
        <v>262</v>
      </c>
      <c r="D5" s="12" t="s">
        <v>263</v>
      </c>
      <c r="E5" s="12" t="s">
        <v>264</v>
      </c>
      <c r="F5" s="10" t="s">
        <v>125</v>
      </c>
      <c r="G5" s="10" t="s">
        <v>265</v>
      </c>
      <c r="H5" s="10" t="s">
        <v>266</v>
      </c>
      <c r="I5" s="11" t="s">
        <v>234</v>
      </c>
      <c r="J5" s="11" t="s">
        <v>217</v>
      </c>
      <c r="K5" s="11" t="s">
        <v>235</v>
      </c>
      <c r="L5" s="13" t="n">
        <v>0.45</v>
      </c>
      <c r="M5" s="10" t="s">
        <v>236</v>
      </c>
      <c r="N5" s="14" t="n">
        <v>46146</v>
      </c>
      <c r="O5" s="14" t="n">
        <v>46325</v>
      </c>
      <c r="P5" s="14"/>
      <c r="Q5" s="12" t="s">
        <v>267</v>
      </c>
      <c r="R5" s="12" t="s">
        <v>268</v>
      </c>
      <c r="S5" s="12" t="s">
        <v>269</v>
      </c>
      <c r="T5" s="12" t="s">
        <v>270</v>
      </c>
      <c r="U5" s="12" t="s">
        <v>130</v>
      </c>
      <c r="V5" s="12" t="s">
        <v>271</v>
      </c>
      <c r="W5" s="10" t="s">
        <v>272</v>
      </c>
      <c r="X5" s="10" t="s">
        <v>273</v>
      </c>
      <c r="Y5" s="11" t="s">
        <v>228</v>
      </c>
      <c r="Z5" s="11" t="s">
        <v>228</v>
      </c>
      <c r="AA5" s="11" t="s">
        <v>228</v>
      </c>
      <c r="AB5" s="11" t="s">
        <v>228</v>
      </c>
      <c r="AC5" s="11" t="s">
        <v>245</v>
      </c>
      <c r="AD5" s="11" t="s">
        <v>245</v>
      </c>
      <c r="AE5" s="11" t="s">
        <v>245</v>
      </c>
      <c r="AF5" s="11" t="s">
        <v>245</v>
      </c>
      <c r="AG5" s="11" t="s">
        <v>245</v>
      </c>
      <c r="AH5" s="12" t="s">
        <v>274</v>
      </c>
      <c r="AI5" s="12"/>
      <c r="AJ5" s="14" t="n">
        <v>46215</v>
      </c>
    </row>
    <row r="6" customFormat="false" ht="23.85" hidden="false" customHeight="false" outlineLevel="0" collapsed="false">
      <c r="A6" s="10" t="s">
        <v>275</v>
      </c>
      <c r="B6" s="10" t="s">
        <v>133</v>
      </c>
      <c r="C6" s="10" t="s">
        <v>276</v>
      </c>
      <c r="D6" s="12" t="s">
        <v>277</v>
      </c>
      <c r="E6" s="12" t="s">
        <v>278</v>
      </c>
      <c r="F6" s="10" t="s">
        <v>137</v>
      </c>
      <c r="G6" s="10" t="s">
        <v>279</v>
      </c>
      <c r="H6" s="10" t="s">
        <v>266</v>
      </c>
      <c r="I6" s="11" t="s">
        <v>234</v>
      </c>
      <c r="J6" s="11" t="s">
        <v>234</v>
      </c>
      <c r="K6" s="11" t="s">
        <v>280</v>
      </c>
      <c r="L6" s="13" t="n">
        <v>0</v>
      </c>
      <c r="M6" s="10" t="s">
        <v>281</v>
      </c>
      <c r="N6" s="14"/>
      <c r="O6" s="14" t="n">
        <v>46477</v>
      </c>
      <c r="P6" s="14"/>
      <c r="Q6" s="12" t="s">
        <v>282</v>
      </c>
      <c r="R6" s="12" t="s">
        <v>283</v>
      </c>
      <c r="S6" s="12" t="s">
        <v>284</v>
      </c>
      <c r="T6" s="12" t="s">
        <v>285</v>
      </c>
      <c r="U6" s="12" t="s">
        <v>142</v>
      </c>
      <c r="V6" s="12" t="s">
        <v>143</v>
      </c>
      <c r="W6" s="10"/>
      <c r="X6" s="10" t="s">
        <v>286</v>
      </c>
      <c r="Y6" s="11" t="s">
        <v>245</v>
      </c>
      <c r="Z6" s="11" t="s">
        <v>245</v>
      </c>
      <c r="AA6" s="11" t="s">
        <v>245</v>
      </c>
      <c r="AB6" s="11" t="s">
        <v>245</v>
      </c>
      <c r="AC6" s="11" t="s">
        <v>245</v>
      </c>
      <c r="AD6" s="11" t="s">
        <v>245</v>
      </c>
      <c r="AE6" s="11" t="s">
        <v>245</v>
      </c>
      <c r="AF6" s="11" t="s">
        <v>245</v>
      </c>
      <c r="AG6" s="11" t="s">
        <v>245</v>
      </c>
      <c r="AH6" s="12" t="s">
        <v>287</v>
      </c>
      <c r="AI6" s="12"/>
      <c r="AJ6" s="14" t="n">
        <v>46204</v>
      </c>
    </row>
    <row r="7" customFormat="false" ht="35.05" hidden="false" customHeight="false" outlineLevel="0" collapsed="false">
      <c r="A7" s="10" t="s">
        <v>288</v>
      </c>
      <c r="B7" s="10" t="s">
        <v>83</v>
      </c>
      <c r="C7" s="10" t="s">
        <v>289</v>
      </c>
      <c r="D7" s="12" t="s">
        <v>290</v>
      </c>
      <c r="E7" s="12" t="s">
        <v>291</v>
      </c>
      <c r="F7" s="10" t="s">
        <v>88</v>
      </c>
      <c r="G7" s="10" t="s">
        <v>292</v>
      </c>
      <c r="H7" s="10" t="s">
        <v>293</v>
      </c>
      <c r="I7" s="11" t="s">
        <v>217</v>
      </c>
      <c r="J7" s="11" t="s">
        <v>234</v>
      </c>
      <c r="K7" s="11" t="s">
        <v>218</v>
      </c>
      <c r="L7" s="13" t="n">
        <v>1</v>
      </c>
      <c r="M7" s="10" t="s">
        <v>219</v>
      </c>
      <c r="N7" s="14" t="n">
        <v>45901</v>
      </c>
      <c r="O7" s="14" t="n">
        <v>46080</v>
      </c>
      <c r="P7" s="14" t="n">
        <v>46073</v>
      </c>
      <c r="Q7" s="12" t="s">
        <v>294</v>
      </c>
      <c r="R7" s="12" t="s">
        <v>295</v>
      </c>
      <c r="S7" s="12" t="s">
        <v>296</v>
      </c>
      <c r="T7" s="12" t="s">
        <v>297</v>
      </c>
      <c r="U7" s="12" t="s">
        <v>298</v>
      </c>
      <c r="V7" s="12" t="s">
        <v>299</v>
      </c>
      <c r="W7" s="10" t="s">
        <v>300</v>
      </c>
      <c r="X7" s="10" t="s">
        <v>301</v>
      </c>
      <c r="Y7" s="11" t="s">
        <v>228</v>
      </c>
      <c r="Z7" s="11" t="s">
        <v>228</v>
      </c>
      <c r="AA7" s="11" t="s">
        <v>228</v>
      </c>
      <c r="AB7" s="11" t="s">
        <v>228</v>
      </c>
      <c r="AC7" s="11" t="s">
        <v>228</v>
      </c>
      <c r="AD7" s="11" t="s">
        <v>228</v>
      </c>
      <c r="AE7" s="11" t="s">
        <v>228</v>
      </c>
      <c r="AF7" s="11" t="s">
        <v>228</v>
      </c>
      <c r="AG7" s="11" t="s">
        <v>228</v>
      </c>
      <c r="AH7" s="12" t="s">
        <v>302</v>
      </c>
      <c r="AI7" s="12"/>
      <c r="AJ7" s="14" t="n">
        <v>46203</v>
      </c>
    </row>
    <row r="8" customFormat="false" ht="23.85" hidden="false" customHeight="false" outlineLevel="0" collapsed="false">
      <c r="A8" s="10" t="s">
        <v>303</v>
      </c>
      <c r="B8" s="10" t="s">
        <v>159</v>
      </c>
      <c r="C8" s="10" t="s">
        <v>304</v>
      </c>
      <c r="D8" s="12" t="s">
        <v>305</v>
      </c>
      <c r="E8" s="12" t="s">
        <v>306</v>
      </c>
      <c r="F8" s="10" t="s">
        <v>163</v>
      </c>
      <c r="G8" s="10" t="s">
        <v>307</v>
      </c>
      <c r="H8" s="10" t="s">
        <v>252</v>
      </c>
      <c r="I8" s="11" t="s">
        <v>308</v>
      </c>
      <c r="J8" s="11" t="s">
        <v>308</v>
      </c>
      <c r="K8" s="11" t="s">
        <v>280</v>
      </c>
      <c r="L8" s="13" t="n">
        <v>0</v>
      </c>
      <c r="M8" s="10" t="s">
        <v>281</v>
      </c>
      <c r="N8" s="14"/>
      <c r="O8" s="14" t="n">
        <v>46568</v>
      </c>
      <c r="P8" s="14"/>
      <c r="Q8" s="12" t="s">
        <v>309</v>
      </c>
      <c r="R8" s="12" t="s">
        <v>310</v>
      </c>
      <c r="S8" s="12" t="s">
        <v>311</v>
      </c>
      <c r="T8" s="12" t="s">
        <v>312</v>
      </c>
      <c r="U8" s="12" t="s">
        <v>168</v>
      </c>
      <c r="V8" s="12" t="s">
        <v>169</v>
      </c>
      <c r="W8" s="10"/>
      <c r="X8" s="10" t="s">
        <v>313</v>
      </c>
      <c r="Y8" s="11" t="s">
        <v>245</v>
      </c>
      <c r="Z8" s="11" t="s">
        <v>245</v>
      </c>
      <c r="AA8" s="11" t="s">
        <v>245</v>
      </c>
      <c r="AB8" s="11" t="s">
        <v>245</v>
      </c>
      <c r="AC8" s="11" t="s">
        <v>245</v>
      </c>
      <c r="AD8" s="11" t="s">
        <v>245</v>
      </c>
      <c r="AE8" s="11" t="s">
        <v>245</v>
      </c>
      <c r="AF8" s="11" t="s">
        <v>245</v>
      </c>
      <c r="AG8" s="11" t="s">
        <v>245</v>
      </c>
      <c r="AH8" s="12" t="s">
        <v>314</v>
      </c>
      <c r="AI8" s="12"/>
      <c r="AJ8" s="14" t="n">
        <v>46188</v>
      </c>
    </row>
  </sheetData>
  <autoFilter ref="A1:AJ1"/>
  <dataValidations count="13">
    <dataValidation allowBlank="true" errorStyle="stop" operator="between" showDropDown="false" showErrorMessage="false" showInputMessage="false" sqref="I2:I300" type="list">
      <formula1>Listas!$D$2:$D$4</formula1>
      <formula2>0</formula2>
    </dataValidation>
    <dataValidation allowBlank="true" errorStyle="stop" operator="between" showDropDown="false" showErrorMessage="false" showInputMessage="false" sqref="J2:J300" type="list">
      <formula1>Listas!$E$2:$E$4</formula1>
      <formula2>0</formula2>
    </dataValidation>
    <dataValidation allowBlank="true" errorStyle="stop" operator="between" showDropDown="false" showErrorMessage="false" showInputMessage="false" sqref="K2:K300" type="list">
      <formula1>Listas!$B$2:$B$5</formula1>
      <formula2>0</formula2>
    </dataValidation>
    <dataValidation allowBlank="true" errorStyle="stop" operator="between" showDropDown="false" showErrorMessage="false" showInputMessage="false" sqref="M2:M300" type="list">
      <formula1>Listas!$C$2:$C$6</formula1>
      <formula2>0</formula2>
    </dataValidation>
    <dataValidation allowBlank="true" errorStyle="stop" operator="between" showDropDown="false" showErrorMessage="false" showInputMessage="false" sqref="Y2:Y300" type="list">
      <formula1>Listas!$F$2:$F$3</formula1>
      <formula2>0</formula2>
    </dataValidation>
    <dataValidation allowBlank="true" errorStyle="stop" operator="between" showDropDown="false" showErrorMessage="false" showInputMessage="false" sqref="Z2:Z300" type="list">
      <formula1>Listas!$F$2:$F$3</formula1>
      <formula2>0</formula2>
    </dataValidation>
    <dataValidation allowBlank="true" errorStyle="stop" operator="between" showDropDown="false" showErrorMessage="false" showInputMessage="false" sqref="AA2:AA300" type="list">
      <formula1>Listas!$F$2:$F$3</formula1>
      <formula2>0</formula2>
    </dataValidation>
    <dataValidation allowBlank="true" errorStyle="stop" operator="between" showDropDown="false" showErrorMessage="false" showInputMessage="false" sqref="AB2:AB300" type="list">
      <formula1>Listas!$F$2:$F$3</formula1>
      <formula2>0</formula2>
    </dataValidation>
    <dataValidation allowBlank="true" errorStyle="stop" operator="between" showDropDown="false" showErrorMessage="false" showInputMessage="false" sqref="AC2:AC300" type="list">
      <formula1>Listas!$F$2:$F$3</formula1>
      <formula2>0</formula2>
    </dataValidation>
    <dataValidation allowBlank="true" errorStyle="stop" operator="between" showDropDown="false" showErrorMessage="false" showInputMessage="false" sqref="AD2:AD300" type="list">
      <formula1>Listas!$F$2:$F$3</formula1>
      <formula2>0</formula2>
    </dataValidation>
    <dataValidation allowBlank="true" errorStyle="stop" operator="between" showDropDown="false" showErrorMessage="false" showInputMessage="false" sqref="AE2:AE300" type="list">
      <formula1>Listas!$F$2:$F$3</formula1>
      <formula2>0</formula2>
    </dataValidation>
    <dataValidation allowBlank="true" errorStyle="stop" operator="between" showDropDown="false" showErrorMessage="false" showInputMessage="false" sqref="AF2:AF300" type="list">
      <formula1>Listas!$F$2:$F$3</formula1>
      <formula2>0</formula2>
    </dataValidation>
    <dataValidation allowBlank="true" errorStyle="stop" operator="between" showDropDown="false" showErrorMessage="false" showInputMessage="false" sqref="AG2:AG300" type="list">
      <formula1>Listas!$F$2:$F$3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0"/>
    <col collapsed="false" customWidth="true" hidden="false" outlineLevel="0" max="3" min="3" style="0" width="7"/>
    <col collapsed="false" customWidth="true" hidden="false" outlineLevel="0" max="4" min="4" style="0" width="34"/>
    <col collapsed="false" customWidth="true" hidden="false" outlineLevel="0" max="5" min="5" style="0" width="46"/>
    <col collapsed="false" customWidth="true" hidden="false" outlineLevel="0" max="6" min="6" style="0" width="40"/>
    <col collapsed="false" customWidth="true" hidden="false" outlineLevel="0" max="7" min="7" style="0" width="16"/>
    <col collapsed="false" customWidth="true" hidden="false" outlineLevel="0" max="8" min="8" style="0" width="24"/>
    <col collapsed="false" customWidth="true" hidden="false" outlineLevel="0" max="9" min="9" style="0" width="40"/>
    <col collapsed="false" customWidth="true" hidden="false" outlineLevel="0" max="10" min="10" style="0" width="28"/>
    <col collapsed="false" customWidth="true" hidden="false" outlineLevel="0" max="11" min="11" style="0" width="30"/>
  </cols>
  <sheetData>
    <row r="1" customFormat="false" ht="30" hidden="false" customHeight="true" outlineLevel="0" collapsed="false">
      <c r="A1" s="9" t="s">
        <v>68</v>
      </c>
      <c r="B1" s="9" t="s">
        <v>315</v>
      </c>
      <c r="C1" s="9" t="s">
        <v>71</v>
      </c>
      <c r="D1" s="9" t="s">
        <v>69</v>
      </c>
      <c r="E1" s="9" t="s">
        <v>72</v>
      </c>
      <c r="F1" s="9" t="s">
        <v>73</v>
      </c>
      <c r="G1" s="9" t="s">
        <v>74</v>
      </c>
      <c r="H1" s="9" t="s">
        <v>316</v>
      </c>
      <c r="I1" s="9" t="s">
        <v>76</v>
      </c>
      <c r="J1" s="9" t="s">
        <v>79</v>
      </c>
      <c r="K1" s="9" t="s">
        <v>81</v>
      </c>
    </row>
    <row r="2" customFormat="false" ht="23.85" hidden="false" customHeight="false" outlineLevel="0" collapsed="false">
      <c r="A2" s="10" t="s">
        <v>317</v>
      </c>
      <c r="B2" s="10" t="s">
        <v>211</v>
      </c>
      <c r="C2" s="11" t="n">
        <v>1</v>
      </c>
      <c r="D2" s="10" t="s">
        <v>318</v>
      </c>
      <c r="E2" s="12" t="s">
        <v>319</v>
      </c>
      <c r="F2" s="12" t="s">
        <v>320</v>
      </c>
      <c r="G2" s="10" t="s">
        <v>150</v>
      </c>
      <c r="H2" s="10" t="s">
        <v>215</v>
      </c>
      <c r="I2" s="12" t="s">
        <v>321</v>
      </c>
      <c r="J2" s="12" t="s">
        <v>256</v>
      </c>
      <c r="K2" s="10" t="s">
        <v>322</v>
      </c>
    </row>
    <row r="3" customFormat="false" ht="23.85" hidden="false" customHeight="false" outlineLevel="0" collapsed="false">
      <c r="A3" s="10" t="s">
        <v>323</v>
      </c>
      <c r="B3" s="10" t="s">
        <v>211</v>
      </c>
      <c r="C3" s="11" t="n">
        <v>2</v>
      </c>
      <c r="D3" s="10" t="s">
        <v>324</v>
      </c>
      <c r="E3" s="12" t="s">
        <v>325</v>
      </c>
      <c r="F3" s="12" t="s">
        <v>326</v>
      </c>
      <c r="G3" s="10" t="s">
        <v>150</v>
      </c>
      <c r="H3" s="10" t="s">
        <v>215</v>
      </c>
      <c r="I3" s="12" t="s">
        <v>327</v>
      </c>
      <c r="J3" s="12" t="s">
        <v>328</v>
      </c>
      <c r="K3" s="10" t="s">
        <v>329</v>
      </c>
    </row>
    <row r="4" customFormat="false" ht="35.05" hidden="false" customHeight="false" outlineLevel="0" collapsed="false">
      <c r="A4" s="10" t="s">
        <v>330</v>
      </c>
      <c r="B4" s="10" t="s">
        <v>211</v>
      </c>
      <c r="C4" s="11" t="n">
        <v>3</v>
      </c>
      <c r="D4" s="10" t="s">
        <v>331</v>
      </c>
      <c r="E4" s="12" t="s">
        <v>332</v>
      </c>
      <c r="F4" s="12" t="s">
        <v>333</v>
      </c>
      <c r="G4" s="10" t="s">
        <v>150</v>
      </c>
      <c r="H4" s="10" t="s">
        <v>215</v>
      </c>
      <c r="I4" s="12" t="s">
        <v>334</v>
      </c>
      <c r="J4" s="12" t="s">
        <v>335</v>
      </c>
      <c r="K4" s="10" t="s">
        <v>336</v>
      </c>
    </row>
    <row r="5" customFormat="false" ht="23.85" hidden="false" customHeight="false" outlineLevel="0" collapsed="false">
      <c r="A5" s="10" t="s">
        <v>337</v>
      </c>
      <c r="B5" s="10" t="s">
        <v>230</v>
      </c>
      <c r="C5" s="11" t="n">
        <v>1</v>
      </c>
      <c r="D5" s="10" t="s">
        <v>338</v>
      </c>
      <c r="E5" s="12" t="s">
        <v>339</v>
      </c>
      <c r="F5" s="12" t="s">
        <v>340</v>
      </c>
      <c r="G5" s="10" t="s">
        <v>150</v>
      </c>
      <c r="H5" s="10" t="s">
        <v>215</v>
      </c>
      <c r="I5" s="12" t="s">
        <v>341</v>
      </c>
      <c r="J5" s="12" t="s">
        <v>342</v>
      </c>
      <c r="K5" s="10" t="s">
        <v>343</v>
      </c>
    </row>
    <row r="6" customFormat="false" ht="23.85" hidden="false" customHeight="false" outlineLevel="0" collapsed="false">
      <c r="A6" s="10" t="s">
        <v>344</v>
      </c>
      <c r="B6" s="10" t="s">
        <v>261</v>
      </c>
      <c r="C6" s="11" t="n">
        <v>1</v>
      </c>
      <c r="D6" s="10" t="s">
        <v>345</v>
      </c>
      <c r="E6" s="12" t="s">
        <v>346</v>
      </c>
      <c r="F6" s="12" t="s">
        <v>347</v>
      </c>
      <c r="G6" s="10" t="s">
        <v>125</v>
      </c>
      <c r="H6" s="10" t="s">
        <v>265</v>
      </c>
      <c r="I6" s="12" t="s">
        <v>348</v>
      </c>
      <c r="J6" s="12" t="s">
        <v>349</v>
      </c>
      <c r="K6" s="10" t="s">
        <v>350</v>
      </c>
    </row>
  </sheetData>
  <autoFilter ref="A1:K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3"/>
    <col collapsed="false" customWidth="true" hidden="false" outlineLevel="0" max="3" min="3" style="0" width="7"/>
    <col collapsed="false" customWidth="true" hidden="false" outlineLevel="0" max="4" min="4" style="0" width="36"/>
    <col collapsed="false" customWidth="true" hidden="false" outlineLevel="0" max="5" min="5" style="0" width="46"/>
    <col collapsed="false" customWidth="true" hidden="false" outlineLevel="0" max="6" min="6" style="0" width="24"/>
    <col collapsed="false" customWidth="true" hidden="false" outlineLevel="0" max="8" min="7" style="0" width="38"/>
    <col collapsed="false" customWidth="true" hidden="false" outlineLevel="0" max="9" min="9" style="0" width="24"/>
    <col collapsed="false" customWidth="true" hidden="false" outlineLevel="0" max="10" min="10" style="0" width="14"/>
    <col collapsed="false" customWidth="true" hidden="false" outlineLevel="0" max="11" min="11" style="0" width="30"/>
  </cols>
  <sheetData>
    <row r="1" customFormat="false" ht="30" hidden="false" customHeight="true" outlineLevel="0" collapsed="false">
      <c r="A1" s="9" t="s">
        <v>68</v>
      </c>
      <c r="B1" s="9" t="s">
        <v>351</v>
      </c>
      <c r="C1" s="9" t="s">
        <v>71</v>
      </c>
      <c r="D1" s="9" t="s">
        <v>69</v>
      </c>
      <c r="E1" s="9" t="s">
        <v>72</v>
      </c>
      <c r="F1" s="9" t="s">
        <v>352</v>
      </c>
      <c r="G1" s="9" t="s">
        <v>194</v>
      </c>
      <c r="H1" s="9" t="s">
        <v>195</v>
      </c>
      <c r="I1" s="9" t="s">
        <v>79</v>
      </c>
      <c r="J1" s="9" t="s">
        <v>353</v>
      </c>
      <c r="K1" s="9" t="s">
        <v>354</v>
      </c>
    </row>
    <row r="2" customFormat="false" ht="23.85" hidden="false" customHeight="false" outlineLevel="0" collapsed="false">
      <c r="A2" s="10" t="s">
        <v>355</v>
      </c>
      <c r="B2" s="10" t="s">
        <v>317</v>
      </c>
      <c r="C2" s="11" t="n">
        <v>1</v>
      </c>
      <c r="D2" s="10" t="s">
        <v>356</v>
      </c>
      <c r="E2" s="12" t="s">
        <v>357</v>
      </c>
      <c r="F2" s="10" t="s">
        <v>358</v>
      </c>
      <c r="G2" s="12" t="s">
        <v>359</v>
      </c>
      <c r="H2" s="12" t="s">
        <v>360</v>
      </c>
      <c r="I2" s="12" t="s">
        <v>328</v>
      </c>
      <c r="J2" s="10" t="s">
        <v>361</v>
      </c>
      <c r="K2" s="12" t="s">
        <v>362</v>
      </c>
    </row>
    <row r="3" customFormat="false" ht="23.85" hidden="false" customHeight="false" outlineLevel="0" collapsed="false">
      <c r="A3" s="10" t="s">
        <v>363</v>
      </c>
      <c r="B3" s="10" t="s">
        <v>317</v>
      </c>
      <c r="C3" s="11" t="n">
        <v>2</v>
      </c>
      <c r="D3" s="10" t="s">
        <v>364</v>
      </c>
      <c r="E3" s="12" t="s">
        <v>365</v>
      </c>
      <c r="F3" s="10" t="s">
        <v>366</v>
      </c>
      <c r="G3" s="12" t="s">
        <v>367</v>
      </c>
      <c r="H3" s="12" t="s">
        <v>368</v>
      </c>
      <c r="I3" s="12" t="s">
        <v>369</v>
      </c>
      <c r="J3" s="10" t="s">
        <v>370</v>
      </c>
      <c r="K3" s="12" t="s">
        <v>371</v>
      </c>
    </row>
    <row r="4" customFormat="false" ht="23.85" hidden="false" customHeight="false" outlineLevel="0" collapsed="false">
      <c r="A4" s="10" t="s">
        <v>372</v>
      </c>
      <c r="B4" s="10" t="s">
        <v>317</v>
      </c>
      <c r="C4" s="11" t="n">
        <v>3</v>
      </c>
      <c r="D4" s="10" t="s">
        <v>373</v>
      </c>
      <c r="E4" s="12" t="s">
        <v>374</v>
      </c>
      <c r="F4" s="10" t="s">
        <v>366</v>
      </c>
      <c r="G4" s="12" t="s">
        <v>375</v>
      </c>
      <c r="H4" s="12" t="s">
        <v>376</v>
      </c>
      <c r="I4" s="12" t="s">
        <v>328</v>
      </c>
      <c r="J4" s="10" t="s">
        <v>361</v>
      </c>
      <c r="K4" s="12"/>
    </row>
    <row r="5" customFormat="false" ht="23.85" hidden="false" customHeight="false" outlineLevel="0" collapsed="false">
      <c r="A5" s="10" t="s">
        <v>377</v>
      </c>
      <c r="B5" s="10" t="s">
        <v>317</v>
      </c>
      <c r="C5" s="11" t="n">
        <v>4</v>
      </c>
      <c r="D5" s="10" t="s">
        <v>378</v>
      </c>
      <c r="E5" s="12" t="s">
        <v>379</v>
      </c>
      <c r="F5" s="10" t="s">
        <v>380</v>
      </c>
      <c r="G5" s="12" t="s">
        <v>381</v>
      </c>
      <c r="H5" s="12" t="s">
        <v>382</v>
      </c>
      <c r="I5" s="12" t="s">
        <v>256</v>
      </c>
      <c r="J5" s="10" t="s">
        <v>383</v>
      </c>
      <c r="K5" s="12" t="s">
        <v>371</v>
      </c>
    </row>
    <row r="6" customFormat="false" ht="23.85" hidden="false" customHeight="false" outlineLevel="0" collapsed="false">
      <c r="A6" s="10" t="s">
        <v>384</v>
      </c>
      <c r="B6" s="10" t="s">
        <v>323</v>
      </c>
      <c r="C6" s="11" t="n">
        <v>1</v>
      </c>
      <c r="D6" s="10" t="s">
        <v>385</v>
      </c>
      <c r="E6" s="12" t="s">
        <v>386</v>
      </c>
      <c r="F6" s="10" t="s">
        <v>366</v>
      </c>
      <c r="G6" s="12" t="s">
        <v>387</v>
      </c>
      <c r="H6" s="12" t="s">
        <v>388</v>
      </c>
      <c r="I6" s="12" t="s">
        <v>328</v>
      </c>
      <c r="J6" s="10" t="s">
        <v>370</v>
      </c>
      <c r="K6" s="12" t="s">
        <v>389</v>
      </c>
    </row>
    <row r="7" customFormat="false" ht="23.85" hidden="false" customHeight="false" outlineLevel="0" collapsed="false">
      <c r="A7" s="10" t="s">
        <v>390</v>
      </c>
      <c r="B7" s="10" t="s">
        <v>323</v>
      </c>
      <c r="C7" s="11" t="n">
        <v>2</v>
      </c>
      <c r="D7" s="10" t="s">
        <v>391</v>
      </c>
      <c r="E7" s="12" t="s">
        <v>392</v>
      </c>
      <c r="F7" s="10" t="s">
        <v>393</v>
      </c>
      <c r="G7" s="12" t="s">
        <v>388</v>
      </c>
      <c r="H7" s="12" t="s">
        <v>394</v>
      </c>
      <c r="I7" s="12" t="s">
        <v>328</v>
      </c>
      <c r="J7" s="10" t="s">
        <v>395</v>
      </c>
      <c r="K7" s="12" t="s">
        <v>396</v>
      </c>
    </row>
    <row r="8" customFormat="false" ht="23.85" hidden="false" customHeight="false" outlineLevel="0" collapsed="false">
      <c r="A8" s="10" t="s">
        <v>397</v>
      </c>
      <c r="B8" s="10" t="s">
        <v>330</v>
      </c>
      <c r="C8" s="11" t="n">
        <v>1</v>
      </c>
      <c r="D8" s="10" t="s">
        <v>398</v>
      </c>
      <c r="E8" s="12" t="s">
        <v>399</v>
      </c>
      <c r="F8" s="10" t="s">
        <v>366</v>
      </c>
      <c r="G8" s="12" t="s">
        <v>400</v>
      </c>
      <c r="H8" s="12" t="s">
        <v>401</v>
      </c>
      <c r="I8" s="12" t="s">
        <v>402</v>
      </c>
      <c r="J8" s="10" t="s">
        <v>370</v>
      </c>
      <c r="K8" s="12" t="s">
        <v>403</v>
      </c>
    </row>
    <row r="9" customFormat="false" ht="23.85" hidden="false" customHeight="false" outlineLevel="0" collapsed="false">
      <c r="A9" s="10" t="s">
        <v>404</v>
      </c>
      <c r="B9" s="10" t="s">
        <v>330</v>
      </c>
      <c r="C9" s="11" t="n">
        <v>2</v>
      </c>
      <c r="D9" s="10" t="s">
        <v>405</v>
      </c>
      <c r="E9" s="12" t="s">
        <v>406</v>
      </c>
      <c r="F9" s="10" t="s">
        <v>366</v>
      </c>
      <c r="G9" s="12" t="s">
        <v>407</v>
      </c>
      <c r="H9" s="12" t="s">
        <v>408</v>
      </c>
      <c r="I9" s="12" t="s">
        <v>328</v>
      </c>
      <c r="J9" s="10" t="s">
        <v>409</v>
      </c>
      <c r="K9" s="12" t="s">
        <v>410</v>
      </c>
    </row>
    <row r="10" customFormat="false" ht="23.85" hidden="false" customHeight="false" outlineLevel="0" collapsed="false">
      <c r="A10" s="10" t="s">
        <v>411</v>
      </c>
      <c r="B10" s="10" t="s">
        <v>337</v>
      </c>
      <c r="C10" s="11" t="n">
        <v>1</v>
      </c>
      <c r="D10" s="10" t="s">
        <v>412</v>
      </c>
      <c r="E10" s="12" t="s">
        <v>413</v>
      </c>
      <c r="F10" s="10" t="s">
        <v>414</v>
      </c>
      <c r="G10" s="12" t="s">
        <v>415</v>
      </c>
      <c r="H10" s="12" t="s">
        <v>416</v>
      </c>
      <c r="I10" s="12" t="s">
        <v>417</v>
      </c>
      <c r="J10" s="10" t="s">
        <v>418</v>
      </c>
      <c r="K10" s="12" t="s">
        <v>419</v>
      </c>
    </row>
    <row r="11" customFormat="false" ht="23.85" hidden="false" customHeight="false" outlineLevel="0" collapsed="false">
      <c r="A11" s="10" t="s">
        <v>420</v>
      </c>
      <c r="B11" s="10" t="s">
        <v>337</v>
      </c>
      <c r="C11" s="11" t="n">
        <v>2</v>
      </c>
      <c r="D11" s="10" t="s">
        <v>421</v>
      </c>
      <c r="E11" s="12" t="s">
        <v>422</v>
      </c>
      <c r="F11" s="10" t="s">
        <v>423</v>
      </c>
      <c r="G11" s="12" t="s">
        <v>424</v>
      </c>
      <c r="H11" s="12" t="s">
        <v>425</v>
      </c>
      <c r="I11" s="12" t="s">
        <v>342</v>
      </c>
      <c r="J11" s="10" t="s">
        <v>426</v>
      </c>
      <c r="K11" s="12" t="s">
        <v>427</v>
      </c>
    </row>
    <row r="12" customFormat="false" ht="23.85" hidden="false" customHeight="false" outlineLevel="0" collapsed="false">
      <c r="A12" s="10" t="s">
        <v>428</v>
      </c>
      <c r="B12" s="10" t="s">
        <v>344</v>
      </c>
      <c r="C12" s="11" t="n">
        <v>1</v>
      </c>
      <c r="D12" s="10" t="s">
        <v>429</v>
      </c>
      <c r="E12" s="12" t="s">
        <v>430</v>
      </c>
      <c r="F12" s="10" t="s">
        <v>431</v>
      </c>
      <c r="G12" s="12" t="s">
        <v>432</v>
      </c>
      <c r="H12" s="12" t="s">
        <v>433</v>
      </c>
      <c r="I12" s="12" t="s">
        <v>349</v>
      </c>
      <c r="J12" s="10" t="s">
        <v>434</v>
      </c>
      <c r="K12" s="12"/>
    </row>
    <row r="13" customFormat="false" ht="23.85" hidden="false" customHeight="false" outlineLevel="0" collapsed="false">
      <c r="A13" s="10" t="s">
        <v>435</v>
      </c>
      <c r="B13" s="10" t="s">
        <v>344</v>
      </c>
      <c r="C13" s="11" t="n">
        <v>2</v>
      </c>
      <c r="D13" s="10" t="s">
        <v>436</v>
      </c>
      <c r="E13" s="12" t="s">
        <v>437</v>
      </c>
      <c r="F13" s="10" t="s">
        <v>431</v>
      </c>
      <c r="G13" s="12" t="s">
        <v>438</v>
      </c>
      <c r="H13" s="12" t="s">
        <v>439</v>
      </c>
      <c r="I13" s="12" t="s">
        <v>349</v>
      </c>
      <c r="J13" s="10" t="s">
        <v>440</v>
      </c>
      <c r="K13" s="12"/>
    </row>
  </sheetData>
  <autoFilter ref="A1:K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5"/>
    <col collapsed="false" customWidth="true" hidden="false" outlineLevel="0" max="3" min="3" style="0" width="14"/>
    <col collapsed="false" customWidth="true" hidden="false" outlineLevel="0" max="4" min="4" style="0" width="26"/>
    <col collapsed="false" customWidth="true" hidden="false" outlineLevel="0" max="5" min="5" style="0" width="52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14"/>
    <col collapsed="false" customWidth="true" hidden="false" outlineLevel="0" max="9" min="9" style="0" width="44"/>
    <col collapsed="false" customWidth="true" hidden="false" outlineLevel="0" max="10" min="10" style="0" width="30"/>
  </cols>
  <sheetData>
    <row r="1" customFormat="false" ht="30" hidden="false" customHeight="true" outlineLevel="0" collapsed="false">
      <c r="A1" s="9" t="s">
        <v>441</v>
      </c>
      <c r="B1" s="9" t="s">
        <v>442</v>
      </c>
      <c r="C1" s="9" t="s">
        <v>443</v>
      </c>
      <c r="D1" s="9" t="s">
        <v>444</v>
      </c>
      <c r="E1" s="9" t="s">
        <v>445</v>
      </c>
      <c r="F1" s="9" t="s">
        <v>446</v>
      </c>
      <c r="G1" s="9" t="s">
        <v>447</v>
      </c>
      <c r="H1" s="9" t="s">
        <v>448</v>
      </c>
      <c r="I1" s="9" t="s">
        <v>449</v>
      </c>
      <c r="J1" s="9" t="s">
        <v>82</v>
      </c>
    </row>
    <row r="2" customFormat="false" ht="23.85" hidden="false" customHeight="false" outlineLevel="0" collapsed="false">
      <c r="A2" s="10" t="s">
        <v>450</v>
      </c>
      <c r="B2" s="10" t="s">
        <v>315</v>
      </c>
      <c r="C2" s="10" t="s">
        <v>211</v>
      </c>
      <c r="D2" s="10" t="s">
        <v>451</v>
      </c>
      <c r="E2" s="12" t="s">
        <v>452</v>
      </c>
      <c r="F2" s="11" t="s">
        <v>453</v>
      </c>
      <c r="G2" s="14" t="n">
        <v>46160</v>
      </c>
      <c r="H2" s="11" t="s">
        <v>454</v>
      </c>
      <c r="I2" s="12" t="s">
        <v>455</v>
      </c>
      <c r="J2" s="12" t="s">
        <v>456</v>
      </c>
    </row>
    <row r="3" customFormat="false" ht="15" hidden="false" customHeight="false" outlineLevel="0" collapsed="false">
      <c r="A3" s="10" t="s">
        <v>457</v>
      </c>
      <c r="B3" s="10" t="s">
        <v>315</v>
      </c>
      <c r="C3" s="10" t="s">
        <v>211</v>
      </c>
      <c r="D3" s="10" t="s">
        <v>458</v>
      </c>
      <c r="E3" s="12" t="s">
        <v>459</v>
      </c>
      <c r="F3" s="11" t="s">
        <v>460</v>
      </c>
      <c r="G3" s="14" t="n">
        <v>46083</v>
      </c>
      <c r="H3" s="11" t="s">
        <v>454</v>
      </c>
      <c r="I3" s="12" t="s">
        <v>227</v>
      </c>
      <c r="J3" s="12" t="s">
        <v>461</v>
      </c>
    </row>
    <row r="4" customFormat="false" ht="23.85" hidden="false" customHeight="false" outlineLevel="0" collapsed="false">
      <c r="A4" s="10" t="s">
        <v>462</v>
      </c>
      <c r="B4" s="10" t="s">
        <v>315</v>
      </c>
      <c r="C4" s="10" t="s">
        <v>211</v>
      </c>
      <c r="D4" s="10" t="s">
        <v>458</v>
      </c>
      <c r="E4" s="12" t="s">
        <v>463</v>
      </c>
      <c r="F4" s="11" t="s">
        <v>460</v>
      </c>
      <c r="G4" s="14" t="n">
        <v>46146</v>
      </c>
      <c r="H4" s="11" t="s">
        <v>454</v>
      </c>
      <c r="I4" s="12" t="s">
        <v>464</v>
      </c>
      <c r="J4" s="12"/>
    </row>
    <row r="5" customFormat="false" ht="23.85" hidden="false" customHeight="false" outlineLevel="0" collapsed="false">
      <c r="A5" s="10" t="s">
        <v>465</v>
      </c>
      <c r="B5" s="10" t="s">
        <v>315</v>
      </c>
      <c r="C5" s="10" t="s">
        <v>211</v>
      </c>
      <c r="D5" s="10" t="s">
        <v>466</v>
      </c>
      <c r="E5" s="12" t="s">
        <v>467</v>
      </c>
      <c r="F5" s="11" t="s">
        <v>460</v>
      </c>
      <c r="G5" s="14" t="n">
        <v>46034</v>
      </c>
      <c r="H5" s="11" t="s">
        <v>454</v>
      </c>
      <c r="I5" s="12" t="s">
        <v>468</v>
      </c>
      <c r="J5" s="12" t="s">
        <v>469</v>
      </c>
    </row>
    <row r="6" customFormat="false" ht="23.85" hidden="false" customHeight="false" outlineLevel="0" collapsed="false">
      <c r="A6" s="10" t="s">
        <v>470</v>
      </c>
      <c r="B6" s="10" t="s">
        <v>315</v>
      </c>
      <c r="C6" s="10" t="s">
        <v>211</v>
      </c>
      <c r="D6" s="10" t="s">
        <v>471</v>
      </c>
      <c r="E6" s="12" t="s">
        <v>472</v>
      </c>
      <c r="F6" s="11" t="s">
        <v>460</v>
      </c>
      <c r="G6" s="14" t="n">
        <v>46125</v>
      </c>
      <c r="H6" s="11" t="s">
        <v>454</v>
      </c>
      <c r="I6" s="12" t="s">
        <v>473</v>
      </c>
      <c r="J6" s="12"/>
    </row>
    <row r="7" customFormat="false" ht="15" hidden="false" customHeight="false" outlineLevel="0" collapsed="false">
      <c r="A7" s="10" t="s">
        <v>474</v>
      </c>
      <c r="B7" s="10" t="s">
        <v>351</v>
      </c>
      <c r="C7" s="10" t="s">
        <v>317</v>
      </c>
      <c r="D7" s="10" t="s">
        <v>475</v>
      </c>
      <c r="E7" s="12" t="s">
        <v>476</v>
      </c>
      <c r="F7" s="11" t="s">
        <v>477</v>
      </c>
      <c r="G7" s="14" t="n">
        <v>46063</v>
      </c>
      <c r="H7" s="11" t="s">
        <v>454</v>
      </c>
      <c r="I7" s="12" t="s">
        <v>478</v>
      </c>
      <c r="J7" s="12"/>
    </row>
    <row r="8" customFormat="false" ht="23.85" hidden="false" customHeight="false" outlineLevel="0" collapsed="false">
      <c r="A8" s="10" t="s">
        <v>479</v>
      </c>
      <c r="B8" s="10" t="s">
        <v>351</v>
      </c>
      <c r="C8" s="10" t="s">
        <v>330</v>
      </c>
      <c r="D8" s="10" t="s">
        <v>451</v>
      </c>
      <c r="E8" s="12" t="s">
        <v>480</v>
      </c>
      <c r="F8" s="11" t="s">
        <v>481</v>
      </c>
      <c r="G8" s="14" t="n">
        <v>46139</v>
      </c>
      <c r="H8" s="11" t="s">
        <v>454</v>
      </c>
      <c r="I8" s="12" t="s">
        <v>482</v>
      </c>
      <c r="J8" s="12"/>
    </row>
    <row r="9" customFormat="false" ht="15" hidden="false" customHeight="false" outlineLevel="0" collapsed="false">
      <c r="A9" s="10" t="s">
        <v>483</v>
      </c>
      <c r="B9" s="10" t="s">
        <v>183</v>
      </c>
      <c r="C9" s="10" t="s">
        <v>145</v>
      </c>
      <c r="D9" s="10" t="s">
        <v>484</v>
      </c>
      <c r="E9" s="12" t="s">
        <v>485</v>
      </c>
      <c r="F9" s="11" t="s">
        <v>486</v>
      </c>
      <c r="G9" s="14" t="n">
        <v>45616</v>
      </c>
      <c r="H9" s="11" t="s">
        <v>454</v>
      </c>
      <c r="I9" s="12" t="s">
        <v>487</v>
      </c>
      <c r="J9" s="12"/>
    </row>
    <row r="10" customFormat="false" ht="23.85" hidden="false" customHeight="false" outlineLevel="0" collapsed="false">
      <c r="A10" s="10" t="s">
        <v>488</v>
      </c>
      <c r="B10" s="10" t="s">
        <v>183</v>
      </c>
      <c r="C10" s="10" t="s">
        <v>145</v>
      </c>
      <c r="D10" s="10" t="s">
        <v>489</v>
      </c>
      <c r="E10" s="12" t="s">
        <v>490</v>
      </c>
      <c r="F10" s="11" t="s">
        <v>491</v>
      </c>
      <c r="G10" s="14" t="n">
        <v>45883</v>
      </c>
      <c r="H10" s="11" t="s">
        <v>492</v>
      </c>
      <c r="I10" s="12" t="s">
        <v>493</v>
      </c>
      <c r="J10" s="12"/>
    </row>
    <row r="11" customFormat="false" ht="23.85" hidden="false" customHeight="false" outlineLevel="0" collapsed="false">
      <c r="A11" s="10" t="s">
        <v>494</v>
      </c>
      <c r="B11" s="10" t="s">
        <v>315</v>
      </c>
      <c r="C11" s="10" t="s">
        <v>230</v>
      </c>
      <c r="D11" s="10" t="s">
        <v>466</v>
      </c>
      <c r="E11" s="12" t="s">
        <v>495</v>
      </c>
      <c r="F11" s="11" t="s">
        <v>460</v>
      </c>
      <c r="G11" s="14" t="n">
        <v>46175</v>
      </c>
      <c r="H11" s="11" t="s">
        <v>454</v>
      </c>
      <c r="I11" s="12" t="s">
        <v>496</v>
      </c>
      <c r="J11" s="12"/>
    </row>
    <row r="12" customFormat="false" ht="15" hidden="false" customHeight="false" outlineLevel="0" collapsed="false">
      <c r="A12" s="10" t="s">
        <v>497</v>
      </c>
      <c r="B12" s="10" t="s">
        <v>315</v>
      </c>
      <c r="C12" s="10" t="s">
        <v>261</v>
      </c>
      <c r="D12" s="10" t="s">
        <v>458</v>
      </c>
      <c r="E12" s="12" t="s">
        <v>498</v>
      </c>
      <c r="F12" s="11" t="s">
        <v>499</v>
      </c>
      <c r="G12" s="14" t="n">
        <v>46211</v>
      </c>
      <c r="H12" s="11" t="s">
        <v>500</v>
      </c>
      <c r="I12" s="12" t="s">
        <v>273</v>
      </c>
      <c r="J12" s="12" t="s">
        <v>501</v>
      </c>
    </row>
    <row r="13" customFormat="false" ht="23.85" hidden="false" customHeight="false" outlineLevel="0" collapsed="false">
      <c r="A13" s="10" t="s">
        <v>502</v>
      </c>
      <c r="B13" s="10" t="s">
        <v>503</v>
      </c>
      <c r="C13" s="10" t="s">
        <v>355</v>
      </c>
      <c r="D13" s="10" t="s">
        <v>475</v>
      </c>
      <c r="E13" s="12" t="s">
        <v>504</v>
      </c>
      <c r="F13" s="11" t="s">
        <v>460</v>
      </c>
      <c r="G13" s="14" t="n">
        <v>46065</v>
      </c>
      <c r="H13" s="11" t="s">
        <v>454</v>
      </c>
      <c r="I13" s="12" t="s">
        <v>505</v>
      </c>
      <c r="J13" s="12"/>
    </row>
    <row r="14" customFormat="false" ht="23.85" hidden="false" customHeight="false" outlineLevel="0" collapsed="false">
      <c r="A14" s="10" t="s">
        <v>506</v>
      </c>
      <c r="B14" s="10" t="s">
        <v>315</v>
      </c>
      <c r="C14" s="10" t="s">
        <v>288</v>
      </c>
      <c r="D14" s="10" t="s">
        <v>471</v>
      </c>
      <c r="E14" s="12" t="s">
        <v>507</v>
      </c>
      <c r="F14" s="11" t="s">
        <v>460</v>
      </c>
      <c r="G14" s="14" t="n">
        <v>46112</v>
      </c>
      <c r="H14" s="11" t="s">
        <v>454</v>
      </c>
      <c r="I14" s="12" t="s">
        <v>508</v>
      </c>
      <c r="J14" s="12"/>
    </row>
    <row r="15" customFormat="false" ht="23.85" hidden="false" customHeight="false" outlineLevel="0" collapsed="false">
      <c r="A15" s="10" t="s">
        <v>509</v>
      </c>
      <c r="B15" s="10" t="s">
        <v>315</v>
      </c>
      <c r="C15" s="10" t="s">
        <v>211</v>
      </c>
      <c r="D15" s="10" t="s">
        <v>510</v>
      </c>
      <c r="E15" s="12" t="s">
        <v>511</v>
      </c>
      <c r="F15" s="11" t="s">
        <v>460</v>
      </c>
      <c r="G15" s="14" t="n">
        <v>46148</v>
      </c>
      <c r="H15" s="11" t="s">
        <v>454</v>
      </c>
      <c r="I15" s="12" t="s">
        <v>512</v>
      </c>
      <c r="J15" s="12"/>
    </row>
  </sheetData>
  <autoFilter ref="A1:J1"/>
  <dataValidations count="3">
    <dataValidation allowBlank="true" errorStyle="stop" operator="between" showDropDown="false" showErrorMessage="false" showInputMessage="false" sqref="B2:B300" type="list">
      <formula1>Listas!$G$2:$G$5</formula1>
      <formula2>0</formula2>
    </dataValidation>
    <dataValidation allowBlank="true" errorStyle="stop" operator="between" showDropDown="false" showErrorMessage="false" showInputMessage="false" sqref="D2:D300" type="list">
      <formula1>Listas!$H$2:$H$10</formula1>
      <formula2>0</formula2>
    </dataValidation>
    <dataValidation allowBlank="true" errorStyle="stop" operator="between" showDropDown="false" showErrorMessage="false" showInputMessage="false" sqref="H2:H300" type="list">
      <formula1>Listas!$I$2:$I$5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5"/>
    <col collapsed="false" customWidth="true" hidden="false" outlineLevel="0" max="3" min="3" style="0" width="14"/>
    <col collapsed="false" customWidth="true" hidden="false" outlineLevel="0" max="4" min="4" style="0" width="52"/>
    <col collapsed="false" customWidth="true" hidden="false" outlineLevel="0" max="5" min="5" style="0" width="22"/>
    <col collapsed="false" customWidth="true" hidden="false" outlineLevel="0" max="6" min="6" style="0" width="12"/>
    <col collapsed="false" customWidth="true" hidden="false" outlineLevel="0" max="7" min="7" style="0" width="10"/>
    <col collapsed="false" customWidth="true" hidden="false" outlineLevel="0" max="8" min="8" style="0" width="9"/>
    <col collapsed="false" customWidth="true" hidden="false" outlineLevel="0" max="9" min="9" style="0" width="13"/>
    <col collapsed="false" customWidth="true" hidden="false" outlineLevel="0" max="10" min="10" style="0" width="11"/>
    <col collapsed="false" customWidth="true" hidden="false" outlineLevel="0" max="11" min="11" style="0" width="46"/>
    <col collapsed="false" customWidth="true" hidden="false" outlineLevel="0" max="12" min="12" style="0" width="22"/>
    <col collapsed="false" customWidth="true" hidden="false" outlineLevel="0" max="13" min="13" style="0" width="14"/>
  </cols>
  <sheetData>
    <row r="1" customFormat="false" ht="30" hidden="false" customHeight="true" outlineLevel="0" collapsed="false">
      <c r="A1" s="9" t="s">
        <v>441</v>
      </c>
      <c r="B1" s="9" t="s">
        <v>442</v>
      </c>
      <c r="C1" s="9" t="s">
        <v>443</v>
      </c>
      <c r="D1" s="9" t="s">
        <v>513</v>
      </c>
      <c r="E1" s="9" t="s">
        <v>70</v>
      </c>
      <c r="F1" s="9" t="s">
        <v>514</v>
      </c>
      <c r="G1" s="9" t="s">
        <v>515</v>
      </c>
      <c r="H1" s="9" t="s">
        <v>516</v>
      </c>
      <c r="I1" s="9" t="s">
        <v>517</v>
      </c>
      <c r="J1" s="9" t="s">
        <v>518</v>
      </c>
      <c r="K1" s="9" t="s">
        <v>519</v>
      </c>
      <c r="L1" s="9" t="s">
        <v>520</v>
      </c>
      <c r="M1" s="9" t="s">
        <v>521</v>
      </c>
    </row>
    <row r="2" customFormat="false" ht="23.85" hidden="false" customHeight="false" outlineLevel="0" collapsed="false">
      <c r="A2" s="10" t="s">
        <v>522</v>
      </c>
      <c r="B2" s="10" t="s">
        <v>315</v>
      </c>
      <c r="C2" s="10" t="s">
        <v>211</v>
      </c>
      <c r="D2" s="12" t="s">
        <v>523</v>
      </c>
      <c r="E2" s="10" t="s">
        <v>524</v>
      </c>
      <c r="F2" s="11" t="n">
        <v>4</v>
      </c>
      <c r="G2" s="11" t="n">
        <v>4</v>
      </c>
      <c r="H2" s="15" t="n">
        <f aca="false">F2*G2</f>
        <v>16</v>
      </c>
      <c r="I2" s="15" t="str">
        <f aca="false">IF(H2&gt;=20,"Extremo",IF(H2&gt;=12,"Alto",IF(H2&gt;=5,"Moderado","Baixo")))</f>
        <v>Alto</v>
      </c>
      <c r="J2" s="11" t="s">
        <v>525</v>
      </c>
      <c r="K2" s="12" t="s">
        <v>526</v>
      </c>
      <c r="L2" s="10" t="s">
        <v>215</v>
      </c>
      <c r="M2" s="11" t="s">
        <v>527</v>
      </c>
    </row>
    <row r="3" customFormat="false" ht="23.85" hidden="false" customHeight="false" outlineLevel="0" collapsed="false">
      <c r="A3" s="10" t="s">
        <v>528</v>
      </c>
      <c r="B3" s="10" t="s">
        <v>315</v>
      </c>
      <c r="C3" s="10" t="s">
        <v>211</v>
      </c>
      <c r="D3" s="12" t="s">
        <v>529</v>
      </c>
      <c r="E3" s="10" t="s">
        <v>530</v>
      </c>
      <c r="F3" s="11" t="n">
        <v>3</v>
      </c>
      <c r="G3" s="11" t="n">
        <v>4</v>
      </c>
      <c r="H3" s="15" t="n">
        <f aca="false">F3*G3</f>
        <v>12</v>
      </c>
      <c r="I3" s="15" t="str">
        <f aca="false">IF(H3&gt;=20,"Extremo",IF(H3&gt;=12,"Alto",IF(H3&gt;=5,"Moderado","Baixo")))</f>
        <v>Alto</v>
      </c>
      <c r="J3" s="11" t="s">
        <v>525</v>
      </c>
      <c r="K3" s="12" t="s">
        <v>531</v>
      </c>
      <c r="L3" s="10" t="s">
        <v>215</v>
      </c>
      <c r="M3" s="11" t="s">
        <v>527</v>
      </c>
    </row>
    <row r="4" customFormat="false" ht="23.85" hidden="false" customHeight="false" outlineLevel="0" collapsed="false">
      <c r="A4" s="10" t="s">
        <v>532</v>
      </c>
      <c r="B4" s="10" t="s">
        <v>315</v>
      </c>
      <c r="C4" s="10" t="s">
        <v>248</v>
      </c>
      <c r="D4" s="12" t="s">
        <v>533</v>
      </c>
      <c r="E4" s="10" t="s">
        <v>524</v>
      </c>
      <c r="F4" s="11" t="n">
        <v>3</v>
      </c>
      <c r="G4" s="11" t="n">
        <v>5</v>
      </c>
      <c r="H4" s="15" t="n">
        <f aca="false">F4*G4</f>
        <v>15</v>
      </c>
      <c r="I4" s="15" t="str">
        <f aca="false">IF(H4&gt;=20,"Extremo",IF(H4&gt;=12,"Alto",IF(H4&gt;=5,"Moderado","Baixo")))</f>
        <v>Alto</v>
      </c>
      <c r="J4" s="11" t="s">
        <v>525</v>
      </c>
      <c r="K4" s="12" t="s">
        <v>534</v>
      </c>
      <c r="L4" s="10" t="s">
        <v>215</v>
      </c>
      <c r="M4" s="11" t="s">
        <v>535</v>
      </c>
    </row>
    <row r="5" customFormat="false" ht="23.85" hidden="false" customHeight="false" outlineLevel="0" collapsed="false">
      <c r="A5" s="10" t="s">
        <v>536</v>
      </c>
      <c r="B5" s="10" t="s">
        <v>351</v>
      </c>
      <c r="C5" s="10" t="s">
        <v>317</v>
      </c>
      <c r="D5" s="12" t="s">
        <v>537</v>
      </c>
      <c r="E5" s="10" t="s">
        <v>538</v>
      </c>
      <c r="F5" s="11" t="n">
        <v>4</v>
      </c>
      <c r="G5" s="11" t="n">
        <v>3</v>
      </c>
      <c r="H5" s="15" t="n">
        <f aca="false">F5*G5</f>
        <v>12</v>
      </c>
      <c r="I5" s="15" t="str">
        <f aca="false">IF(H5&gt;=20,"Extremo",IF(H5&gt;=12,"Alto",IF(H5&gt;=5,"Moderado","Baixo")))</f>
        <v>Alto</v>
      </c>
      <c r="J5" s="11" t="s">
        <v>525</v>
      </c>
      <c r="K5" s="12" t="s">
        <v>539</v>
      </c>
      <c r="L5" s="10" t="s">
        <v>307</v>
      </c>
      <c r="M5" s="11" t="s">
        <v>527</v>
      </c>
    </row>
    <row r="6" customFormat="false" ht="23.85" hidden="false" customHeight="false" outlineLevel="0" collapsed="false">
      <c r="A6" s="10" t="s">
        <v>540</v>
      </c>
      <c r="B6" s="10" t="s">
        <v>315</v>
      </c>
      <c r="C6" s="10" t="s">
        <v>261</v>
      </c>
      <c r="D6" s="12" t="s">
        <v>541</v>
      </c>
      <c r="E6" s="10" t="s">
        <v>524</v>
      </c>
      <c r="F6" s="11" t="n">
        <v>2</v>
      </c>
      <c r="G6" s="11" t="n">
        <v>5</v>
      </c>
      <c r="H6" s="15" t="n">
        <f aca="false">F6*G6</f>
        <v>10</v>
      </c>
      <c r="I6" s="15" t="str">
        <f aca="false">IF(H6&gt;=20,"Extremo",IF(H6&gt;=12,"Alto",IF(H6&gt;=5,"Moderado","Baixo")))</f>
        <v>Moderado</v>
      </c>
      <c r="J6" s="11" t="s">
        <v>525</v>
      </c>
      <c r="K6" s="12" t="s">
        <v>542</v>
      </c>
      <c r="L6" s="10" t="s">
        <v>265</v>
      </c>
      <c r="M6" s="11" t="s">
        <v>535</v>
      </c>
    </row>
    <row r="7" customFormat="false" ht="23.85" hidden="false" customHeight="false" outlineLevel="0" collapsed="false">
      <c r="A7" s="10" t="s">
        <v>543</v>
      </c>
      <c r="B7" s="10" t="s">
        <v>315</v>
      </c>
      <c r="C7" s="10" t="s">
        <v>230</v>
      </c>
      <c r="D7" s="12" t="s">
        <v>544</v>
      </c>
      <c r="E7" s="10" t="s">
        <v>545</v>
      </c>
      <c r="F7" s="11" t="n">
        <v>2</v>
      </c>
      <c r="G7" s="11" t="n">
        <v>4</v>
      </c>
      <c r="H7" s="15" t="n">
        <f aca="false">F7*G7</f>
        <v>8</v>
      </c>
      <c r="I7" s="15" t="str">
        <f aca="false">IF(H7&gt;=20,"Extremo",IF(H7&gt;=12,"Alto",IF(H7&gt;=5,"Moderado","Baixo")))</f>
        <v>Moderado</v>
      </c>
      <c r="J7" s="11" t="s">
        <v>525</v>
      </c>
      <c r="K7" s="12" t="s">
        <v>546</v>
      </c>
      <c r="L7" s="10" t="s">
        <v>547</v>
      </c>
      <c r="M7" s="11" t="s">
        <v>535</v>
      </c>
    </row>
    <row r="8" customFormat="false" ht="23.85" hidden="false" customHeight="false" outlineLevel="0" collapsed="false">
      <c r="A8" s="10" t="s">
        <v>548</v>
      </c>
      <c r="B8" s="10" t="s">
        <v>183</v>
      </c>
      <c r="C8" s="10" t="s">
        <v>145</v>
      </c>
      <c r="D8" s="12" t="s">
        <v>549</v>
      </c>
      <c r="E8" s="10" t="s">
        <v>530</v>
      </c>
      <c r="F8" s="11" t="n">
        <v>4</v>
      </c>
      <c r="G8" s="11" t="n">
        <v>2</v>
      </c>
      <c r="H8" s="15" t="n">
        <f aca="false">F8*G8</f>
        <v>8</v>
      </c>
      <c r="I8" s="15" t="str">
        <f aca="false">IF(H8&gt;=20,"Extremo",IF(H8&gt;=12,"Alto",IF(H8&gt;=5,"Moderado","Baixo")))</f>
        <v>Moderado</v>
      </c>
      <c r="J8" s="11" t="s">
        <v>525</v>
      </c>
      <c r="K8" s="12" t="s">
        <v>550</v>
      </c>
      <c r="L8" s="10" t="s">
        <v>551</v>
      </c>
      <c r="M8" s="11" t="s">
        <v>527</v>
      </c>
    </row>
    <row r="9" customFormat="false" ht="23.85" hidden="false" customHeight="false" outlineLevel="0" collapsed="false">
      <c r="A9" s="10" t="s">
        <v>552</v>
      </c>
      <c r="B9" s="10" t="s">
        <v>503</v>
      </c>
      <c r="C9" s="10" t="s">
        <v>397</v>
      </c>
      <c r="D9" s="12" t="s">
        <v>553</v>
      </c>
      <c r="E9" s="10" t="s">
        <v>530</v>
      </c>
      <c r="F9" s="11" t="n">
        <v>2</v>
      </c>
      <c r="G9" s="11" t="n">
        <v>3</v>
      </c>
      <c r="H9" s="15" t="n">
        <f aca="false">F9*G9</f>
        <v>6</v>
      </c>
      <c r="I9" s="15" t="str">
        <f aca="false">IF(H9&gt;=20,"Extremo",IF(H9&gt;=12,"Alto",IF(H9&gt;=5,"Moderado","Baixo")))</f>
        <v>Moderado</v>
      </c>
      <c r="J9" s="11" t="s">
        <v>525</v>
      </c>
      <c r="K9" s="12" t="s">
        <v>554</v>
      </c>
      <c r="L9" s="10" t="s">
        <v>555</v>
      </c>
      <c r="M9" s="11" t="s">
        <v>556</v>
      </c>
    </row>
    <row r="10" customFormat="false" ht="23.85" hidden="false" customHeight="false" outlineLevel="0" collapsed="false">
      <c r="A10" s="10" t="s">
        <v>557</v>
      </c>
      <c r="B10" s="10" t="s">
        <v>315</v>
      </c>
      <c r="C10" s="10" t="s">
        <v>211</v>
      </c>
      <c r="D10" s="12" t="s">
        <v>558</v>
      </c>
      <c r="E10" s="10" t="s">
        <v>538</v>
      </c>
      <c r="F10" s="11" t="n">
        <v>3</v>
      </c>
      <c r="G10" s="11" t="n">
        <v>3</v>
      </c>
      <c r="H10" s="15" t="n">
        <f aca="false">F10*G10</f>
        <v>9</v>
      </c>
      <c r="I10" s="15" t="str">
        <f aca="false">IF(H10&gt;=20,"Extremo",IF(H10&gt;=12,"Alto",IF(H10&gt;=5,"Moderado","Baixo")))</f>
        <v>Moderado</v>
      </c>
      <c r="J10" s="11" t="s">
        <v>525</v>
      </c>
      <c r="K10" s="12" t="s">
        <v>559</v>
      </c>
      <c r="L10" s="10" t="s">
        <v>551</v>
      </c>
      <c r="M10" s="11" t="s">
        <v>556</v>
      </c>
    </row>
  </sheetData>
  <autoFilter ref="A1:M1"/>
  <dataValidations count="4">
    <dataValidation allowBlank="true" errorStyle="stop" operator="between" showDropDown="false" showErrorMessage="false" showInputMessage="false" sqref="B2:B300" type="list">
      <formula1>Listas!$G$2:$G$5</formula1>
      <formula2>0</formula2>
    </dataValidation>
    <dataValidation allowBlank="true" errorStyle="stop" operator="between" showDropDown="false" showErrorMessage="false" showInputMessage="false" sqref="E2:E300" type="list">
      <formula1>Listas!$J$2:$J$7</formula1>
      <formula2>0</formula2>
    </dataValidation>
    <dataValidation allowBlank="true" errorStyle="stop" operator="between" showDropDown="false" showErrorMessage="false" showInputMessage="false" sqref="J2:J300" type="list">
      <formula1>Listas!$K$2:$K$5</formula1>
      <formula2>0</formula2>
    </dataValidation>
    <dataValidation allowBlank="true" errorStyle="stop" operator="between" showDropDown="false" showErrorMessage="false" showInputMessage="false" sqref="M2:M300" type="list">
      <formula1>Listas!$L$2:$L$4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5"/>
    <col collapsed="false" customWidth="true" hidden="false" outlineLevel="0" max="3" min="3" style="0" width="14"/>
    <col collapsed="false" customWidth="true" hidden="false" outlineLevel="0" max="4" min="4" style="0" width="40"/>
    <col collapsed="false" customWidth="true" hidden="false" outlineLevel="0" max="5" min="5" style="0" width="46"/>
    <col collapsed="false" customWidth="true" hidden="false" outlineLevel="0" max="6" min="6" style="0" width="9"/>
    <col collapsed="false" customWidth="true" hidden="false" outlineLevel="0" max="7" min="7" style="0" width="14"/>
    <col collapsed="false" customWidth="true" hidden="false" outlineLevel="0" max="8" min="8" style="0" width="8"/>
    <col collapsed="false" customWidth="true" hidden="false" outlineLevel="0" max="9" min="9" style="0" width="12"/>
    <col collapsed="false" customWidth="true" hidden="false" outlineLevel="0" max="10" min="10" style="0" width="15"/>
    <col collapsed="false" customWidth="true" hidden="false" outlineLevel="0" max="11" min="11" style="0" width="13"/>
    <col collapsed="false" customWidth="true" hidden="false" outlineLevel="0" max="12" min="12" style="0" width="24"/>
    <col collapsed="false" customWidth="true" hidden="false" outlineLevel="0" max="13" min="13" style="0" width="13"/>
  </cols>
  <sheetData>
    <row r="1" customFormat="false" ht="30" hidden="false" customHeight="true" outlineLevel="0" collapsed="false">
      <c r="A1" s="9" t="s">
        <v>441</v>
      </c>
      <c r="B1" s="9" t="s">
        <v>442</v>
      </c>
      <c r="C1" s="9" t="s">
        <v>443</v>
      </c>
      <c r="D1" s="9" t="s">
        <v>69</v>
      </c>
      <c r="E1" s="9" t="s">
        <v>560</v>
      </c>
      <c r="F1" s="9" t="s">
        <v>561</v>
      </c>
      <c r="G1" s="9" t="s">
        <v>562</v>
      </c>
      <c r="H1" s="9" t="s">
        <v>563</v>
      </c>
      <c r="I1" s="9" t="s">
        <v>564</v>
      </c>
      <c r="J1" s="9" t="s">
        <v>448</v>
      </c>
      <c r="K1" s="9" t="s">
        <v>565</v>
      </c>
      <c r="L1" s="9" t="s">
        <v>566</v>
      </c>
      <c r="M1" s="9" t="s">
        <v>567</v>
      </c>
    </row>
    <row r="2" customFormat="false" ht="23.85" hidden="false" customHeight="false" outlineLevel="0" collapsed="false">
      <c r="A2" s="10" t="s">
        <v>568</v>
      </c>
      <c r="B2" s="10" t="s">
        <v>183</v>
      </c>
      <c r="C2" s="10" t="s">
        <v>145</v>
      </c>
      <c r="D2" s="12" t="s">
        <v>569</v>
      </c>
      <c r="E2" s="12" t="s">
        <v>570</v>
      </c>
      <c r="F2" s="11" t="s">
        <v>571</v>
      </c>
      <c r="G2" s="11" t="s">
        <v>572</v>
      </c>
      <c r="H2" s="11" t="n">
        <v>120</v>
      </c>
      <c r="I2" s="11" t="n">
        <v>148</v>
      </c>
      <c r="J2" s="15" t="str">
        <f aca="false">IF(I2="","Sem medição",IF(G2="Maior melhor",IF(I2&gt;=H2,"Meta atingida","Abaixo da meta"),IF(I2&lt;=H2,"Meta atingida","Acima da meta")))</f>
        <v>Acima da meta</v>
      </c>
      <c r="K2" s="11" t="s">
        <v>573</v>
      </c>
      <c r="L2" s="12" t="s">
        <v>342</v>
      </c>
      <c r="M2" s="14" t="n">
        <v>46203</v>
      </c>
    </row>
    <row r="3" customFormat="false" ht="15" hidden="false" customHeight="false" outlineLevel="0" collapsed="false">
      <c r="A3" s="10" t="s">
        <v>574</v>
      </c>
      <c r="B3" s="10" t="s">
        <v>315</v>
      </c>
      <c r="C3" s="10" t="s">
        <v>211</v>
      </c>
      <c r="D3" s="12" t="s">
        <v>575</v>
      </c>
      <c r="E3" s="12" t="s">
        <v>576</v>
      </c>
      <c r="F3" s="11" t="s">
        <v>571</v>
      </c>
      <c r="G3" s="11" t="s">
        <v>572</v>
      </c>
      <c r="H3" s="11" t="n">
        <v>30</v>
      </c>
      <c r="I3" s="11" t="n">
        <v>26</v>
      </c>
      <c r="J3" s="15" t="str">
        <f aca="false">IF(I3="","Sem medição",IF(G3="Maior melhor",IF(I3&gt;=H3,"Meta atingida","Abaixo da meta"),IF(I3&lt;=H3,"Meta atingida","Acima da meta")))</f>
        <v>Meta atingida</v>
      </c>
      <c r="K3" s="11" t="s">
        <v>577</v>
      </c>
      <c r="L3" s="12" t="s">
        <v>328</v>
      </c>
      <c r="M3" s="14" t="n">
        <v>46203</v>
      </c>
    </row>
    <row r="4" customFormat="false" ht="23.85" hidden="false" customHeight="false" outlineLevel="0" collapsed="false">
      <c r="A4" s="10" t="s">
        <v>578</v>
      </c>
      <c r="B4" s="10" t="s">
        <v>315</v>
      </c>
      <c r="C4" s="10" t="s">
        <v>230</v>
      </c>
      <c r="D4" s="12" t="s">
        <v>579</v>
      </c>
      <c r="E4" s="12" t="s">
        <v>580</v>
      </c>
      <c r="F4" s="11" t="s">
        <v>581</v>
      </c>
      <c r="G4" s="11" t="s">
        <v>572</v>
      </c>
      <c r="H4" s="11" t="n">
        <v>1</v>
      </c>
      <c r="I4" s="11" t="n">
        <v>0.8</v>
      </c>
      <c r="J4" s="15" t="str">
        <f aca="false">IF(I4="","Sem medição",IF(G4="Maior melhor",IF(I4&gt;=H4,"Meta atingida","Abaixo da meta"),IF(I4&lt;=H4,"Meta atingida","Acima da meta")))</f>
        <v>Meta atingida</v>
      </c>
      <c r="K4" s="11" t="s">
        <v>573</v>
      </c>
      <c r="L4" s="12" t="s">
        <v>342</v>
      </c>
      <c r="M4" s="14" t="n">
        <v>46203</v>
      </c>
    </row>
    <row r="5" customFormat="false" ht="23.85" hidden="false" customHeight="false" outlineLevel="0" collapsed="false">
      <c r="A5" s="10" t="s">
        <v>582</v>
      </c>
      <c r="B5" s="10" t="s">
        <v>315</v>
      </c>
      <c r="C5" s="10" t="s">
        <v>248</v>
      </c>
      <c r="D5" s="12" t="s">
        <v>583</v>
      </c>
      <c r="E5" s="12" t="s">
        <v>584</v>
      </c>
      <c r="F5" s="11" t="s">
        <v>585</v>
      </c>
      <c r="G5" s="11" t="s">
        <v>586</v>
      </c>
      <c r="H5" s="11" t="n">
        <v>100</v>
      </c>
      <c r="I5" s="11" t="n">
        <v>92</v>
      </c>
      <c r="J5" s="15" t="str">
        <f aca="false">IF(I5="","Sem medição",IF(G5="Maior melhor",IF(I5&gt;=H5,"Meta atingida","Abaixo da meta"),IF(I5&lt;=H5,"Meta atingida","Acima da meta")))</f>
        <v>Abaixo da meta</v>
      </c>
      <c r="K5" s="11" t="s">
        <v>577</v>
      </c>
      <c r="L5" s="12" t="s">
        <v>328</v>
      </c>
      <c r="M5" s="14" t="n">
        <v>46203</v>
      </c>
    </row>
    <row r="6" customFormat="false" ht="23.85" hidden="false" customHeight="false" outlineLevel="0" collapsed="false">
      <c r="A6" s="10" t="s">
        <v>587</v>
      </c>
      <c r="B6" s="10" t="s">
        <v>315</v>
      </c>
      <c r="C6" s="10" t="s">
        <v>261</v>
      </c>
      <c r="D6" s="12" t="s">
        <v>588</v>
      </c>
      <c r="E6" s="12" t="s">
        <v>589</v>
      </c>
      <c r="F6" s="11" t="s">
        <v>585</v>
      </c>
      <c r="G6" s="11" t="s">
        <v>586</v>
      </c>
      <c r="H6" s="11" t="n">
        <v>75</v>
      </c>
      <c r="I6" s="11" t="n">
        <v>71</v>
      </c>
      <c r="J6" s="15" t="str">
        <f aca="false">IF(I6="","Sem medição",IF(G6="Maior melhor",IF(I6&gt;=H6,"Meta atingida","Abaixo da meta"),IF(I6&lt;=H6,"Meta atingida","Acima da meta")))</f>
        <v>Abaixo da meta</v>
      </c>
      <c r="K6" s="11" t="s">
        <v>577</v>
      </c>
      <c r="L6" s="12" t="s">
        <v>349</v>
      </c>
      <c r="M6" s="14" t="n">
        <v>46203</v>
      </c>
    </row>
    <row r="7" customFormat="false" ht="23.85" hidden="false" customHeight="false" outlineLevel="0" collapsed="false">
      <c r="A7" s="10" t="s">
        <v>590</v>
      </c>
      <c r="B7" s="10" t="s">
        <v>183</v>
      </c>
      <c r="C7" s="10" t="s">
        <v>145</v>
      </c>
      <c r="D7" s="12" t="s">
        <v>591</v>
      </c>
      <c r="E7" s="12" t="s">
        <v>592</v>
      </c>
      <c r="F7" s="11" t="s">
        <v>585</v>
      </c>
      <c r="G7" s="11" t="s">
        <v>586</v>
      </c>
      <c r="H7" s="11" t="n">
        <v>100</v>
      </c>
      <c r="I7" s="11" t="n">
        <v>33</v>
      </c>
      <c r="J7" s="15" t="str">
        <f aca="false">IF(I7="","Sem medição",IF(G7="Maior melhor",IF(I7&gt;=H7,"Meta atingida","Abaixo da meta"),IF(I7&lt;=H7,"Meta atingida","Acima da meta")))</f>
        <v>Abaixo da meta</v>
      </c>
      <c r="K7" s="11" t="s">
        <v>573</v>
      </c>
      <c r="L7" s="12" t="s">
        <v>593</v>
      </c>
      <c r="M7" s="14" t="n">
        <v>46203</v>
      </c>
    </row>
    <row r="8" customFormat="false" ht="15" hidden="false" customHeight="false" outlineLevel="0" collapsed="false">
      <c r="A8" s="10" t="s">
        <v>594</v>
      </c>
      <c r="B8" s="10" t="s">
        <v>315</v>
      </c>
      <c r="C8" s="10" t="s">
        <v>288</v>
      </c>
      <c r="D8" s="12" t="s">
        <v>595</v>
      </c>
      <c r="E8" s="12" t="s">
        <v>596</v>
      </c>
      <c r="F8" s="11" t="s">
        <v>585</v>
      </c>
      <c r="G8" s="11" t="s">
        <v>586</v>
      </c>
      <c r="H8" s="11" t="n">
        <v>95</v>
      </c>
      <c r="I8" s="11" t="n">
        <v>97</v>
      </c>
      <c r="J8" s="15" t="str">
        <f aca="false">IF(I8="","Sem medição",IF(G8="Maior melhor",IF(I8&gt;=H8,"Meta atingida","Abaixo da meta"),IF(I8&lt;=H8,"Meta atingida","Acima da meta")))</f>
        <v>Meta atingida</v>
      </c>
      <c r="K8" s="11" t="s">
        <v>573</v>
      </c>
      <c r="L8" s="12" t="s">
        <v>597</v>
      </c>
      <c r="M8" s="14" t="n">
        <v>46203</v>
      </c>
    </row>
    <row r="9" customFormat="false" ht="23.85" hidden="false" customHeight="false" outlineLevel="0" collapsed="false">
      <c r="A9" s="10" t="s">
        <v>598</v>
      </c>
      <c r="B9" s="10" t="s">
        <v>351</v>
      </c>
      <c r="C9" s="10" t="s">
        <v>330</v>
      </c>
      <c r="D9" s="12" t="s">
        <v>599</v>
      </c>
      <c r="E9" s="12" t="s">
        <v>600</v>
      </c>
      <c r="F9" s="11" t="s">
        <v>585</v>
      </c>
      <c r="G9" s="11" t="s">
        <v>586</v>
      </c>
      <c r="H9" s="11" t="n">
        <v>100</v>
      </c>
      <c r="I9" s="11" t="n">
        <v>88</v>
      </c>
      <c r="J9" s="15" t="str">
        <f aca="false">IF(I9="","Sem medição",IF(G9="Maior melhor",IF(I9&gt;=H9,"Meta atingida","Abaixo da meta"),IF(I9&lt;=H9,"Meta atingida","Acima da meta")))</f>
        <v>Abaixo da meta</v>
      </c>
      <c r="K9" s="11" t="s">
        <v>577</v>
      </c>
      <c r="L9" s="12" t="s">
        <v>328</v>
      </c>
      <c r="M9" s="14" t="n">
        <v>46203</v>
      </c>
    </row>
    <row r="10" customFormat="false" ht="23.85" hidden="false" customHeight="false" outlineLevel="0" collapsed="false">
      <c r="A10" s="10" t="s">
        <v>601</v>
      </c>
      <c r="B10" s="10" t="s">
        <v>183</v>
      </c>
      <c r="C10" s="10" t="s">
        <v>133</v>
      </c>
      <c r="D10" s="12" t="s">
        <v>602</v>
      </c>
      <c r="E10" s="12" t="s">
        <v>603</v>
      </c>
      <c r="F10" s="11" t="s">
        <v>581</v>
      </c>
      <c r="G10" s="11" t="s">
        <v>586</v>
      </c>
      <c r="H10" s="11" t="n">
        <v>120</v>
      </c>
      <c r="I10" s="11"/>
      <c r="J10" s="15" t="str">
        <f aca="false">IF(I10="","Sem medição",IF(G10="Maior melhor",IF(I10&gt;=H10,"Meta atingida","Abaixo da meta"),IF(I10&lt;=H10,"Meta atingida","Acima da meta")))</f>
        <v>Sem medição</v>
      </c>
      <c r="K10" s="11" t="s">
        <v>604</v>
      </c>
      <c r="L10" s="12" t="s">
        <v>605</v>
      </c>
      <c r="M10" s="14"/>
    </row>
  </sheetData>
  <autoFilter ref="A1:M1"/>
  <dataValidations count="3">
    <dataValidation allowBlank="true" errorStyle="stop" operator="between" showDropDown="false" showErrorMessage="false" showInputMessage="false" sqref="B2:B300" type="list">
      <formula1>Listas!$G$2:$G$5</formula1>
      <formula2>0</formula2>
    </dataValidation>
    <dataValidation allowBlank="true" errorStyle="stop" operator="between" showDropDown="false" showErrorMessage="false" showInputMessage="false" sqref="G2:G300" type="list">
      <formula1>Listas!$M$2:$M$3</formula1>
      <formula2>0</formula2>
    </dataValidation>
    <dataValidation allowBlank="true" errorStyle="stop" operator="between" showDropDown="false" showErrorMessage="false" showInputMessage="false" sqref="K2:K300" type="list">
      <formula1>Listas!$N$2:$N$6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4" min="3" style="0" width="12"/>
    <col collapsed="false" customWidth="true" hidden="false" outlineLevel="0" max="5" min="5" style="0" width="36"/>
    <col collapsed="false" customWidth="true" hidden="false" outlineLevel="0" max="6" min="6" style="0" width="50"/>
    <col collapsed="false" customWidth="true" hidden="false" outlineLevel="0" max="7" min="7" style="0" width="20"/>
    <col collapsed="false" customWidth="true" hidden="false" outlineLevel="0" max="8" min="8" style="0" width="36"/>
    <col collapsed="false" customWidth="true" hidden="false" outlineLevel="0" max="9" min="9" style="0" width="34"/>
    <col collapsed="false" customWidth="true" hidden="false" outlineLevel="0" max="10" min="10" style="0" width="36"/>
    <col collapsed="false" customWidth="true" hidden="false" outlineLevel="0" max="11" min="11" style="0" width="46"/>
    <col collapsed="false" customWidth="true" hidden="false" outlineLevel="0" max="12" min="12" style="0" width="44"/>
  </cols>
  <sheetData>
    <row r="1" customFormat="false" ht="30" hidden="false" customHeight="true" outlineLevel="0" collapsed="false">
      <c r="A1" s="9" t="s">
        <v>441</v>
      </c>
      <c r="B1" s="9" t="s">
        <v>315</v>
      </c>
      <c r="C1" s="9" t="s">
        <v>447</v>
      </c>
      <c r="D1" s="9" t="s">
        <v>606</v>
      </c>
      <c r="E1" s="9" t="s">
        <v>445</v>
      </c>
      <c r="F1" s="9" t="s">
        <v>72</v>
      </c>
      <c r="G1" s="9" t="s">
        <v>607</v>
      </c>
      <c r="H1" s="9" t="s">
        <v>608</v>
      </c>
      <c r="I1" s="9" t="s">
        <v>609</v>
      </c>
      <c r="J1" s="9" t="s">
        <v>610</v>
      </c>
      <c r="K1" s="9" t="s">
        <v>611</v>
      </c>
      <c r="L1" s="9" t="s">
        <v>612</v>
      </c>
    </row>
    <row r="2" customFormat="false" ht="35.05" hidden="false" customHeight="false" outlineLevel="0" collapsed="false">
      <c r="A2" s="10" t="s">
        <v>613</v>
      </c>
      <c r="B2" s="10" t="s">
        <v>211</v>
      </c>
      <c r="C2" s="14" t="n">
        <v>46027</v>
      </c>
      <c r="D2" s="11" t="s">
        <v>614</v>
      </c>
      <c r="E2" s="12" t="s">
        <v>615</v>
      </c>
      <c r="F2" s="12" t="s">
        <v>616</v>
      </c>
      <c r="G2" s="10" t="s">
        <v>551</v>
      </c>
      <c r="H2" s="12" t="s">
        <v>617</v>
      </c>
      <c r="I2" s="12" t="s">
        <v>618</v>
      </c>
      <c r="J2" s="12" t="s">
        <v>619</v>
      </c>
      <c r="K2" s="12" t="s">
        <v>620</v>
      </c>
      <c r="L2" s="12" t="s">
        <v>621</v>
      </c>
    </row>
    <row r="3" customFormat="false" ht="23.85" hidden="false" customHeight="false" outlineLevel="0" collapsed="false">
      <c r="A3" s="10" t="s">
        <v>622</v>
      </c>
      <c r="B3" s="10" t="s">
        <v>211</v>
      </c>
      <c r="C3" s="14" t="n">
        <v>46034</v>
      </c>
      <c r="D3" s="11" t="s">
        <v>623</v>
      </c>
      <c r="E3" s="12" t="s">
        <v>624</v>
      </c>
      <c r="F3" s="12" t="s">
        <v>625</v>
      </c>
      <c r="G3" s="10" t="s">
        <v>555</v>
      </c>
      <c r="H3" s="12" t="s">
        <v>626</v>
      </c>
      <c r="I3" s="12" t="s">
        <v>627</v>
      </c>
      <c r="J3" s="12" t="s">
        <v>628</v>
      </c>
      <c r="K3" s="12" t="s">
        <v>629</v>
      </c>
      <c r="L3" s="12" t="s">
        <v>630</v>
      </c>
    </row>
    <row r="4" customFormat="false" ht="35.05" hidden="false" customHeight="false" outlineLevel="0" collapsed="false">
      <c r="A4" s="10" t="s">
        <v>631</v>
      </c>
      <c r="B4" s="10" t="s">
        <v>211</v>
      </c>
      <c r="C4" s="14" t="n">
        <v>46048</v>
      </c>
      <c r="D4" s="11" t="s">
        <v>632</v>
      </c>
      <c r="E4" s="12" t="s">
        <v>633</v>
      </c>
      <c r="F4" s="12" t="s">
        <v>634</v>
      </c>
      <c r="G4" s="10" t="s">
        <v>555</v>
      </c>
      <c r="H4" s="12" t="s">
        <v>366</v>
      </c>
      <c r="I4" s="12" t="s">
        <v>635</v>
      </c>
      <c r="J4" s="12" t="s">
        <v>636</v>
      </c>
      <c r="K4" s="12" t="s">
        <v>637</v>
      </c>
      <c r="L4" s="12"/>
    </row>
    <row r="5" customFormat="false" ht="23.85" hidden="false" customHeight="false" outlineLevel="0" collapsed="false">
      <c r="A5" s="10" t="s">
        <v>638</v>
      </c>
      <c r="B5" s="10" t="s">
        <v>211</v>
      </c>
      <c r="C5" s="14" t="n">
        <v>46062</v>
      </c>
      <c r="D5" s="11" t="s">
        <v>639</v>
      </c>
      <c r="E5" s="12" t="s">
        <v>640</v>
      </c>
      <c r="F5" s="12" t="s">
        <v>641</v>
      </c>
      <c r="G5" s="10" t="s">
        <v>547</v>
      </c>
      <c r="H5" s="12" t="s">
        <v>642</v>
      </c>
      <c r="I5" s="12" t="s">
        <v>643</v>
      </c>
      <c r="J5" s="12" t="s">
        <v>644</v>
      </c>
      <c r="K5" s="12" t="s">
        <v>645</v>
      </c>
      <c r="L5" s="12" t="s">
        <v>646</v>
      </c>
    </row>
    <row r="6" customFormat="false" ht="35.05" hidden="false" customHeight="false" outlineLevel="0" collapsed="false">
      <c r="A6" s="10" t="s">
        <v>647</v>
      </c>
      <c r="B6" s="10" t="s">
        <v>211</v>
      </c>
      <c r="C6" s="14" t="n">
        <v>46083</v>
      </c>
      <c r="D6" s="11" t="s">
        <v>648</v>
      </c>
      <c r="E6" s="12" t="s">
        <v>649</v>
      </c>
      <c r="F6" s="12" t="s">
        <v>650</v>
      </c>
      <c r="G6" s="10" t="s">
        <v>555</v>
      </c>
      <c r="H6" s="12" t="s">
        <v>651</v>
      </c>
      <c r="I6" s="12" t="s">
        <v>652</v>
      </c>
      <c r="J6" s="12" t="s">
        <v>653</v>
      </c>
      <c r="K6" s="12" t="s">
        <v>654</v>
      </c>
      <c r="L6" s="12"/>
    </row>
    <row r="7" customFormat="false" ht="35.05" hidden="false" customHeight="false" outlineLevel="0" collapsed="false">
      <c r="A7" s="10" t="s">
        <v>655</v>
      </c>
      <c r="B7" s="10" t="s">
        <v>211</v>
      </c>
      <c r="C7" s="14" t="n">
        <v>46097</v>
      </c>
      <c r="D7" s="11" t="s">
        <v>656</v>
      </c>
      <c r="E7" s="12" t="s">
        <v>657</v>
      </c>
      <c r="F7" s="12" t="s">
        <v>658</v>
      </c>
      <c r="G7" s="10" t="s">
        <v>551</v>
      </c>
      <c r="H7" s="12" t="s">
        <v>659</v>
      </c>
      <c r="I7" s="12" t="s">
        <v>660</v>
      </c>
      <c r="J7" s="12" t="s">
        <v>661</v>
      </c>
      <c r="K7" s="12" t="s">
        <v>662</v>
      </c>
      <c r="L7" s="12" t="s">
        <v>663</v>
      </c>
    </row>
    <row r="8" customFormat="false" ht="35.05" hidden="false" customHeight="false" outlineLevel="0" collapsed="false">
      <c r="A8" s="10" t="s">
        <v>664</v>
      </c>
      <c r="B8" s="10" t="s">
        <v>211</v>
      </c>
      <c r="C8" s="14" t="n">
        <v>46125</v>
      </c>
      <c r="D8" s="11" t="s">
        <v>665</v>
      </c>
      <c r="E8" s="12" t="s">
        <v>666</v>
      </c>
      <c r="F8" s="12" t="s">
        <v>667</v>
      </c>
      <c r="G8" s="10" t="s">
        <v>547</v>
      </c>
      <c r="H8" s="12" t="s">
        <v>668</v>
      </c>
      <c r="I8" s="12" t="s">
        <v>669</v>
      </c>
      <c r="J8" s="12" t="s">
        <v>670</v>
      </c>
      <c r="K8" s="12" t="s">
        <v>671</v>
      </c>
      <c r="L8" s="12"/>
    </row>
    <row r="9" customFormat="false" ht="35.05" hidden="false" customHeight="false" outlineLevel="0" collapsed="false">
      <c r="A9" s="10" t="s">
        <v>672</v>
      </c>
      <c r="B9" s="10" t="s">
        <v>211</v>
      </c>
      <c r="C9" s="14" t="n">
        <v>46146</v>
      </c>
      <c r="D9" s="11" t="s">
        <v>648</v>
      </c>
      <c r="E9" s="12" t="s">
        <v>673</v>
      </c>
      <c r="F9" s="12" t="s">
        <v>674</v>
      </c>
      <c r="G9" s="10" t="s">
        <v>555</v>
      </c>
      <c r="H9" s="12" t="s">
        <v>675</v>
      </c>
      <c r="I9" s="12" t="s">
        <v>676</v>
      </c>
      <c r="J9" s="12" t="s">
        <v>677</v>
      </c>
      <c r="K9" s="12" t="s">
        <v>678</v>
      </c>
      <c r="L9" s="12"/>
    </row>
    <row r="10" customFormat="false" ht="35.05" hidden="false" customHeight="false" outlineLevel="0" collapsed="false">
      <c r="A10" s="10" t="s">
        <v>679</v>
      </c>
      <c r="B10" s="10" t="s">
        <v>211</v>
      </c>
      <c r="C10" s="14" t="n">
        <v>46160</v>
      </c>
      <c r="D10" s="11" t="s">
        <v>614</v>
      </c>
      <c r="E10" s="12" t="s">
        <v>680</v>
      </c>
      <c r="F10" s="12" t="s">
        <v>681</v>
      </c>
      <c r="G10" s="10" t="s">
        <v>551</v>
      </c>
      <c r="H10" s="12" t="s">
        <v>682</v>
      </c>
      <c r="I10" s="12" t="s">
        <v>683</v>
      </c>
      <c r="J10" s="12" t="s">
        <v>684</v>
      </c>
      <c r="K10" s="12" t="s">
        <v>685</v>
      </c>
      <c r="L10" s="12" t="s">
        <v>686</v>
      </c>
    </row>
    <row r="11" customFormat="false" ht="35.05" hidden="false" customHeight="false" outlineLevel="0" collapsed="false">
      <c r="A11" s="10" t="s">
        <v>687</v>
      </c>
      <c r="B11" s="10" t="s">
        <v>211</v>
      </c>
      <c r="C11" s="14" t="n">
        <v>46188</v>
      </c>
      <c r="D11" s="11" t="s">
        <v>623</v>
      </c>
      <c r="E11" s="12" t="s">
        <v>688</v>
      </c>
      <c r="F11" s="12" t="s">
        <v>689</v>
      </c>
      <c r="G11" s="10" t="s">
        <v>690</v>
      </c>
      <c r="H11" s="12" t="s">
        <v>691</v>
      </c>
      <c r="I11" s="12" t="s">
        <v>692</v>
      </c>
      <c r="J11" s="12" t="s">
        <v>693</v>
      </c>
      <c r="K11" s="12" t="s">
        <v>694</v>
      </c>
      <c r="L11" s="12"/>
    </row>
    <row r="12" customFormat="false" ht="23.85" hidden="false" customHeight="false" outlineLevel="0" collapsed="false">
      <c r="A12" s="10" t="s">
        <v>695</v>
      </c>
      <c r="B12" s="10" t="s">
        <v>230</v>
      </c>
      <c r="C12" s="14" t="n">
        <v>46175</v>
      </c>
      <c r="D12" s="11" t="s">
        <v>623</v>
      </c>
      <c r="E12" s="12" t="s">
        <v>696</v>
      </c>
      <c r="F12" s="12" t="s">
        <v>697</v>
      </c>
      <c r="G12" s="10" t="s">
        <v>555</v>
      </c>
      <c r="H12" s="12" t="s">
        <v>642</v>
      </c>
      <c r="I12" s="12" t="s">
        <v>627</v>
      </c>
      <c r="J12" s="12" t="s">
        <v>698</v>
      </c>
      <c r="K12" s="12" t="s">
        <v>699</v>
      </c>
      <c r="L12" s="12"/>
    </row>
    <row r="13" customFormat="false" ht="23.85" hidden="false" customHeight="false" outlineLevel="0" collapsed="false">
      <c r="A13" s="10" t="s">
        <v>700</v>
      </c>
      <c r="B13" s="10" t="s">
        <v>230</v>
      </c>
      <c r="C13" s="14" t="n">
        <v>46203</v>
      </c>
      <c r="D13" s="11" t="s">
        <v>639</v>
      </c>
      <c r="E13" s="12" t="s">
        <v>701</v>
      </c>
      <c r="F13" s="12" t="s">
        <v>702</v>
      </c>
      <c r="G13" s="10" t="s">
        <v>547</v>
      </c>
      <c r="H13" s="12" t="s">
        <v>703</v>
      </c>
      <c r="I13" s="12" t="s">
        <v>704</v>
      </c>
      <c r="J13" s="12" t="s">
        <v>705</v>
      </c>
      <c r="K13" s="12" t="s">
        <v>706</v>
      </c>
      <c r="L13" s="12" t="s">
        <v>707</v>
      </c>
    </row>
    <row r="14" customFormat="false" ht="23.85" hidden="false" customHeight="false" outlineLevel="0" collapsed="false">
      <c r="A14" s="10" t="s">
        <v>708</v>
      </c>
      <c r="B14" s="10" t="s">
        <v>261</v>
      </c>
      <c r="C14" s="14" t="n">
        <v>46213</v>
      </c>
      <c r="D14" s="11" t="s">
        <v>632</v>
      </c>
      <c r="E14" s="12" t="s">
        <v>709</v>
      </c>
      <c r="F14" s="12" t="s">
        <v>710</v>
      </c>
      <c r="G14" s="10" t="s">
        <v>711</v>
      </c>
      <c r="H14" s="12" t="s">
        <v>712</v>
      </c>
      <c r="I14" s="12" t="s">
        <v>713</v>
      </c>
      <c r="J14" s="12" t="s">
        <v>636</v>
      </c>
      <c r="K14" s="12" t="s">
        <v>714</v>
      </c>
      <c r="L14" s="12"/>
    </row>
  </sheetData>
  <autoFilter ref="A1:L1"/>
  <dataValidations count="1">
    <dataValidation allowBlank="true" errorStyle="stop" operator="between" showDropDown="false" showErrorMessage="false" showInputMessage="false" sqref="D2:D300" type="list">
      <formula1>Listas!$O$2:$O$9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3"/>
    <col collapsed="false" customWidth="true" hidden="false" outlineLevel="0" max="3" min="3" style="0" width="30"/>
    <col collapsed="false" customWidth="true" hidden="false" outlineLevel="0" max="4" min="4" style="0" width="12"/>
    <col collapsed="false" customWidth="true" hidden="false" outlineLevel="0" max="5" min="5" style="0" width="44"/>
    <col collapsed="false" customWidth="true" hidden="false" outlineLevel="0" max="6" min="6" style="0" width="60"/>
    <col collapsed="false" customWidth="true" hidden="false" outlineLevel="0" max="7" min="7" style="0" width="30"/>
    <col collapsed="false" customWidth="true" hidden="false" outlineLevel="0" max="9" min="8" style="0" width="40"/>
  </cols>
  <sheetData>
    <row r="1" customFormat="false" ht="30" hidden="false" customHeight="true" outlineLevel="0" collapsed="false">
      <c r="A1" s="9" t="s">
        <v>71</v>
      </c>
      <c r="B1" s="9" t="s">
        <v>715</v>
      </c>
      <c r="C1" s="9" t="s">
        <v>69</v>
      </c>
      <c r="D1" s="9" t="s">
        <v>716</v>
      </c>
      <c r="E1" s="9" t="s">
        <v>73</v>
      </c>
      <c r="F1" s="9" t="s">
        <v>717</v>
      </c>
      <c r="G1" s="9" t="s">
        <v>718</v>
      </c>
      <c r="H1" s="9" t="s">
        <v>719</v>
      </c>
      <c r="I1" s="9" t="s">
        <v>720</v>
      </c>
    </row>
    <row r="2" customFormat="false" ht="46.25" hidden="false" customHeight="false" outlineLevel="0" collapsed="false">
      <c r="A2" s="11" t="n">
        <v>1</v>
      </c>
      <c r="B2" s="10" t="s">
        <v>721</v>
      </c>
      <c r="C2" s="10" t="s">
        <v>722</v>
      </c>
      <c r="D2" s="10" t="s">
        <v>723</v>
      </c>
      <c r="E2" s="12" t="s">
        <v>724</v>
      </c>
      <c r="F2" s="12" t="s">
        <v>725</v>
      </c>
      <c r="G2" s="12" t="s">
        <v>726</v>
      </c>
      <c r="H2" s="12" t="s">
        <v>727</v>
      </c>
      <c r="I2" s="12" t="s">
        <v>728</v>
      </c>
    </row>
    <row r="3" customFormat="false" ht="46.25" hidden="false" customHeight="false" outlineLevel="0" collapsed="false">
      <c r="A3" s="11" t="n">
        <v>2</v>
      </c>
      <c r="B3" s="10" t="s">
        <v>729</v>
      </c>
      <c r="C3" s="10" t="s">
        <v>730</v>
      </c>
      <c r="D3" s="10" t="s">
        <v>731</v>
      </c>
      <c r="E3" s="12" t="s">
        <v>732</v>
      </c>
      <c r="F3" s="12" t="s">
        <v>733</v>
      </c>
      <c r="G3" s="12" t="s">
        <v>734</v>
      </c>
      <c r="H3" s="12" t="s">
        <v>735</v>
      </c>
      <c r="I3" s="12" t="s">
        <v>736</v>
      </c>
    </row>
    <row r="4" customFormat="false" ht="46.25" hidden="false" customHeight="false" outlineLevel="0" collapsed="false">
      <c r="A4" s="11" t="n">
        <v>3</v>
      </c>
      <c r="B4" s="10" t="s">
        <v>737</v>
      </c>
      <c r="C4" s="10" t="s">
        <v>738</v>
      </c>
      <c r="D4" s="10" t="s">
        <v>739</v>
      </c>
      <c r="E4" s="12" t="s">
        <v>740</v>
      </c>
      <c r="F4" s="12" t="s">
        <v>741</v>
      </c>
      <c r="G4" s="12" t="s">
        <v>742</v>
      </c>
      <c r="H4" s="12" t="s">
        <v>743</v>
      </c>
      <c r="I4" s="12" t="s">
        <v>744</v>
      </c>
    </row>
    <row r="5" customFormat="false" ht="23.85" hidden="false" customHeight="false" outlineLevel="0" collapsed="false">
      <c r="A5" s="11" t="n">
        <v>4</v>
      </c>
      <c r="B5" s="10" t="s">
        <v>737</v>
      </c>
      <c r="C5" s="10" t="s">
        <v>745</v>
      </c>
      <c r="D5" s="10" t="s">
        <v>731</v>
      </c>
      <c r="E5" s="12" t="s">
        <v>746</v>
      </c>
      <c r="F5" s="12" t="s">
        <v>747</v>
      </c>
      <c r="G5" s="12" t="s">
        <v>748</v>
      </c>
      <c r="H5" s="12" t="s">
        <v>749</v>
      </c>
      <c r="I5" s="12" t="s">
        <v>750</v>
      </c>
    </row>
    <row r="6" customFormat="false" ht="35.05" hidden="false" customHeight="false" outlineLevel="0" collapsed="false">
      <c r="A6" s="11" t="n">
        <v>5</v>
      </c>
      <c r="B6" s="10" t="s">
        <v>737</v>
      </c>
      <c r="C6" s="10" t="s">
        <v>751</v>
      </c>
      <c r="D6" s="10" t="s">
        <v>739</v>
      </c>
      <c r="E6" s="12" t="s">
        <v>752</v>
      </c>
      <c r="F6" s="12" t="s">
        <v>753</v>
      </c>
      <c r="G6" s="12" t="s">
        <v>754</v>
      </c>
      <c r="H6" s="12" t="s">
        <v>755</v>
      </c>
      <c r="I6" s="12" t="s">
        <v>756</v>
      </c>
    </row>
    <row r="7" customFormat="false" ht="35.05" hidden="false" customHeight="false" outlineLevel="0" collapsed="false">
      <c r="A7" s="11" t="n">
        <v>6</v>
      </c>
      <c r="B7" s="10" t="s">
        <v>757</v>
      </c>
      <c r="C7" s="10" t="s">
        <v>758</v>
      </c>
      <c r="D7" s="10" t="s">
        <v>759</v>
      </c>
      <c r="E7" s="12" t="s">
        <v>760</v>
      </c>
      <c r="F7" s="12" t="s">
        <v>761</v>
      </c>
      <c r="G7" s="12" t="s">
        <v>762</v>
      </c>
      <c r="H7" s="12" t="s">
        <v>763</v>
      </c>
      <c r="I7" s="12" t="s">
        <v>764</v>
      </c>
    </row>
    <row r="8" customFormat="false" ht="35.05" hidden="false" customHeight="false" outlineLevel="0" collapsed="false">
      <c r="A8" s="11" t="n">
        <v>7</v>
      </c>
      <c r="B8" s="10" t="s">
        <v>765</v>
      </c>
      <c r="C8" s="10" t="s">
        <v>766</v>
      </c>
      <c r="D8" s="10" t="s">
        <v>767</v>
      </c>
      <c r="E8" s="12" t="s">
        <v>768</v>
      </c>
      <c r="F8" s="12" t="s">
        <v>769</v>
      </c>
      <c r="G8" s="12" t="s">
        <v>770</v>
      </c>
      <c r="H8" s="12" t="s">
        <v>771</v>
      </c>
      <c r="I8" s="12" t="s">
        <v>772</v>
      </c>
    </row>
    <row r="9" customFormat="false" ht="35.05" hidden="false" customHeight="false" outlineLevel="0" collapsed="false">
      <c r="A9" s="11" t="n">
        <v>8</v>
      </c>
      <c r="B9" s="10" t="s">
        <v>765</v>
      </c>
      <c r="C9" s="10" t="s">
        <v>773</v>
      </c>
      <c r="D9" s="10" t="s">
        <v>767</v>
      </c>
      <c r="E9" s="12" t="s">
        <v>774</v>
      </c>
      <c r="F9" s="12" t="s">
        <v>775</v>
      </c>
      <c r="G9" s="12" t="s">
        <v>776</v>
      </c>
      <c r="H9" s="12" t="s">
        <v>777</v>
      </c>
      <c r="I9" s="12" t="s">
        <v>778</v>
      </c>
    </row>
  </sheetData>
  <autoFilter ref="A1:I1"/>
  <dataValidations count="1">
    <dataValidation allowBlank="true" errorStyle="stop" operator="between" showDropDown="false" showErrorMessage="false" showInputMessage="false" sqref="B2:B300" type="list">
      <formula1>Listas!$P$2:$P$6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15"/>
    <col collapsed="false" customWidth="true" hidden="false" outlineLevel="0" max="4" min="4" style="0" width="12"/>
    <col collapsed="false" customWidth="true" hidden="false" outlineLevel="0" max="5" min="5" style="0" width="42"/>
    <col collapsed="false" customWidth="true" hidden="false" outlineLevel="0" max="6" min="6" style="0" width="56"/>
    <col collapsed="false" customWidth="true" hidden="false" outlineLevel="0" max="7" min="7" style="0" width="12"/>
    <col collapsed="false" customWidth="true" hidden="false" outlineLevel="0" max="8" min="8" style="0" width="50"/>
    <col collapsed="false" customWidth="true" hidden="false" outlineLevel="0" max="9" min="9" style="0" width="7"/>
  </cols>
  <sheetData>
    <row r="1" customFormat="false" ht="30" hidden="false" customHeight="true" outlineLevel="0" collapsed="false">
      <c r="A1" s="9" t="s">
        <v>441</v>
      </c>
      <c r="B1" s="9" t="s">
        <v>70</v>
      </c>
      <c r="C1" s="9" t="s">
        <v>779</v>
      </c>
      <c r="D1" s="9" t="s">
        <v>68</v>
      </c>
      <c r="E1" s="9" t="s">
        <v>445</v>
      </c>
      <c r="F1" s="9" t="s">
        <v>72</v>
      </c>
      <c r="G1" s="9" t="s">
        <v>566</v>
      </c>
      <c r="H1" s="9" t="s">
        <v>449</v>
      </c>
      <c r="I1" s="9" t="s">
        <v>71</v>
      </c>
    </row>
    <row r="2" customFormat="false" ht="46.25" hidden="false" customHeight="false" outlineLevel="0" collapsed="false">
      <c r="A2" s="10" t="s">
        <v>780</v>
      </c>
      <c r="B2" s="10" t="s">
        <v>781</v>
      </c>
      <c r="C2" s="10"/>
      <c r="D2" s="10" t="s">
        <v>782</v>
      </c>
      <c r="E2" s="12" t="s">
        <v>783</v>
      </c>
      <c r="F2" s="12" t="s">
        <v>784</v>
      </c>
      <c r="G2" s="10" t="s">
        <v>785</v>
      </c>
      <c r="H2" s="12" t="s">
        <v>786</v>
      </c>
      <c r="I2" s="11" t="n">
        <v>1</v>
      </c>
    </row>
    <row r="3" customFormat="false" ht="46.25" hidden="false" customHeight="false" outlineLevel="0" collapsed="false">
      <c r="A3" s="10" t="s">
        <v>787</v>
      </c>
      <c r="B3" s="10" t="s">
        <v>781</v>
      </c>
      <c r="C3" s="10"/>
      <c r="D3" s="10" t="s">
        <v>782</v>
      </c>
      <c r="E3" s="12" t="s">
        <v>788</v>
      </c>
      <c r="F3" s="12" t="s">
        <v>789</v>
      </c>
      <c r="G3" s="10" t="s">
        <v>785</v>
      </c>
      <c r="H3" s="12" t="s">
        <v>790</v>
      </c>
      <c r="I3" s="11" t="n">
        <v>2</v>
      </c>
    </row>
    <row r="4" customFormat="false" ht="23.85" hidden="false" customHeight="false" outlineLevel="0" collapsed="false">
      <c r="A4" s="10" t="s">
        <v>791</v>
      </c>
      <c r="B4" s="10" t="s">
        <v>792</v>
      </c>
      <c r="C4" s="10" t="s">
        <v>793</v>
      </c>
      <c r="D4" s="10"/>
      <c r="E4" s="12" t="s">
        <v>794</v>
      </c>
      <c r="F4" s="12" t="s">
        <v>795</v>
      </c>
      <c r="G4" s="10" t="s">
        <v>785</v>
      </c>
      <c r="H4" s="12" t="s">
        <v>796</v>
      </c>
      <c r="I4" s="11" t="n">
        <v>3</v>
      </c>
    </row>
    <row r="5" customFormat="false" ht="23.85" hidden="false" customHeight="false" outlineLevel="0" collapsed="false">
      <c r="A5" s="10" t="s">
        <v>797</v>
      </c>
      <c r="B5" s="10" t="s">
        <v>792</v>
      </c>
      <c r="C5" s="10" t="s">
        <v>793</v>
      </c>
      <c r="D5" s="10"/>
      <c r="E5" s="12" t="s">
        <v>798</v>
      </c>
      <c r="F5" s="12" t="s">
        <v>799</v>
      </c>
      <c r="G5" s="10" t="s">
        <v>785</v>
      </c>
      <c r="H5" s="12" t="s">
        <v>800</v>
      </c>
      <c r="I5" s="11" t="n">
        <v>4</v>
      </c>
    </row>
    <row r="6" customFormat="false" ht="23.85" hidden="false" customHeight="false" outlineLevel="0" collapsed="false">
      <c r="A6" s="10" t="s">
        <v>801</v>
      </c>
      <c r="B6" s="10" t="s">
        <v>792</v>
      </c>
      <c r="C6" s="10" t="s">
        <v>802</v>
      </c>
      <c r="D6" s="10"/>
      <c r="E6" s="12" t="s">
        <v>803</v>
      </c>
      <c r="F6" s="12" t="s">
        <v>804</v>
      </c>
      <c r="G6" s="10" t="s">
        <v>785</v>
      </c>
      <c r="H6" s="12" t="s">
        <v>805</v>
      </c>
      <c r="I6" s="11" t="n">
        <v>5</v>
      </c>
    </row>
    <row r="7" customFormat="false" ht="23.85" hidden="false" customHeight="false" outlineLevel="0" collapsed="false">
      <c r="A7" s="10" t="s">
        <v>806</v>
      </c>
      <c r="B7" s="10" t="s">
        <v>792</v>
      </c>
      <c r="C7" s="10" t="s">
        <v>807</v>
      </c>
      <c r="D7" s="10"/>
      <c r="E7" s="12" t="s">
        <v>808</v>
      </c>
      <c r="F7" s="12" t="s">
        <v>809</v>
      </c>
      <c r="G7" s="10" t="s">
        <v>785</v>
      </c>
      <c r="H7" s="12" t="s">
        <v>810</v>
      </c>
      <c r="I7" s="11" t="n">
        <v>6</v>
      </c>
    </row>
    <row r="8" customFormat="false" ht="23.85" hidden="false" customHeight="false" outlineLevel="0" collapsed="false">
      <c r="A8" s="10" t="s">
        <v>811</v>
      </c>
      <c r="B8" s="10" t="s">
        <v>792</v>
      </c>
      <c r="C8" s="10" t="s">
        <v>802</v>
      </c>
      <c r="D8" s="10"/>
      <c r="E8" s="12" t="s">
        <v>812</v>
      </c>
      <c r="F8" s="12" t="s">
        <v>813</v>
      </c>
      <c r="G8" s="10" t="s">
        <v>785</v>
      </c>
      <c r="H8" s="12" t="s">
        <v>814</v>
      </c>
      <c r="I8" s="11" t="n">
        <v>7</v>
      </c>
    </row>
    <row r="9" customFormat="false" ht="23.85" hidden="false" customHeight="false" outlineLevel="0" collapsed="false">
      <c r="A9" s="10" t="s">
        <v>815</v>
      </c>
      <c r="B9" s="10" t="s">
        <v>792</v>
      </c>
      <c r="C9" s="10" t="s">
        <v>816</v>
      </c>
      <c r="D9" s="10"/>
      <c r="E9" s="12" t="s">
        <v>817</v>
      </c>
      <c r="F9" s="12" t="s">
        <v>818</v>
      </c>
      <c r="G9" s="10" t="s">
        <v>785</v>
      </c>
      <c r="H9" s="12" t="s">
        <v>819</v>
      </c>
      <c r="I9" s="11" t="n">
        <v>8</v>
      </c>
    </row>
    <row r="10" customFormat="false" ht="23.85" hidden="false" customHeight="false" outlineLevel="0" collapsed="false">
      <c r="A10" s="10" t="s">
        <v>820</v>
      </c>
      <c r="B10" s="10" t="s">
        <v>821</v>
      </c>
      <c r="C10" s="10" t="s">
        <v>793</v>
      </c>
      <c r="D10" s="10" t="s">
        <v>822</v>
      </c>
      <c r="E10" s="12" t="s">
        <v>823</v>
      </c>
      <c r="F10" s="12" t="s">
        <v>824</v>
      </c>
      <c r="G10" s="10" t="s">
        <v>825</v>
      </c>
      <c r="H10" s="12" t="s">
        <v>826</v>
      </c>
      <c r="I10" s="11" t="n">
        <v>9</v>
      </c>
    </row>
    <row r="11" customFormat="false" ht="23.85" hidden="false" customHeight="false" outlineLevel="0" collapsed="false">
      <c r="A11" s="10" t="s">
        <v>827</v>
      </c>
      <c r="B11" s="10" t="s">
        <v>821</v>
      </c>
      <c r="C11" s="10" t="s">
        <v>807</v>
      </c>
      <c r="D11" s="10" t="s">
        <v>828</v>
      </c>
      <c r="E11" s="12" t="s">
        <v>829</v>
      </c>
      <c r="F11" s="12" t="s">
        <v>830</v>
      </c>
      <c r="G11" s="10" t="s">
        <v>825</v>
      </c>
      <c r="H11" s="12" t="s">
        <v>831</v>
      </c>
      <c r="I11" s="11" t="n">
        <v>10</v>
      </c>
    </row>
    <row r="12" customFormat="false" ht="23.85" hidden="false" customHeight="false" outlineLevel="0" collapsed="false">
      <c r="A12" s="10" t="s">
        <v>832</v>
      </c>
      <c r="B12" s="10" t="s">
        <v>821</v>
      </c>
      <c r="C12" s="10" t="s">
        <v>802</v>
      </c>
      <c r="D12" s="10" t="s">
        <v>833</v>
      </c>
      <c r="E12" s="12" t="s">
        <v>834</v>
      </c>
      <c r="F12" s="12" t="s">
        <v>835</v>
      </c>
      <c r="G12" s="10" t="s">
        <v>825</v>
      </c>
      <c r="H12" s="12" t="s">
        <v>836</v>
      </c>
      <c r="I12" s="11" t="n">
        <v>11</v>
      </c>
    </row>
    <row r="13" customFormat="false" ht="23.85" hidden="false" customHeight="false" outlineLevel="0" collapsed="false">
      <c r="A13" s="10" t="s">
        <v>837</v>
      </c>
      <c r="B13" s="10" t="s">
        <v>821</v>
      </c>
      <c r="C13" s="10" t="s">
        <v>802</v>
      </c>
      <c r="D13" s="10" t="s">
        <v>838</v>
      </c>
      <c r="E13" s="12" t="s">
        <v>839</v>
      </c>
      <c r="F13" s="12" t="s">
        <v>840</v>
      </c>
      <c r="G13" s="10" t="s">
        <v>66</v>
      </c>
      <c r="H13" s="12" t="s">
        <v>841</v>
      </c>
      <c r="I13" s="11" t="n">
        <v>12</v>
      </c>
    </row>
    <row r="14" customFormat="false" ht="23.85" hidden="false" customHeight="false" outlineLevel="0" collapsed="false">
      <c r="A14" s="10" t="s">
        <v>842</v>
      </c>
      <c r="B14" s="10" t="s">
        <v>821</v>
      </c>
      <c r="C14" s="10" t="s">
        <v>843</v>
      </c>
      <c r="D14" s="10" t="s">
        <v>844</v>
      </c>
      <c r="E14" s="12" t="s">
        <v>845</v>
      </c>
      <c r="F14" s="12" t="s">
        <v>846</v>
      </c>
      <c r="G14" s="10" t="s">
        <v>785</v>
      </c>
      <c r="H14" s="12" t="s">
        <v>847</v>
      </c>
      <c r="I14" s="11" t="n">
        <v>13</v>
      </c>
    </row>
    <row r="15" customFormat="false" ht="23.85" hidden="false" customHeight="false" outlineLevel="0" collapsed="false">
      <c r="A15" s="10" t="s">
        <v>848</v>
      </c>
      <c r="B15" s="10" t="s">
        <v>821</v>
      </c>
      <c r="C15" s="10" t="s">
        <v>807</v>
      </c>
      <c r="D15" s="10" t="s">
        <v>849</v>
      </c>
      <c r="E15" s="12" t="s">
        <v>850</v>
      </c>
      <c r="F15" s="12" t="s">
        <v>851</v>
      </c>
      <c r="G15" s="10" t="s">
        <v>852</v>
      </c>
      <c r="H15" s="12" t="s">
        <v>853</v>
      </c>
      <c r="I15" s="11" t="n">
        <v>14</v>
      </c>
    </row>
    <row r="16" customFormat="false" ht="23.85" hidden="false" customHeight="false" outlineLevel="0" collapsed="false">
      <c r="A16" s="10" t="s">
        <v>854</v>
      </c>
      <c r="B16" s="10" t="s">
        <v>821</v>
      </c>
      <c r="C16" s="10" t="s">
        <v>807</v>
      </c>
      <c r="D16" s="10" t="s">
        <v>855</v>
      </c>
      <c r="E16" s="12" t="s">
        <v>856</v>
      </c>
      <c r="F16" s="12" t="s">
        <v>857</v>
      </c>
      <c r="G16" s="10" t="s">
        <v>825</v>
      </c>
      <c r="H16" s="12" t="s">
        <v>858</v>
      </c>
      <c r="I16" s="11" t="n">
        <v>15</v>
      </c>
    </row>
    <row r="17" customFormat="false" ht="23.85" hidden="false" customHeight="false" outlineLevel="0" collapsed="false">
      <c r="A17" s="10" t="s">
        <v>859</v>
      </c>
      <c r="B17" s="10" t="s">
        <v>821</v>
      </c>
      <c r="C17" s="10" t="s">
        <v>816</v>
      </c>
      <c r="D17" s="10" t="s">
        <v>860</v>
      </c>
      <c r="E17" s="12" t="s">
        <v>861</v>
      </c>
      <c r="F17" s="12" t="s">
        <v>862</v>
      </c>
      <c r="G17" s="10" t="s">
        <v>825</v>
      </c>
      <c r="H17" s="12" t="s">
        <v>863</v>
      </c>
      <c r="I17" s="11" t="n">
        <v>16</v>
      </c>
    </row>
    <row r="18" customFormat="false" ht="23.85" hidden="false" customHeight="false" outlineLevel="0" collapsed="false">
      <c r="A18" s="10" t="s">
        <v>864</v>
      </c>
      <c r="B18" s="10" t="s">
        <v>821</v>
      </c>
      <c r="C18" s="10" t="s">
        <v>865</v>
      </c>
      <c r="D18" s="10" t="s">
        <v>866</v>
      </c>
      <c r="E18" s="12" t="s">
        <v>867</v>
      </c>
      <c r="F18" s="12" t="s">
        <v>868</v>
      </c>
      <c r="G18" s="10" t="s">
        <v>825</v>
      </c>
      <c r="H18" s="12" t="s">
        <v>869</v>
      </c>
      <c r="I18" s="11" t="n">
        <v>17</v>
      </c>
    </row>
    <row r="19" customFormat="false" ht="23.85" hidden="false" customHeight="false" outlineLevel="0" collapsed="false">
      <c r="A19" s="10" t="s">
        <v>870</v>
      </c>
      <c r="B19" s="10" t="s">
        <v>871</v>
      </c>
      <c r="C19" s="10" t="s">
        <v>802</v>
      </c>
      <c r="D19" s="10"/>
      <c r="E19" s="12" t="s">
        <v>872</v>
      </c>
      <c r="F19" s="12" t="s">
        <v>873</v>
      </c>
      <c r="G19" s="10" t="s">
        <v>874</v>
      </c>
      <c r="H19" s="12" t="s">
        <v>875</v>
      </c>
      <c r="I19" s="11" t="n">
        <v>18</v>
      </c>
    </row>
    <row r="20" customFormat="false" ht="23.85" hidden="false" customHeight="false" outlineLevel="0" collapsed="false">
      <c r="A20" s="10" t="s">
        <v>876</v>
      </c>
      <c r="B20" s="10" t="s">
        <v>871</v>
      </c>
      <c r="C20" s="10" t="s">
        <v>802</v>
      </c>
      <c r="D20" s="10"/>
      <c r="E20" s="12" t="s">
        <v>877</v>
      </c>
      <c r="F20" s="12" t="s">
        <v>878</v>
      </c>
      <c r="G20" s="10" t="s">
        <v>879</v>
      </c>
      <c r="H20" s="12" t="s">
        <v>880</v>
      </c>
      <c r="I20" s="11" t="n">
        <v>19</v>
      </c>
    </row>
    <row r="21" customFormat="false" ht="23.85" hidden="false" customHeight="false" outlineLevel="0" collapsed="false">
      <c r="A21" s="10" t="s">
        <v>881</v>
      </c>
      <c r="B21" s="10" t="s">
        <v>871</v>
      </c>
      <c r="C21" s="10" t="s">
        <v>802</v>
      </c>
      <c r="D21" s="10"/>
      <c r="E21" s="12" t="s">
        <v>882</v>
      </c>
      <c r="F21" s="12" t="s">
        <v>883</v>
      </c>
      <c r="G21" s="10" t="s">
        <v>884</v>
      </c>
      <c r="H21" s="12" t="s">
        <v>885</v>
      </c>
      <c r="I21" s="11" t="n">
        <v>20</v>
      </c>
    </row>
    <row r="22" customFormat="false" ht="23.85" hidden="false" customHeight="false" outlineLevel="0" collapsed="false">
      <c r="A22" s="10" t="s">
        <v>886</v>
      </c>
      <c r="B22" s="10" t="s">
        <v>871</v>
      </c>
      <c r="C22" s="10" t="s">
        <v>802</v>
      </c>
      <c r="D22" s="10"/>
      <c r="E22" s="12" t="s">
        <v>887</v>
      </c>
      <c r="F22" s="12" t="s">
        <v>888</v>
      </c>
      <c r="G22" s="10" t="s">
        <v>889</v>
      </c>
      <c r="H22" s="12" t="s">
        <v>890</v>
      </c>
      <c r="I22" s="11" t="n">
        <v>21</v>
      </c>
    </row>
    <row r="23" customFormat="false" ht="23.85" hidden="false" customHeight="false" outlineLevel="0" collapsed="false">
      <c r="A23" s="10" t="s">
        <v>891</v>
      </c>
      <c r="B23" s="10" t="s">
        <v>892</v>
      </c>
      <c r="C23" s="10"/>
      <c r="D23" s="10"/>
      <c r="E23" s="12" t="s">
        <v>893</v>
      </c>
      <c r="F23" s="12" t="s">
        <v>894</v>
      </c>
      <c r="G23" s="10" t="s">
        <v>895</v>
      </c>
      <c r="H23" s="12" t="s">
        <v>896</v>
      </c>
      <c r="I23" s="11" t="n">
        <v>22</v>
      </c>
    </row>
    <row r="24" customFormat="false" ht="23.85" hidden="false" customHeight="false" outlineLevel="0" collapsed="false">
      <c r="A24" s="10" t="s">
        <v>897</v>
      </c>
      <c r="B24" s="10" t="s">
        <v>892</v>
      </c>
      <c r="C24" s="10"/>
      <c r="D24" s="10"/>
      <c r="E24" s="12" t="s">
        <v>898</v>
      </c>
      <c r="F24" s="12" t="s">
        <v>899</v>
      </c>
      <c r="G24" s="10" t="s">
        <v>900</v>
      </c>
      <c r="H24" s="12" t="s">
        <v>901</v>
      </c>
      <c r="I24" s="11" t="n">
        <v>23</v>
      </c>
    </row>
    <row r="25" customFormat="false" ht="23.85" hidden="false" customHeight="false" outlineLevel="0" collapsed="false">
      <c r="A25" s="10" t="s">
        <v>902</v>
      </c>
      <c r="B25" s="10" t="s">
        <v>892</v>
      </c>
      <c r="C25" s="10"/>
      <c r="D25" s="10"/>
      <c r="E25" s="12" t="s">
        <v>903</v>
      </c>
      <c r="F25" s="12" t="s">
        <v>904</v>
      </c>
      <c r="G25" s="10" t="s">
        <v>905</v>
      </c>
      <c r="H25" s="12" t="s">
        <v>906</v>
      </c>
      <c r="I25" s="11" t="n">
        <v>24</v>
      </c>
    </row>
  </sheetData>
  <autoFilter ref="A1:I1"/>
  <dataValidations count="2">
    <dataValidation allowBlank="true" errorStyle="stop" operator="between" showDropDown="false" showErrorMessage="false" showInputMessage="false" sqref="B2:B300" type="list">
      <formula1>Listas!$Q$2:$Q$6</formula1>
      <formula2>0</formula2>
    </dataValidation>
    <dataValidation allowBlank="true" errorStyle="stop" operator="between" showDropDown="false" showErrorMessage="false" showInputMessage="false" sqref="C2:C300" type="list">
      <formula1>Listas!$R$2:$R$7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4"/>
    <col collapsed="false" customWidth="true" hidden="false" outlineLevel="0" max="3" min="3" style="0" width="34"/>
    <col collapsed="false" customWidth="true" hidden="false" outlineLevel="0" max="4" min="4" style="0" width="14"/>
    <col collapsed="false" customWidth="true" hidden="false" outlineLevel="0" max="5" min="5" style="0" width="38"/>
    <col collapsed="false" customWidth="true" hidden="false" outlineLevel="0" max="6" min="6" style="0" width="32"/>
    <col collapsed="false" customWidth="true" hidden="false" outlineLevel="0" max="7" min="7" style="0" width="16"/>
  </cols>
  <sheetData>
    <row r="1" customFormat="false" ht="30" hidden="false" customHeight="true" outlineLevel="0" collapsed="false">
      <c r="A1" s="9" t="s">
        <v>71</v>
      </c>
      <c r="B1" s="9" t="s">
        <v>69</v>
      </c>
      <c r="C1" s="9" t="s">
        <v>907</v>
      </c>
      <c r="D1" s="9" t="s">
        <v>908</v>
      </c>
      <c r="E1" s="9" t="s">
        <v>909</v>
      </c>
      <c r="F1" s="9" t="s">
        <v>910</v>
      </c>
      <c r="G1" s="9" t="s">
        <v>911</v>
      </c>
    </row>
    <row r="2" customFormat="false" ht="15" hidden="false" customHeight="false" outlineLevel="0" collapsed="false">
      <c r="A2" s="11" t="n">
        <v>1</v>
      </c>
      <c r="B2" s="10" t="s">
        <v>551</v>
      </c>
      <c r="C2" s="12" t="s">
        <v>912</v>
      </c>
      <c r="D2" s="10" t="s">
        <v>913</v>
      </c>
      <c r="E2" s="12" t="s">
        <v>914</v>
      </c>
      <c r="F2" s="10" t="s">
        <v>915</v>
      </c>
      <c r="G2" s="10" t="s">
        <v>916</v>
      </c>
    </row>
    <row r="3" customFormat="false" ht="15" hidden="false" customHeight="false" outlineLevel="0" collapsed="false">
      <c r="A3" s="11" t="n">
        <v>2</v>
      </c>
      <c r="B3" s="10" t="s">
        <v>555</v>
      </c>
      <c r="C3" s="12" t="s">
        <v>917</v>
      </c>
      <c r="D3" s="10" t="s">
        <v>88</v>
      </c>
      <c r="E3" s="12" t="s">
        <v>918</v>
      </c>
      <c r="F3" s="10" t="s">
        <v>919</v>
      </c>
      <c r="G3" s="10" t="s">
        <v>920</v>
      </c>
    </row>
    <row r="4" customFormat="false" ht="15" hidden="false" customHeight="false" outlineLevel="0" collapsed="false">
      <c r="A4" s="11" t="n">
        <v>3</v>
      </c>
      <c r="B4" s="10" t="s">
        <v>547</v>
      </c>
      <c r="C4" s="12" t="s">
        <v>921</v>
      </c>
      <c r="D4" s="10" t="s">
        <v>175</v>
      </c>
      <c r="E4" s="12" t="s">
        <v>922</v>
      </c>
      <c r="F4" s="10" t="s">
        <v>923</v>
      </c>
      <c r="G4" s="10" t="s">
        <v>924</v>
      </c>
    </row>
    <row r="5" customFormat="false" ht="15" hidden="false" customHeight="false" outlineLevel="0" collapsed="false">
      <c r="A5" s="11" t="n">
        <v>4</v>
      </c>
      <c r="B5" s="10" t="s">
        <v>711</v>
      </c>
      <c r="C5" s="12" t="s">
        <v>925</v>
      </c>
      <c r="D5" s="10" t="s">
        <v>926</v>
      </c>
      <c r="E5" s="12" t="s">
        <v>927</v>
      </c>
      <c r="F5" s="10" t="s">
        <v>928</v>
      </c>
      <c r="G5" s="10" t="s">
        <v>929</v>
      </c>
    </row>
    <row r="6" customFormat="false" ht="15" hidden="false" customHeight="false" outlineLevel="0" collapsed="false">
      <c r="A6" s="11" t="n">
        <v>5</v>
      </c>
      <c r="B6" s="10" t="s">
        <v>930</v>
      </c>
      <c r="C6" s="12" t="s">
        <v>931</v>
      </c>
      <c r="D6" s="10" t="s">
        <v>100</v>
      </c>
      <c r="E6" s="12" t="s">
        <v>932</v>
      </c>
      <c r="F6" s="10" t="s">
        <v>933</v>
      </c>
      <c r="G6" s="10" t="s">
        <v>934</v>
      </c>
    </row>
    <row r="7" customFormat="false" ht="15" hidden="false" customHeight="false" outlineLevel="0" collapsed="false">
      <c r="A7" s="11" t="n">
        <v>6</v>
      </c>
      <c r="B7" s="10" t="s">
        <v>690</v>
      </c>
      <c r="C7" s="12" t="s">
        <v>935</v>
      </c>
      <c r="D7" s="10" t="s">
        <v>913</v>
      </c>
      <c r="E7" s="12" t="s">
        <v>914</v>
      </c>
      <c r="F7" s="10" t="s">
        <v>936</v>
      </c>
      <c r="G7" s="10" t="s">
        <v>937</v>
      </c>
    </row>
  </sheetData>
  <autoFilter ref="A1:G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2"/>
    <col collapsed="false" customWidth="true" hidden="false" outlineLevel="0" max="3" min="3" style="0" width="80"/>
    <col collapsed="false" customWidth="true" hidden="false" outlineLevel="0" max="4" min="4" style="0" width="18"/>
    <col collapsed="false" customWidth="true" hidden="false" outlineLevel="0" max="5" min="5" style="0" width="40"/>
  </cols>
  <sheetData>
    <row r="1" customFormat="false" ht="30" hidden="false" customHeight="true" outlineLevel="0" collapsed="false">
      <c r="A1" s="9" t="s">
        <v>938</v>
      </c>
      <c r="B1" s="9" t="s">
        <v>70</v>
      </c>
      <c r="C1" s="9" t="s">
        <v>939</v>
      </c>
      <c r="D1" s="9" t="s">
        <v>566</v>
      </c>
      <c r="E1" s="9" t="s">
        <v>940</v>
      </c>
    </row>
    <row r="2" customFormat="false" ht="35.05" hidden="false" customHeight="false" outlineLevel="0" collapsed="false">
      <c r="A2" s="10" t="s">
        <v>895</v>
      </c>
      <c r="B2" s="10" t="s">
        <v>941</v>
      </c>
      <c r="C2" s="12" t="s">
        <v>942</v>
      </c>
      <c r="D2" s="10" t="s">
        <v>895</v>
      </c>
      <c r="E2" s="12" t="s">
        <v>943</v>
      </c>
    </row>
    <row r="3" customFormat="false" ht="23.85" hidden="false" customHeight="false" outlineLevel="0" collapsed="false">
      <c r="A3" s="10" t="s">
        <v>503</v>
      </c>
      <c r="B3" s="10" t="s">
        <v>941</v>
      </c>
      <c r="C3" s="12" t="s">
        <v>944</v>
      </c>
      <c r="D3" s="10" t="s">
        <v>825</v>
      </c>
      <c r="E3" s="12" t="s">
        <v>945</v>
      </c>
    </row>
    <row r="4" customFormat="false" ht="23.85" hidden="false" customHeight="false" outlineLevel="0" collapsed="false">
      <c r="A4" s="10" t="s">
        <v>946</v>
      </c>
      <c r="B4" s="10" t="s">
        <v>941</v>
      </c>
      <c r="C4" s="12" t="s">
        <v>947</v>
      </c>
      <c r="D4" s="10" t="s">
        <v>825</v>
      </c>
      <c r="E4" s="12" t="s">
        <v>948</v>
      </c>
    </row>
    <row r="5" customFormat="false" ht="23.85" hidden="false" customHeight="false" outlineLevel="0" collapsed="false">
      <c r="A5" s="10" t="s">
        <v>949</v>
      </c>
      <c r="B5" s="10" t="s">
        <v>941</v>
      </c>
      <c r="C5" s="12" t="s">
        <v>950</v>
      </c>
      <c r="D5" s="10" t="s">
        <v>825</v>
      </c>
      <c r="E5" s="12" t="s">
        <v>951</v>
      </c>
    </row>
    <row r="6" customFormat="false" ht="23.85" hidden="false" customHeight="false" outlineLevel="0" collapsed="false">
      <c r="A6" s="10" t="s">
        <v>952</v>
      </c>
      <c r="B6" s="10" t="s">
        <v>941</v>
      </c>
      <c r="C6" s="12" t="s">
        <v>953</v>
      </c>
      <c r="D6" s="10" t="s">
        <v>825</v>
      </c>
      <c r="E6" s="12" t="s">
        <v>954</v>
      </c>
    </row>
    <row r="7" customFormat="false" ht="23.85" hidden="false" customHeight="false" outlineLevel="0" collapsed="false">
      <c r="A7" s="10" t="s">
        <v>955</v>
      </c>
      <c r="B7" s="10" t="s">
        <v>956</v>
      </c>
      <c r="C7" s="12" t="s">
        <v>957</v>
      </c>
      <c r="D7" s="10" t="s">
        <v>958</v>
      </c>
      <c r="E7" s="12" t="s">
        <v>959</v>
      </c>
    </row>
    <row r="8" customFormat="false" ht="15" hidden="false" customHeight="false" outlineLevel="0" collapsed="false">
      <c r="A8" s="10" t="s">
        <v>960</v>
      </c>
      <c r="B8" s="10" t="s">
        <v>961</v>
      </c>
      <c r="C8" s="12" t="s">
        <v>962</v>
      </c>
      <c r="D8" s="10" t="s">
        <v>785</v>
      </c>
      <c r="E8" s="12" t="s">
        <v>963</v>
      </c>
    </row>
    <row r="9" customFormat="false" ht="15" hidden="false" customHeight="false" outlineLevel="0" collapsed="false">
      <c r="A9" s="10" t="s">
        <v>964</v>
      </c>
      <c r="B9" s="10" t="s">
        <v>965</v>
      </c>
      <c r="C9" s="12" t="s">
        <v>966</v>
      </c>
      <c r="D9" s="10" t="s">
        <v>967</v>
      </c>
      <c r="E9" s="12" t="s">
        <v>968</v>
      </c>
    </row>
    <row r="10" customFormat="false" ht="35.05" hidden="false" customHeight="false" outlineLevel="0" collapsed="false">
      <c r="A10" s="10" t="s">
        <v>969</v>
      </c>
      <c r="B10" s="10" t="s">
        <v>941</v>
      </c>
      <c r="C10" s="12" t="s">
        <v>970</v>
      </c>
      <c r="D10" s="10" t="s">
        <v>971</v>
      </c>
      <c r="E10" s="12" t="s">
        <v>972</v>
      </c>
    </row>
    <row r="11" customFormat="false" ht="23.85" hidden="false" customHeight="false" outlineLevel="0" collapsed="false">
      <c r="A11" s="10" t="s">
        <v>973</v>
      </c>
      <c r="B11" s="10" t="s">
        <v>941</v>
      </c>
      <c r="C11" s="12" t="s">
        <v>974</v>
      </c>
      <c r="D11" s="10" t="s">
        <v>975</v>
      </c>
      <c r="E11" s="12" t="s">
        <v>976</v>
      </c>
    </row>
    <row r="12" customFormat="false" ht="23.85" hidden="false" customHeight="false" outlineLevel="0" collapsed="false">
      <c r="A12" s="10" t="s">
        <v>977</v>
      </c>
      <c r="B12" s="10" t="s">
        <v>978</v>
      </c>
      <c r="C12" s="12" t="s">
        <v>979</v>
      </c>
      <c r="D12" s="10" t="s">
        <v>980</v>
      </c>
      <c r="E12" s="12" t="s">
        <v>980</v>
      </c>
    </row>
    <row r="13" customFormat="false" ht="15" hidden="false" customHeight="false" outlineLevel="0" collapsed="false">
      <c r="A13" s="10" t="s">
        <v>981</v>
      </c>
      <c r="B13" s="10" t="s">
        <v>982</v>
      </c>
      <c r="C13" s="12" t="s">
        <v>983</v>
      </c>
      <c r="D13" s="10" t="s">
        <v>66</v>
      </c>
      <c r="E13" s="12" t="s">
        <v>984</v>
      </c>
    </row>
    <row r="14" customFormat="false" ht="23.85" hidden="false" customHeight="false" outlineLevel="0" collapsed="false">
      <c r="A14" s="10" t="s">
        <v>985</v>
      </c>
      <c r="B14" s="10" t="s">
        <v>956</v>
      </c>
      <c r="C14" s="12" t="s">
        <v>986</v>
      </c>
      <c r="D14" s="10" t="s">
        <v>987</v>
      </c>
      <c r="E14" s="12" t="s">
        <v>988</v>
      </c>
    </row>
    <row r="15" customFormat="false" ht="23.85" hidden="false" customHeight="false" outlineLevel="0" collapsed="false">
      <c r="A15" s="10" t="s">
        <v>989</v>
      </c>
      <c r="B15" s="10" t="s">
        <v>956</v>
      </c>
      <c r="C15" s="12" t="s">
        <v>990</v>
      </c>
      <c r="D15" s="10" t="s">
        <v>955</v>
      </c>
      <c r="E15" s="12" t="s">
        <v>991</v>
      </c>
    </row>
    <row r="16" customFormat="false" ht="35.05" hidden="false" customHeight="false" outlineLevel="0" collapsed="false">
      <c r="A16" s="10" t="s">
        <v>992</v>
      </c>
      <c r="B16" s="10" t="s">
        <v>941</v>
      </c>
      <c r="C16" s="12" t="s">
        <v>993</v>
      </c>
      <c r="D16" s="10" t="s">
        <v>971</v>
      </c>
      <c r="E16" s="12" t="s">
        <v>994</v>
      </c>
    </row>
    <row r="17" customFormat="false" ht="23.85" hidden="false" customHeight="false" outlineLevel="0" collapsed="false">
      <c r="A17" s="10" t="s">
        <v>995</v>
      </c>
      <c r="B17" s="10" t="s">
        <v>941</v>
      </c>
      <c r="C17" s="12" t="s">
        <v>996</v>
      </c>
      <c r="D17" s="10" t="s">
        <v>997</v>
      </c>
      <c r="E17" s="12" t="s">
        <v>998</v>
      </c>
    </row>
    <row r="18" customFormat="false" ht="23.85" hidden="false" customHeight="false" outlineLevel="0" collapsed="false">
      <c r="A18" s="10" t="s">
        <v>999</v>
      </c>
      <c r="B18" s="10" t="s">
        <v>941</v>
      </c>
      <c r="C18" s="12" t="s">
        <v>1000</v>
      </c>
      <c r="D18" s="10" t="s">
        <v>825</v>
      </c>
      <c r="E18" s="12" t="s">
        <v>1001</v>
      </c>
    </row>
    <row r="19" customFormat="false" ht="15" hidden="false" customHeight="false" outlineLevel="0" collapsed="false">
      <c r="A19" s="10" t="s">
        <v>1002</v>
      </c>
      <c r="B19" s="10" t="s">
        <v>956</v>
      </c>
      <c r="C19" s="12" t="s">
        <v>1003</v>
      </c>
      <c r="D19" s="10" t="s">
        <v>66</v>
      </c>
      <c r="E19" s="12" t="s">
        <v>1004</v>
      </c>
    </row>
    <row r="20" customFormat="false" ht="23.85" hidden="false" customHeight="false" outlineLevel="0" collapsed="false">
      <c r="A20" s="10" t="s">
        <v>1005</v>
      </c>
      <c r="B20" s="10" t="s">
        <v>956</v>
      </c>
      <c r="C20" s="12" t="s">
        <v>1006</v>
      </c>
      <c r="D20" s="10" t="s">
        <v>1007</v>
      </c>
      <c r="E20" s="12" t="s">
        <v>1002</v>
      </c>
    </row>
    <row r="21" customFormat="false" ht="15" hidden="false" customHeight="false" outlineLevel="0" collapsed="false">
      <c r="A21" s="10" t="s">
        <v>1008</v>
      </c>
      <c r="B21" s="10" t="s">
        <v>956</v>
      </c>
      <c r="C21" s="12" t="s">
        <v>1009</v>
      </c>
      <c r="D21" s="10" t="s">
        <v>1010</v>
      </c>
      <c r="E21" s="12" t="s">
        <v>1011</v>
      </c>
    </row>
    <row r="22" customFormat="false" ht="23.85" hidden="false" customHeight="false" outlineLevel="0" collapsed="false">
      <c r="A22" s="10" t="s">
        <v>1012</v>
      </c>
      <c r="B22" s="10" t="s">
        <v>965</v>
      </c>
      <c r="C22" s="12" t="s">
        <v>1013</v>
      </c>
      <c r="D22" s="10" t="s">
        <v>1014</v>
      </c>
      <c r="E22" s="12" t="s">
        <v>1015</v>
      </c>
    </row>
    <row r="23" customFormat="false" ht="23.85" hidden="false" customHeight="false" outlineLevel="0" collapsed="false">
      <c r="A23" s="10" t="s">
        <v>1016</v>
      </c>
      <c r="B23" s="10" t="s">
        <v>965</v>
      </c>
      <c r="C23" s="12" t="s">
        <v>1017</v>
      </c>
      <c r="D23" s="10" t="s">
        <v>1018</v>
      </c>
      <c r="E23" s="12" t="s">
        <v>1012</v>
      </c>
    </row>
    <row r="24" customFormat="false" ht="35.05" hidden="false" customHeight="false" outlineLevel="0" collapsed="false">
      <c r="A24" s="10" t="s">
        <v>1019</v>
      </c>
      <c r="B24" s="10" t="s">
        <v>941</v>
      </c>
      <c r="C24" s="12" t="s">
        <v>1020</v>
      </c>
      <c r="D24" s="10" t="s">
        <v>1021</v>
      </c>
      <c r="E24" s="12" t="s">
        <v>1022</v>
      </c>
    </row>
    <row r="25" customFormat="false" ht="23.85" hidden="false" customHeight="false" outlineLevel="0" collapsed="false">
      <c r="A25" s="10" t="s">
        <v>1023</v>
      </c>
      <c r="B25" s="10" t="s">
        <v>941</v>
      </c>
      <c r="C25" s="12" t="s">
        <v>1024</v>
      </c>
      <c r="D25" s="10" t="s">
        <v>825</v>
      </c>
      <c r="E25" s="12" t="s">
        <v>1025</v>
      </c>
    </row>
    <row r="26" customFormat="false" ht="23.85" hidden="false" customHeight="false" outlineLevel="0" collapsed="false">
      <c r="A26" s="10" t="s">
        <v>1026</v>
      </c>
      <c r="B26" s="10" t="s">
        <v>978</v>
      </c>
      <c r="C26" s="12" t="s">
        <v>1027</v>
      </c>
      <c r="D26" s="10" t="s">
        <v>1028</v>
      </c>
      <c r="E26" s="12" t="s">
        <v>980</v>
      </c>
    </row>
    <row r="27" customFormat="false" ht="23.85" hidden="false" customHeight="false" outlineLevel="0" collapsed="false">
      <c r="A27" s="10" t="s">
        <v>1029</v>
      </c>
      <c r="B27" s="10" t="s">
        <v>941</v>
      </c>
      <c r="C27" s="12" t="s">
        <v>1030</v>
      </c>
      <c r="D27" s="10" t="s">
        <v>973</v>
      </c>
      <c r="E27" s="12" t="s">
        <v>973</v>
      </c>
    </row>
    <row r="28" customFormat="false" ht="23.85" hidden="false" customHeight="false" outlineLevel="0" collapsed="false">
      <c r="A28" s="10" t="s">
        <v>1031</v>
      </c>
      <c r="B28" s="10" t="s">
        <v>941</v>
      </c>
      <c r="C28" s="12" t="s">
        <v>1032</v>
      </c>
      <c r="D28" s="10" t="s">
        <v>825</v>
      </c>
      <c r="E28" s="12" t="s">
        <v>1033</v>
      </c>
    </row>
    <row r="29" customFormat="false" ht="23.85" hidden="false" customHeight="false" outlineLevel="0" collapsed="false">
      <c r="A29" s="10" t="s">
        <v>1034</v>
      </c>
      <c r="B29" s="10" t="s">
        <v>978</v>
      </c>
      <c r="C29" s="12" t="s">
        <v>1035</v>
      </c>
      <c r="D29" s="10" t="s">
        <v>980</v>
      </c>
      <c r="E29" s="12" t="s">
        <v>980</v>
      </c>
    </row>
    <row r="30" customFormat="false" ht="23.85" hidden="false" customHeight="false" outlineLevel="0" collapsed="false">
      <c r="A30" s="10" t="s">
        <v>1036</v>
      </c>
      <c r="B30" s="10" t="s">
        <v>982</v>
      </c>
      <c r="C30" s="12" t="s">
        <v>1037</v>
      </c>
      <c r="D30" s="10" t="s">
        <v>992</v>
      </c>
      <c r="E30" s="12" t="s">
        <v>1038</v>
      </c>
    </row>
    <row r="31" customFormat="false" ht="15" hidden="false" customHeight="false" outlineLevel="0" collapsed="false">
      <c r="A31" s="10" t="s">
        <v>1039</v>
      </c>
      <c r="B31" s="10" t="s">
        <v>982</v>
      </c>
      <c r="C31" s="12" t="s">
        <v>1040</v>
      </c>
      <c r="D31" s="10" t="s">
        <v>992</v>
      </c>
      <c r="E31" s="12" t="s">
        <v>1041</v>
      </c>
    </row>
    <row r="32" customFormat="false" ht="23.85" hidden="false" customHeight="false" outlineLevel="0" collapsed="false">
      <c r="A32" s="10" t="s">
        <v>1042</v>
      </c>
      <c r="B32" s="10" t="s">
        <v>982</v>
      </c>
      <c r="C32" s="12" t="s">
        <v>1043</v>
      </c>
      <c r="D32" s="10" t="s">
        <v>1044</v>
      </c>
      <c r="E32" s="12" t="s">
        <v>1045</v>
      </c>
    </row>
    <row r="33" customFormat="false" ht="23.85" hidden="false" customHeight="false" outlineLevel="0" collapsed="false">
      <c r="A33" s="10" t="s">
        <v>1046</v>
      </c>
      <c r="B33" s="10" t="s">
        <v>956</v>
      </c>
      <c r="C33" s="12" t="s">
        <v>1047</v>
      </c>
      <c r="D33" s="10" t="s">
        <v>66</v>
      </c>
      <c r="E33" s="12" t="s">
        <v>1048</v>
      </c>
    </row>
    <row r="34" customFormat="false" ht="23.85" hidden="false" customHeight="false" outlineLevel="0" collapsed="false">
      <c r="A34" s="10" t="s">
        <v>1049</v>
      </c>
      <c r="B34" s="10" t="s">
        <v>956</v>
      </c>
      <c r="C34" s="12" t="s">
        <v>1050</v>
      </c>
      <c r="D34" s="10" t="s">
        <v>66</v>
      </c>
      <c r="E34" s="12" t="s">
        <v>1051</v>
      </c>
    </row>
    <row r="35" customFormat="false" ht="23.85" hidden="false" customHeight="false" outlineLevel="0" collapsed="false">
      <c r="A35" s="10" t="s">
        <v>665</v>
      </c>
      <c r="B35" s="10" t="s">
        <v>956</v>
      </c>
      <c r="C35" s="12" t="s">
        <v>1052</v>
      </c>
      <c r="D35" s="10" t="s">
        <v>66</v>
      </c>
      <c r="E35" s="12" t="s">
        <v>1046</v>
      </c>
    </row>
    <row r="36" customFormat="false" ht="23.85" hidden="false" customHeight="false" outlineLevel="0" collapsed="false">
      <c r="A36" s="10" t="s">
        <v>1010</v>
      </c>
      <c r="B36" s="10" t="s">
        <v>956</v>
      </c>
      <c r="C36" s="12" t="s">
        <v>1053</v>
      </c>
      <c r="D36" s="10" t="s">
        <v>66</v>
      </c>
      <c r="E36" s="12" t="s">
        <v>1054</v>
      </c>
    </row>
    <row r="37" customFormat="false" ht="15" hidden="false" customHeight="false" outlineLevel="0" collapsed="false">
      <c r="A37" s="10" t="s">
        <v>1055</v>
      </c>
      <c r="B37" s="10" t="s">
        <v>978</v>
      </c>
      <c r="C37" s="12" t="s">
        <v>1056</v>
      </c>
      <c r="D37" s="10" t="s">
        <v>980</v>
      </c>
      <c r="E37" s="12" t="s">
        <v>980</v>
      </c>
    </row>
    <row r="38" customFormat="false" ht="23.85" hidden="false" customHeight="false" outlineLevel="0" collapsed="false">
      <c r="A38" s="10" t="s">
        <v>1057</v>
      </c>
      <c r="B38" s="10" t="s">
        <v>978</v>
      </c>
      <c r="C38" s="12" t="s">
        <v>1058</v>
      </c>
      <c r="D38" s="10" t="s">
        <v>1059</v>
      </c>
      <c r="E38" s="12" t="s">
        <v>973</v>
      </c>
    </row>
    <row r="39" customFormat="false" ht="23.85" hidden="false" customHeight="false" outlineLevel="0" collapsed="false">
      <c r="A39" s="10" t="s">
        <v>1060</v>
      </c>
      <c r="B39" s="10" t="s">
        <v>941</v>
      </c>
      <c r="C39" s="12" t="s">
        <v>1061</v>
      </c>
      <c r="D39" s="10" t="s">
        <v>973</v>
      </c>
      <c r="E39" s="12" t="s">
        <v>973</v>
      </c>
    </row>
    <row r="40" customFormat="false" ht="23.85" hidden="false" customHeight="false" outlineLevel="0" collapsed="false">
      <c r="A40" s="10" t="s">
        <v>1062</v>
      </c>
      <c r="B40" s="10" t="s">
        <v>941</v>
      </c>
      <c r="C40" s="12" t="s">
        <v>1063</v>
      </c>
      <c r="D40" s="10" t="s">
        <v>1064</v>
      </c>
      <c r="E40" s="12" t="s">
        <v>952</v>
      </c>
    </row>
    <row r="41" customFormat="false" ht="23.85" hidden="false" customHeight="false" outlineLevel="0" collapsed="false">
      <c r="A41" s="10" t="s">
        <v>1025</v>
      </c>
      <c r="B41" s="10" t="s">
        <v>941</v>
      </c>
      <c r="C41" s="12" t="s">
        <v>1065</v>
      </c>
      <c r="D41" s="10" t="s">
        <v>825</v>
      </c>
      <c r="E41" s="12" t="s">
        <v>1023</v>
      </c>
    </row>
    <row r="42" customFormat="false" ht="23.85" hidden="false" customHeight="false" outlineLevel="0" collapsed="false">
      <c r="A42" s="10" t="s">
        <v>1004</v>
      </c>
      <c r="B42" s="10" t="s">
        <v>956</v>
      </c>
      <c r="C42" s="12" t="s">
        <v>1066</v>
      </c>
      <c r="D42" s="10" t="s">
        <v>1067</v>
      </c>
      <c r="E42" s="12" t="s">
        <v>1002</v>
      </c>
    </row>
    <row r="43" customFormat="false" ht="15" hidden="false" customHeight="false" outlineLevel="0" collapsed="false">
      <c r="A43" s="10" t="s">
        <v>1068</v>
      </c>
      <c r="B43" s="10" t="s">
        <v>961</v>
      </c>
      <c r="C43" s="12" t="s">
        <v>1069</v>
      </c>
      <c r="D43" s="10" t="s">
        <v>785</v>
      </c>
      <c r="E43" s="12" t="s">
        <v>1070</v>
      </c>
    </row>
    <row r="44" customFormat="false" ht="23.85" hidden="false" customHeight="false" outlineLevel="0" collapsed="false">
      <c r="A44" s="10" t="s">
        <v>968</v>
      </c>
      <c r="B44" s="10" t="s">
        <v>965</v>
      </c>
      <c r="C44" s="12" t="s">
        <v>1071</v>
      </c>
      <c r="D44" s="10" t="s">
        <v>1072</v>
      </c>
      <c r="E44" s="12" t="s">
        <v>1073</v>
      </c>
    </row>
    <row r="45" customFormat="false" ht="23.85" hidden="false" customHeight="false" outlineLevel="0" collapsed="false">
      <c r="A45" s="10" t="s">
        <v>1074</v>
      </c>
      <c r="B45" s="10" t="s">
        <v>941</v>
      </c>
      <c r="C45" s="12" t="s">
        <v>1075</v>
      </c>
      <c r="D45" s="10" t="s">
        <v>825</v>
      </c>
      <c r="E45" s="12" t="s">
        <v>1076</v>
      </c>
    </row>
    <row r="46" customFormat="false" ht="23.85" hidden="false" customHeight="false" outlineLevel="0" collapsed="false">
      <c r="A46" s="10" t="s">
        <v>1077</v>
      </c>
      <c r="B46" s="10" t="s">
        <v>982</v>
      </c>
      <c r="C46" s="12" t="s">
        <v>1078</v>
      </c>
      <c r="D46" s="10" t="s">
        <v>825</v>
      </c>
      <c r="E46" s="12" t="s">
        <v>1079</v>
      </c>
    </row>
    <row r="47" customFormat="false" ht="23.85" hidden="false" customHeight="false" outlineLevel="0" collapsed="false">
      <c r="A47" s="10" t="s">
        <v>1080</v>
      </c>
      <c r="B47" s="10" t="s">
        <v>982</v>
      </c>
      <c r="C47" s="12" t="s">
        <v>1081</v>
      </c>
      <c r="D47" s="10" t="s">
        <v>852</v>
      </c>
      <c r="E47" s="12" t="s">
        <v>1082</v>
      </c>
    </row>
    <row r="48" customFormat="false" ht="23.85" hidden="false" customHeight="false" outlineLevel="0" collapsed="false">
      <c r="A48" s="10" t="s">
        <v>1083</v>
      </c>
      <c r="B48" s="10" t="s">
        <v>961</v>
      </c>
      <c r="C48" s="12" t="s">
        <v>1084</v>
      </c>
      <c r="D48" s="10" t="s">
        <v>961</v>
      </c>
      <c r="E48" s="12" t="s">
        <v>1085</v>
      </c>
    </row>
    <row r="49" customFormat="false" ht="23.85" hidden="false" customHeight="false" outlineLevel="0" collapsed="false">
      <c r="A49" s="10" t="s">
        <v>1086</v>
      </c>
      <c r="B49" s="10" t="s">
        <v>941</v>
      </c>
      <c r="C49" s="12" t="s">
        <v>1087</v>
      </c>
      <c r="D49" s="10" t="s">
        <v>1021</v>
      </c>
      <c r="E49" s="12" t="s">
        <v>1088</v>
      </c>
    </row>
    <row r="50" customFormat="false" ht="23.85" hidden="false" customHeight="false" outlineLevel="0" collapsed="false">
      <c r="A50" s="10" t="s">
        <v>1089</v>
      </c>
      <c r="B50" s="10" t="s">
        <v>982</v>
      </c>
      <c r="C50" s="12" t="s">
        <v>1090</v>
      </c>
      <c r="D50" s="10" t="s">
        <v>1091</v>
      </c>
      <c r="E50" s="12" t="s">
        <v>1092</v>
      </c>
    </row>
    <row r="51" customFormat="false" ht="23.85" hidden="false" customHeight="false" outlineLevel="0" collapsed="false">
      <c r="A51" s="10" t="s">
        <v>1093</v>
      </c>
      <c r="B51" s="10" t="s">
        <v>956</v>
      </c>
      <c r="C51" s="12" t="s">
        <v>1094</v>
      </c>
      <c r="D51" s="10" t="s">
        <v>1095</v>
      </c>
      <c r="E51" s="12" t="s">
        <v>1096</v>
      </c>
    </row>
    <row r="52" customFormat="false" ht="23.85" hidden="false" customHeight="false" outlineLevel="0" collapsed="false">
      <c r="A52" s="10" t="s">
        <v>1021</v>
      </c>
      <c r="B52" s="10" t="s">
        <v>941</v>
      </c>
      <c r="C52" s="12" t="s">
        <v>1097</v>
      </c>
      <c r="D52" s="10" t="s">
        <v>1098</v>
      </c>
      <c r="E52" s="12" t="s">
        <v>1099</v>
      </c>
    </row>
    <row r="53" customFormat="false" ht="23.85" hidden="false" customHeight="false" outlineLevel="0" collapsed="false">
      <c r="A53" s="10" t="s">
        <v>1100</v>
      </c>
      <c r="B53" s="10" t="s">
        <v>956</v>
      </c>
      <c r="C53" s="12" t="s">
        <v>1101</v>
      </c>
      <c r="D53" s="10" t="s">
        <v>66</v>
      </c>
      <c r="E53" s="12" t="s">
        <v>1102</v>
      </c>
    </row>
    <row r="54" customFormat="false" ht="23.85" hidden="false" customHeight="false" outlineLevel="0" collapsed="false">
      <c r="A54" s="10" t="s">
        <v>1103</v>
      </c>
      <c r="B54" s="10" t="s">
        <v>956</v>
      </c>
      <c r="C54" s="12" t="s">
        <v>1104</v>
      </c>
      <c r="D54" s="10" t="s">
        <v>66</v>
      </c>
      <c r="E54" s="12"/>
    </row>
    <row r="55" customFormat="false" ht="23.85" hidden="false" customHeight="false" outlineLevel="0" collapsed="false">
      <c r="A55" s="10" t="s">
        <v>1105</v>
      </c>
      <c r="B55" s="10" t="s">
        <v>965</v>
      </c>
      <c r="C55" s="12" t="s">
        <v>1106</v>
      </c>
      <c r="D55" s="10" t="s">
        <v>1107</v>
      </c>
      <c r="E55" s="12" t="s">
        <v>1016</v>
      </c>
    </row>
    <row r="56" customFormat="false" ht="35.05" hidden="false" customHeight="false" outlineLevel="0" collapsed="false">
      <c r="A56" s="10" t="s">
        <v>183</v>
      </c>
      <c r="B56" s="10" t="s">
        <v>941</v>
      </c>
      <c r="C56" s="12" t="s">
        <v>1108</v>
      </c>
      <c r="D56" s="10" t="s">
        <v>1109</v>
      </c>
      <c r="E56" s="12" t="s">
        <v>1110</v>
      </c>
    </row>
    <row r="57" customFormat="false" ht="23.85" hidden="false" customHeight="false" outlineLevel="0" collapsed="false">
      <c r="A57" s="10" t="s">
        <v>1111</v>
      </c>
      <c r="B57" s="10" t="s">
        <v>941</v>
      </c>
      <c r="C57" s="12" t="s">
        <v>1112</v>
      </c>
      <c r="D57" s="10" t="s">
        <v>825</v>
      </c>
      <c r="E57" s="12" t="s">
        <v>1113</v>
      </c>
    </row>
    <row r="58" customFormat="false" ht="23.85" hidden="false" customHeight="false" outlineLevel="0" collapsed="false">
      <c r="A58" s="10" t="s">
        <v>1114</v>
      </c>
      <c r="B58" s="10" t="s">
        <v>941</v>
      </c>
      <c r="C58" s="12" t="s">
        <v>1115</v>
      </c>
      <c r="D58" s="10" t="s">
        <v>1116</v>
      </c>
      <c r="E58" s="12" t="s">
        <v>1117</v>
      </c>
    </row>
    <row r="59" customFormat="false" ht="23.85" hidden="false" customHeight="false" outlineLevel="0" collapsed="false">
      <c r="A59" s="10" t="s">
        <v>1118</v>
      </c>
      <c r="B59" s="10" t="s">
        <v>941</v>
      </c>
      <c r="C59" s="12" t="s">
        <v>1119</v>
      </c>
      <c r="D59" s="10" t="s">
        <v>1120</v>
      </c>
      <c r="E59" s="12" t="s">
        <v>1121</v>
      </c>
    </row>
    <row r="60" customFormat="false" ht="23.85" hidden="false" customHeight="false" outlineLevel="0" collapsed="false">
      <c r="A60" s="10" t="s">
        <v>563</v>
      </c>
      <c r="B60" s="10" t="s">
        <v>982</v>
      </c>
      <c r="C60" s="12" t="s">
        <v>1122</v>
      </c>
      <c r="D60" s="10" t="s">
        <v>1123</v>
      </c>
      <c r="E60" s="12" t="s">
        <v>1124</v>
      </c>
    </row>
    <row r="61" customFormat="false" ht="23.85" hidden="false" customHeight="false" outlineLevel="0" collapsed="false">
      <c r="A61" s="10" t="s">
        <v>1125</v>
      </c>
      <c r="B61" s="10" t="s">
        <v>982</v>
      </c>
      <c r="C61" s="12" t="s">
        <v>1126</v>
      </c>
      <c r="D61" s="10" t="s">
        <v>852</v>
      </c>
      <c r="E61" s="12" t="s">
        <v>1127</v>
      </c>
    </row>
    <row r="62" customFormat="false" ht="15" hidden="false" customHeight="false" outlineLevel="0" collapsed="false">
      <c r="A62" s="10" t="s">
        <v>1128</v>
      </c>
      <c r="B62" s="10" t="s">
        <v>982</v>
      </c>
      <c r="C62" s="12" t="s">
        <v>1129</v>
      </c>
      <c r="D62" s="10" t="s">
        <v>66</v>
      </c>
      <c r="E62" s="12" t="s">
        <v>1130</v>
      </c>
    </row>
    <row r="63" customFormat="false" ht="23.85" hidden="false" customHeight="false" outlineLevel="0" collapsed="false">
      <c r="A63" s="10" t="s">
        <v>1131</v>
      </c>
      <c r="B63" s="10" t="s">
        <v>956</v>
      </c>
      <c r="C63" s="12" t="s">
        <v>1132</v>
      </c>
      <c r="D63" s="10" t="s">
        <v>66</v>
      </c>
      <c r="E63" s="12" t="s">
        <v>1133</v>
      </c>
    </row>
    <row r="64" customFormat="false" ht="23.85" hidden="false" customHeight="false" outlineLevel="0" collapsed="false">
      <c r="A64" s="10" t="s">
        <v>839</v>
      </c>
      <c r="B64" s="10" t="s">
        <v>956</v>
      </c>
      <c r="C64" s="12" t="s">
        <v>1134</v>
      </c>
      <c r="D64" s="10" t="s">
        <v>66</v>
      </c>
      <c r="E64" s="12" t="s">
        <v>1135</v>
      </c>
    </row>
    <row r="65" customFormat="false" ht="23.85" hidden="false" customHeight="false" outlineLevel="0" collapsed="false">
      <c r="A65" s="10" t="s">
        <v>1136</v>
      </c>
      <c r="B65" s="10" t="s">
        <v>961</v>
      </c>
      <c r="C65" s="12" t="s">
        <v>1137</v>
      </c>
      <c r="D65" s="10" t="s">
        <v>782</v>
      </c>
      <c r="E65" s="12" t="s">
        <v>1138</v>
      </c>
    </row>
    <row r="66" customFormat="false" ht="23.85" hidden="false" customHeight="false" outlineLevel="0" collapsed="false">
      <c r="A66" s="10" t="s">
        <v>961</v>
      </c>
      <c r="B66" s="10" t="s">
        <v>961</v>
      </c>
      <c r="C66" s="12" t="s">
        <v>1139</v>
      </c>
      <c r="D66" s="10" t="s">
        <v>782</v>
      </c>
      <c r="E66" s="12" t="s">
        <v>1140</v>
      </c>
    </row>
    <row r="67" customFormat="false" ht="15" hidden="false" customHeight="false" outlineLevel="0" collapsed="false">
      <c r="A67" s="10" t="s">
        <v>1141</v>
      </c>
      <c r="B67" s="10" t="s">
        <v>978</v>
      </c>
      <c r="C67" s="12" t="s">
        <v>1142</v>
      </c>
      <c r="D67" s="10" t="s">
        <v>992</v>
      </c>
      <c r="E67" s="12" t="s">
        <v>1143</v>
      </c>
    </row>
    <row r="68" customFormat="false" ht="23.85" hidden="false" customHeight="false" outlineLevel="0" collapsed="false">
      <c r="A68" s="10" t="s">
        <v>1144</v>
      </c>
      <c r="B68" s="10" t="s">
        <v>941</v>
      </c>
      <c r="C68" s="12" t="s">
        <v>1145</v>
      </c>
      <c r="D68" s="10" t="s">
        <v>825</v>
      </c>
      <c r="E68" s="12" t="s">
        <v>1146</v>
      </c>
    </row>
    <row r="69" customFormat="false" ht="15" hidden="false" customHeight="false" outlineLevel="0" collapsed="false">
      <c r="A69" s="10" t="s">
        <v>1147</v>
      </c>
      <c r="B69" s="10" t="s">
        <v>941</v>
      </c>
      <c r="C69" s="12" t="s">
        <v>1148</v>
      </c>
      <c r="D69" s="10" t="s">
        <v>973</v>
      </c>
      <c r="E69" s="12" t="s">
        <v>1149</v>
      </c>
    </row>
    <row r="70" customFormat="false" ht="23.85" hidden="false" customHeight="false" outlineLevel="0" collapsed="false">
      <c r="A70" s="10" t="s">
        <v>1150</v>
      </c>
      <c r="B70" s="10" t="s">
        <v>941</v>
      </c>
      <c r="C70" s="12" t="s">
        <v>1151</v>
      </c>
      <c r="D70" s="10" t="s">
        <v>1152</v>
      </c>
      <c r="E70" s="12" t="s">
        <v>1153</v>
      </c>
    </row>
    <row r="71" customFormat="false" ht="23.85" hidden="false" customHeight="false" outlineLevel="0" collapsed="false">
      <c r="A71" s="10" t="s">
        <v>1076</v>
      </c>
      <c r="B71" s="10" t="s">
        <v>941</v>
      </c>
      <c r="C71" s="12" t="s">
        <v>1154</v>
      </c>
      <c r="D71" s="10" t="s">
        <v>825</v>
      </c>
      <c r="E71" s="12" t="s">
        <v>1155</v>
      </c>
    </row>
    <row r="72" customFormat="false" ht="23.85" hidden="false" customHeight="false" outlineLevel="0" collapsed="false">
      <c r="A72" s="10" t="s">
        <v>1156</v>
      </c>
      <c r="B72" s="10" t="s">
        <v>982</v>
      </c>
      <c r="C72" s="12" t="s">
        <v>1157</v>
      </c>
      <c r="D72" s="10" t="s">
        <v>852</v>
      </c>
      <c r="E72" s="12" t="s">
        <v>1158</v>
      </c>
    </row>
    <row r="73" customFormat="false" ht="15" hidden="false" customHeight="false" outlineLevel="0" collapsed="false">
      <c r="A73" s="10" t="s">
        <v>1159</v>
      </c>
      <c r="B73" s="10" t="s">
        <v>982</v>
      </c>
      <c r="C73" s="12" t="s">
        <v>1160</v>
      </c>
      <c r="D73" s="10" t="s">
        <v>66</v>
      </c>
      <c r="E73" s="12" t="s">
        <v>1161</v>
      </c>
    </row>
    <row r="74" customFormat="false" ht="23.85" hidden="false" customHeight="false" outlineLevel="0" collapsed="false">
      <c r="A74" s="10" t="s">
        <v>66</v>
      </c>
      <c r="B74" s="10" t="s">
        <v>956</v>
      </c>
      <c r="C74" s="12" t="s">
        <v>1162</v>
      </c>
      <c r="D74" s="10" t="s">
        <v>900</v>
      </c>
      <c r="E74" s="12" t="s">
        <v>1163</v>
      </c>
    </row>
    <row r="75" customFormat="false" ht="23.85" hidden="false" customHeight="false" outlineLevel="0" collapsed="false">
      <c r="A75" s="10" t="s">
        <v>900</v>
      </c>
      <c r="B75" s="10" t="s">
        <v>956</v>
      </c>
      <c r="C75" s="12" t="s">
        <v>1164</v>
      </c>
      <c r="D75" s="10" t="s">
        <v>900</v>
      </c>
      <c r="E75" s="12" t="s">
        <v>66</v>
      </c>
    </row>
    <row r="76" customFormat="false" ht="23.85" hidden="false" customHeight="false" outlineLevel="0" collapsed="false">
      <c r="A76" s="10" t="s">
        <v>1165</v>
      </c>
      <c r="B76" s="10" t="s">
        <v>956</v>
      </c>
      <c r="C76" s="12" t="s">
        <v>1166</v>
      </c>
      <c r="D76" s="10" t="s">
        <v>66</v>
      </c>
      <c r="E76" s="12" t="s">
        <v>1167</v>
      </c>
    </row>
    <row r="77" customFormat="false" ht="23.85" hidden="false" customHeight="false" outlineLevel="0" collapsed="false">
      <c r="A77" s="10" t="s">
        <v>1168</v>
      </c>
      <c r="B77" s="10" t="s">
        <v>956</v>
      </c>
      <c r="C77" s="12" t="s">
        <v>1169</v>
      </c>
      <c r="D77" s="10" t="s">
        <v>66</v>
      </c>
      <c r="E77" s="12" t="s">
        <v>1170</v>
      </c>
    </row>
    <row r="78" customFormat="false" ht="23.85" hidden="false" customHeight="false" outlineLevel="0" collapsed="false">
      <c r="A78" s="10" t="s">
        <v>1171</v>
      </c>
      <c r="B78" s="10" t="s">
        <v>956</v>
      </c>
      <c r="C78" s="12" t="s">
        <v>1172</v>
      </c>
      <c r="D78" s="10" t="s">
        <v>66</v>
      </c>
      <c r="E78" s="12" t="s">
        <v>1173</v>
      </c>
    </row>
    <row r="79" customFormat="false" ht="15" hidden="false" customHeight="false" outlineLevel="0" collapsed="false">
      <c r="A79" s="10" t="s">
        <v>1174</v>
      </c>
      <c r="B79" s="10" t="s">
        <v>956</v>
      </c>
      <c r="C79" s="12" t="s">
        <v>1175</v>
      </c>
      <c r="D79" s="10" t="s">
        <v>66</v>
      </c>
      <c r="E79" s="12" t="s">
        <v>1176</v>
      </c>
    </row>
    <row r="80" customFormat="false" ht="23.85" hidden="false" customHeight="false" outlineLevel="0" collapsed="false">
      <c r="A80" s="10" t="s">
        <v>1177</v>
      </c>
      <c r="B80" s="10" t="s">
        <v>961</v>
      </c>
      <c r="C80" s="12" t="s">
        <v>1178</v>
      </c>
      <c r="D80" s="10" t="s">
        <v>1179</v>
      </c>
      <c r="E80" s="12" t="s">
        <v>1180</v>
      </c>
    </row>
    <row r="81" customFormat="false" ht="23.85" hidden="false" customHeight="false" outlineLevel="0" collapsed="false">
      <c r="A81" s="10" t="s">
        <v>1181</v>
      </c>
      <c r="B81" s="10" t="s">
        <v>941</v>
      </c>
      <c r="C81" s="12" t="s">
        <v>1182</v>
      </c>
      <c r="D81" s="10" t="s">
        <v>973</v>
      </c>
      <c r="E81" s="12" t="s">
        <v>1183</v>
      </c>
    </row>
    <row r="82" customFormat="false" ht="23.85" hidden="false" customHeight="false" outlineLevel="0" collapsed="false">
      <c r="A82" s="10" t="s">
        <v>1184</v>
      </c>
      <c r="B82" s="10" t="s">
        <v>941</v>
      </c>
      <c r="C82" s="12" t="s">
        <v>1185</v>
      </c>
      <c r="D82" s="10" t="s">
        <v>1186</v>
      </c>
      <c r="E82" s="12" t="s">
        <v>1187</v>
      </c>
    </row>
    <row r="83" customFormat="false" ht="23.85" hidden="false" customHeight="false" outlineLevel="0" collapsed="false">
      <c r="A83" s="10" t="s">
        <v>1188</v>
      </c>
      <c r="B83" s="10" t="s">
        <v>982</v>
      </c>
      <c r="C83" s="12" t="s">
        <v>1189</v>
      </c>
      <c r="D83" s="10" t="s">
        <v>1190</v>
      </c>
      <c r="E83" s="12" t="s">
        <v>1191</v>
      </c>
    </row>
    <row r="84" customFormat="false" ht="23.85" hidden="false" customHeight="false" outlineLevel="0" collapsed="false">
      <c r="A84" s="10" t="s">
        <v>351</v>
      </c>
      <c r="B84" s="10" t="s">
        <v>941</v>
      </c>
      <c r="C84" s="12" t="s">
        <v>1192</v>
      </c>
      <c r="D84" s="10" t="s">
        <v>825</v>
      </c>
      <c r="E84" s="12" t="s">
        <v>1193</v>
      </c>
    </row>
    <row r="85" customFormat="false" ht="35.05" hidden="false" customHeight="false" outlineLevel="0" collapsed="false">
      <c r="A85" s="10" t="s">
        <v>980</v>
      </c>
      <c r="B85" s="10" t="s">
        <v>978</v>
      </c>
      <c r="C85" s="12" t="s">
        <v>1194</v>
      </c>
      <c r="D85" s="10" t="s">
        <v>1195</v>
      </c>
      <c r="E85" s="12" t="s">
        <v>1196</v>
      </c>
    </row>
    <row r="86" customFormat="false" ht="15" hidden="false" customHeight="false" outlineLevel="0" collapsed="false">
      <c r="A86" s="10" t="s">
        <v>1197</v>
      </c>
      <c r="B86" s="10" t="s">
        <v>978</v>
      </c>
      <c r="C86" s="12" t="s">
        <v>1198</v>
      </c>
      <c r="D86" s="10" t="s">
        <v>980</v>
      </c>
      <c r="E86" s="12" t="s">
        <v>980</v>
      </c>
    </row>
    <row r="87" customFormat="false" ht="23.85" hidden="false" customHeight="false" outlineLevel="0" collapsed="false">
      <c r="A87" s="10" t="s">
        <v>1199</v>
      </c>
      <c r="B87" s="10" t="s">
        <v>982</v>
      </c>
      <c r="C87" s="12" t="s">
        <v>1200</v>
      </c>
      <c r="D87" s="10" t="s">
        <v>1201</v>
      </c>
      <c r="E87" s="12" t="s">
        <v>1202</v>
      </c>
    </row>
    <row r="88" customFormat="false" ht="15" hidden="false" customHeight="false" outlineLevel="0" collapsed="false">
      <c r="A88" s="10" t="s">
        <v>1203</v>
      </c>
      <c r="B88" s="10" t="s">
        <v>956</v>
      </c>
      <c r="C88" s="12" t="s">
        <v>1204</v>
      </c>
      <c r="D88" s="10" t="s">
        <v>66</v>
      </c>
      <c r="E88" s="12" t="s">
        <v>839</v>
      </c>
    </row>
    <row r="89" customFormat="false" ht="23.85" hidden="false" customHeight="false" outlineLevel="0" collapsed="false">
      <c r="A89" s="10" t="s">
        <v>987</v>
      </c>
      <c r="B89" s="10" t="s">
        <v>956</v>
      </c>
      <c r="C89" s="12" t="s">
        <v>1205</v>
      </c>
      <c r="D89" s="10" t="s">
        <v>1206</v>
      </c>
      <c r="E89" s="12" t="s">
        <v>988</v>
      </c>
    </row>
    <row r="90" customFormat="false" ht="23.85" hidden="false" customHeight="false" outlineLevel="0" collapsed="false">
      <c r="A90" s="10" t="s">
        <v>1207</v>
      </c>
      <c r="B90" s="10" t="s">
        <v>956</v>
      </c>
      <c r="C90" s="12" t="s">
        <v>1208</v>
      </c>
      <c r="D90" s="10" t="s">
        <v>987</v>
      </c>
      <c r="E90" s="12" t="s">
        <v>1209</v>
      </c>
    </row>
    <row r="91" customFormat="false" ht="15" hidden="false" customHeight="false" outlineLevel="0" collapsed="false">
      <c r="A91" s="10" t="s">
        <v>1210</v>
      </c>
      <c r="B91" s="10" t="s">
        <v>956</v>
      </c>
      <c r="C91" s="12" t="s">
        <v>1211</v>
      </c>
      <c r="D91" s="10" t="s">
        <v>1010</v>
      </c>
      <c r="E91" s="12" t="s">
        <v>1212</v>
      </c>
    </row>
    <row r="92" customFormat="false" ht="23.85" hidden="false" customHeight="false" outlineLevel="0" collapsed="false">
      <c r="A92" s="10" t="s">
        <v>1213</v>
      </c>
      <c r="B92" s="10" t="s">
        <v>961</v>
      </c>
      <c r="C92" s="12" t="s">
        <v>1214</v>
      </c>
      <c r="D92" s="10" t="s">
        <v>785</v>
      </c>
      <c r="E92" s="12" t="s">
        <v>1215</v>
      </c>
    </row>
    <row r="93" customFormat="false" ht="23.85" hidden="false" customHeight="false" outlineLevel="0" collapsed="false">
      <c r="A93" s="10" t="s">
        <v>1215</v>
      </c>
      <c r="B93" s="10" t="s">
        <v>961</v>
      </c>
      <c r="C93" s="12" t="s">
        <v>1216</v>
      </c>
      <c r="D93" s="10" t="s">
        <v>785</v>
      </c>
      <c r="E93" s="12" t="s">
        <v>1213</v>
      </c>
    </row>
    <row r="94" customFormat="false" ht="23.85" hidden="false" customHeight="false" outlineLevel="0" collapsed="false">
      <c r="A94" s="10" t="s">
        <v>1217</v>
      </c>
      <c r="B94" s="10" t="s">
        <v>941</v>
      </c>
      <c r="C94" s="12" t="s">
        <v>1218</v>
      </c>
      <c r="D94" s="10" t="s">
        <v>825</v>
      </c>
      <c r="E94" s="12" t="s">
        <v>503</v>
      </c>
    </row>
    <row r="95" customFormat="false" ht="23.85" hidden="false" customHeight="false" outlineLevel="0" collapsed="false">
      <c r="A95" s="10" t="s">
        <v>1219</v>
      </c>
      <c r="B95" s="10" t="s">
        <v>941</v>
      </c>
      <c r="C95" s="12" t="s">
        <v>1220</v>
      </c>
      <c r="D95" s="10" t="s">
        <v>825</v>
      </c>
      <c r="E95" s="12" t="s">
        <v>1221</v>
      </c>
    </row>
    <row r="96" customFormat="false" ht="23.85" hidden="false" customHeight="false" outlineLevel="0" collapsed="false">
      <c r="A96" s="10" t="s">
        <v>682</v>
      </c>
      <c r="B96" s="10" t="s">
        <v>961</v>
      </c>
      <c r="C96" s="12" t="s">
        <v>1222</v>
      </c>
      <c r="D96" s="10" t="s">
        <v>782</v>
      </c>
      <c r="E96" s="12" t="s">
        <v>1223</v>
      </c>
    </row>
    <row r="97" customFormat="false" ht="23.85" hidden="false" customHeight="false" outlineLevel="0" collapsed="false">
      <c r="A97" s="10" t="s">
        <v>1224</v>
      </c>
      <c r="B97" s="10" t="s">
        <v>961</v>
      </c>
      <c r="C97" s="12" t="s">
        <v>1225</v>
      </c>
      <c r="D97" s="10" t="s">
        <v>961</v>
      </c>
      <c r="E97" s="12" t="s">
        <v>1023</v>
      </c>
    </row>
    <row r="98" customFormat="false" ht="23.85" hidden="false" customHeight="false" outlineLevel="0" collapsed="false">
      <c r="A98" s="10" t="s">
        <v>1226</v>
      </c>
      <c r="B98" s="10" t="s">
        <v>941</v>
      </c>
      <c r="C98" s="12" t="s">
        <v>1227</v>
      </c>
      <c r="D98" s="10" t="s">
        <v>1228</v>
      </c>
      <c r="E98" s="12" t="s">
        <v>952</v>
      </c>
    </row>
    <row r="99" customFormat="false" ht="23.85" hidden="false" customHeight="false" outlineLevel="0" collapsed="false">
      <c r="A99" s="10" t="s">
        <v>1229</v>
      </c>
      <c r="B99" s="10" t="s">
        <v>956</v>
      </c>
      <c r="C99" s="12" t="s">
        <v>1230</v>
      </c>
      <c r="D99" s="10" t="s">
        <v>1231</v>
      </c>
      <c r="E99" s="12" t="s">
        <v>1232</v>
      </c>
    </row>
  </sheetData>
  <autoFilter ref="A1:E1"/>
  <dataValidations count="1">
    <dataValidation allowBlank="true" errorStyle="stop" operator="between" showDropDown="false" showErrorMessage="false" showInputMessage="false" sqref="B2:B300" type="list">
      <formula1>Listas!$S$2:$S$7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6"/>
    <col collapsed="false" customWidth="true" hidden="false" outlineLevel="0" max="3" min="3" style="0" width="50"/>
    <col collapsed="false" customWidth="true" hidden="false" outlineLevel="0" max="4" min="4" style="0" width="90"/>
  </cols>
  <sheetData>
    <row r="1" customFormat="false" ht="30" hidden="false" customHeight="true" outlineLevel="0" collapsed="false">
      <c r="A1" s="9" t="s">
        <v>71</v>
      </c>
      <c r="B1" s="9" t="s">
        <v>70</v>
      </c>
      <c r="C1" s="9" t="s">
        <v>1233</v>
      </c>
      <c r="D1" s="9" t="s">
        <v>518</v>
      </c>
    </row>
    <row r="2" customFormat="false" ht="35.05" hidden="false" customHeight="false" outlineLevel="0" collapsed="false">
      <c r="A2" s="11" t="n">
        <v>1</v>
      </c>
      <c r="B2" s="10" t="s">
        <v>1234</v>
      </c>
      <c r="C2" s="12" t="s">
        <v>1235</v>
      </c>
      <c r="D2" s="12" t="s">
        <v>1236</v>
      </c>
    </row>
    <row r="3" customFormat="false" ht="46.25" hidden="false" customHeight="false" outlineLevel="0" collapsed="false">
      <c r="A3" s="11" t="n">
        <v>2</v>
      </c>
      <c r="B3" s="10" t="s">
        <v>1234</v>
      </c>
      <c r="C3" s="12" t="s">
        <v>1237</v>
      </c>
      <c r="D3" s="12" t="s">
        <v>1238</v>
      </c>
    </row>
    <row r="4" customFormat="false" ht="46.25" hidden="false" customHeight="false" outlineLevel="0" collapsed="false">
      <c r="A4" s="11" t="n">
        <v>3</v>
      </c>
      <c r="B4" s="10" t="s">
        <v>1234</v>
      </c>
      <c r="C4" s="12" t="s">
        <v>1239</v>
      </c>
      <c r="D4" s="12" t="s">
        <v>1240</v>
      </c>
    </row>
    <row r="5" customFormat="false" ht="35.05" hidden="false" customHeight="false" outlineLevel="0" collapsed="false">
      <c r="A5" s="11" t="n">
        <v>4</v>
      </c>
      <c r="B5" s="10" t="s">
        <v>1234</v>
      </c>
      <c r="C5" s="12" t="s">
        <v>1241</v>
      </c>
      <c r="D5" s="12" t="s">
        <v>1242</v>
      </c>
    </row>
    <row r="6" customFormat="false" ht="35.05" hidden="false" customHeight="false" outlineLevel="0" collapsed="false">
      <c r="A6" s="11" t="n">
        <v>5</v>
      </c>
      <c r="B6" s="10" t="s">
        <v>1243</v>
      </c>
      <c r="C6" s="12" t="s">
        <v>1244</v>
      </c>
      <c r="D6" s="12" t="s">
        <v>1245</v>
      </c>
    </row>
    <row r="7" customFormat="false" ht="35.05" hidden="false" customHeight="false" outlineLevel="0" collapsed="false">
      <c r="A7" s="11" t="n">
        <v>6</v>
      </c>
      <c r="B7" s="10" t="s">
        <v>1243</v>
      </c>
      <c r="C7" s="12" t="s">
        <v>1246</v>
      </c>
      <c r="D7" s="12" t="s">
        <v>1247</v>
      </c>
    </row>
    <row r="8" customFormat="false" ht="35.05" hidden="false" customHeight="false" outlineLevel="0" collapsed="false">
      <c r="A8" s="11" t="n">
        <v>7</v>
      </c>
      <c r="B8" s="10" t="s">
        <v>1243</v>
      </c>
      <c r="C8" s="12" t="s">
        <v>1248</v>
      </c>
      <c r="D8" s="12" t="s">
        <v>1249</v>
      </c>
    </row>
    <row r="9" customFormat="false" ht="35.05" hidden="false" customHeight="false" outlineLevel="0" collapsed="false">
      <c r="A9" s="11" t="n">
        <v>8</v>
      </c>
      <c r="B9" s="10" t="s">
        <v>1243</v>
      </c>
      <c r="C9" s="12" t="s">
        <v>1250</v>
      </c>
      <c r="D9" s="12" t="s">
        <v>1251</v>
      </c>
    </row>
    <row r="10" customFormat="false" ht="35.05" hidden="false" customHeight="false" outlineLevel="0" collapsed="false">
      <c r="A10" s="11" t="n">
        <v>9</v>
      </c>
      <c r="B10" s="10" t="s">
        <v>1252</v>
      </c>
      <c r="C10" s="12" t="s">
        <v>1253</v>
      </c>
      <c r="D10" s="12" t="s">
        <v>1254</v>
      </c>
    </row>
    <row r="11" customFormat="false" ht="35.05" hidden="false" customHeight="false" outlineLevel="0" collapsed="false">
      <c r="A11" s="11" t="n">
        <v>10</v>
      </c>
      <c r="B11" s="10" t="s">
        <v>1252</v>
      </c>
      <c r="C11" s="12" t="s">
        <v>1255</v>
      </c>
      <c r="D11" s="12" t="s">
        <v>1256</v>
      </c>
    </row>
    <row r="12" customFormat="false" ht="35.05" hidden="false" customHeight="false" outlineLevel="0" collapsed="false">
      <c r="A12" s="11" t="n">
        <v>11</v>
      </c>
      <c r="B12" s="10" t="s">
        <v>1252</v>
      </c>
      <c r="C12" s="12" t="s">
        <v>1257</v>
      </c>
      <c r="D12" s="12" t="s">
        <v>1258</v>
      </c>
    </row>
    <row r="13" customFormat="false" ht="35.05" hidden="false" customHeight="false" outlineLevel="0" collapsed="false">
      <c r="A13" s="11" t="n">
        <v>12</v>
      </c>
      <c r="B13" s="10" t="s">
        <v>1252</v>
      </c>
      <c r="C13" s="12" t="s">
        <v>1259</v>
      </c>
      <c r="D13" s="12" t="s">
        <v>1260</v>
      </c>
    </row>
    <row r="14" customFormat="false" ht="35.05" hidden="false" customHeight="false" outlineLevel="0" collapsed="false">
      <c r="A14" s="11" t="n">
        <v>13</v>
      </c>
      <c r="B14" s="10" t="s">
        <v>1261</v>
      </c>
      <c r="C14" s="12" t="s">
        <v>1262</v>
      </c>
      <c r="D14" s="12" t="s">
        <v>1263</v>
      </c>
    </row>
    <row r="15" customFormat="false" ht="35.05" hidden="false" customHeight="false" outlineLevel="0" collapsed="false">
      <c r="A15" s="11" t="n">
        <v>14</v>
      </c>
      <c r="B15" s="10" t="s">
        <v>1261</v>
      </c>
      <c r="C15" s="12" t="s">
        <v>1264</v>
      </c>
      <c r="D15" s="12" t="s">
        <v>1265</v>
      </c>
    </row>
    <row r="16" customFormat="false" ht="35.05" hidden="false" customHeight="false" outlineLevel="0" collapsed="false">
      <c r="A16" s="11" t="n">
        <v>15</v>
      </c>
      <c r="B16" s="10" t="s">
        <v>1261</v>
      </c>
      <c r="C16" s="12" t="s">
        <v>1266</v>
      </c>
      <c r="D16" s="12" t="s">
        <v>1267</v>
      </c>
    </row>
    <row r="17" customFormat="false" ht="23.85" hidden="false" customHeight="false" outlineLevel="0" collapsed="false">
      <c r="A17" s="11" t="n">
        <v>16</v>
      </c>
      <c r="B17" s="10" t="s">
        <v>1261</v>
      </c>
      <c r="C17" s="12" t="s">
        <v>1268</v>
      </c>
      <c r="D17" s="12" t="s">
        <v>1269</v>
      </c>
    </row>
    <row r="18" customFormat="false" ht="35.05" hidden="false" customHeight="false" outlineLevel="0" collapsed="false">
      <c r="A18" s="11" t="n">
        <v>17</v>
      </c>
      <c r="B18" s="10" t="s">
        <v>1177</v>
      </c>
      <c r="C18" s="12" t="s">
        <v>1270</v>
      </c>
      <c r="D18" s="12" t="s">
        <v>1271</v>
      </c>
    </row>
    <row r="19" customFormat="false" ht="23.85" hidden="false" customHeight="false" outlineLevel="0" collapsed="false">
      <c r="A19" s="11" t="n">
        <v>18</v>
      </c>
      <c r="B19" s="10" t="s">
        <v>1177</v>
      </c>
      <c r="C19" s="12" t="s">
        <v>1272</v>
      </c>
      <c r="D19" s="12" t="s">
        <v>1273</v>
      </c>
    </row>
    <row r="20" customFormat="false" ht="23.85" hidden="false" customHeight="false" outlineLevel="0" collapsed="false">
      <c r="A20" s="11" t="n">
        <v>19</v>
      </c>
      <c r="B20" s="10" t="s">
        <v>1177</v>
      </c>
      <c r="C20" s="12" t="s">
        <v>1274</v>
      </c>
      <c r="D20" s="12" t="s">
        <v>1275</v>
      </c>
    </row>
    <row r="21" customFormat="false" ht="35.05" hidden="false" customHeight="false" outlineLevel="0" collapsed="false">
      <c r="A21" s="11" t="n">
        <v>20</v>
      </c>
      <c r="B21" s="10" t="s">
        <v>1177</v>
      </c>
      <c r="C21" s="12" t="s">
        <v>1276</v>
      </c>
      <c r="D21" s="12" t="s">
        <v>1277</v>
      </c>
    </row>
    <row r="22" customFormat="false" ht="23.85" hidden="false" customHeight="false" outlineLevel="0" collapsed="false">
      <c r="A22" s="11" t="n">
        <v>21</v>
      </c>
      <c r="B22" s="10" t="s">
        <v>1278</v>
      </c>
      <c r="C22" s="12" t="s">
        <v>1279</v>
      </c>
      <c r="D22" s="12" t="s">
        <v>1280</v>
      </c>
    </row>
    <row r="23" customFormat="false" ht="23.85" hidden="false" customHeight="false" outlineLevel="0" collapsed="false">
      <c r="A23" s="11" t="n">
        <v>22</v>
      </c>
      <c r="B23" s="10" t="s">
        <v>1278</v>
      </c>
      <c r="C23" s="12" t="s">
        <v>1281</v>
      </c>
      <c r="D23" s="12" t="s">
        <v>1282</v>
      </c>
    </row>
    <row r="24" customFormat="false" ht="35.05" hidden="false" customHeight="false" outlineLevel="0" collapsed="false">
      <c r="A24" s="11" t="n">
        <v>23</v>
      </c>
      <c r="B24" s="10" t="s">
        <v>1278</v>
      </c>
      <c r="C24" s="12" t="s">
        <v>1283</v>
      </c>
      <c r="D24" s="12" t="s">
        <v>1284</v>
      </c>
    </row>
    <row r="25" customFormat="false" ht="35.05" hidden="false" customHeight="false" outlineLevel="0" collapsed="false">
      <c r="A25" s="11" t="n">
        <v>24</v>
      </c>
      <c r="B25" s="10" t="s">
        <v>1278</v>
      </c>
      <c r="C25" s="12" t="s">
        <v>1285</v>
      </c>
      <c r="D25" s="12" t="s">
        <v>1286</v>
      </c>
    </row>
  </sheetData>
  <autoFilter ref="A1:D1"/>
  <dataValidations count="1">
    <dataValidation allowBlank="true" errorStyle="stop" operator="between" showDropDown="false" showErrorMessage="false" showInputMessage="false" sqref="B2:B300" type="list">
      <formula1>Listas!$T$2:$T$7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90"/>
  </cols>
  <sheetData>
    <row r="1" customFormat="false" ht="30" hidden="false" customHeight="true" outlineLevel="0" collapsed="false">
      <c r="A1" s="9" t="s">
        <v>1287</v>
      </c>
      <c r="B1" s="9" t="s">
        <v>1288</v>
      </c>
    </row>
    <row r="2" customFormat="false" ht="15" hidden="false" customHeight="false" outlineLevel="0" collapsed="false">
      <c r="A2" s="10" t="s">
        <v>1289</v>
      </c>
      <c r="B2" s="12" t="s">
        <v>1290</v>
      </c>
    </row>
    <row r="3" customFormat="false" ht="15" hidden="false" customHeight="false" outlineLevel="0" collapsed="false">
      <c r="A3" s="10" t="s">
        <v>1291</v>
      </c>
      <c r="B3" s="12" t="s">
        <v>1292</v>
      </c>
    </row>
    <row r="4" customFormat="false" ht="15" hidden="false" customHeight="false" outlineLevel="0" collapsed="false">
      <c r="A4" s="10" t="s">
        <v>1293</v>
      </c>
      <c r="B4" s="12" t="s">
        <v>916</v>
      </c>
    </row>
    <row r="5" customFormat="false" ht="23.85" hidden="false" customHeight="false" outlineLevel="0" collapsed="false">
      <c r="A5" s="10" t="s">
        <v>1294</v>
      </c>
      <c r="B5" s="12" t="s">
        <v>786</v>
      </c>
    </row>
    <row r="6" customFormat="false" ht="23.85" hidden="false" customHeight="false" outlineLevel="0" collapsed="false">
      <c r="A6" s="10" t="s">
        <v>1295</v>
      </c>
      <c r="B6" s="12" t="s">
        <v>790</v>
      </c>
    </row>
  </sheetData>
  <autoFilter ref="A1:B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0"/>
    <col collapsed="false" customWidth="true" hidden="false" outlineLevel="0" max="3" min="3" style="0" width="38"/>
    <col collapsed="false" customWidth="true" hidden="false" outlineLevel="0" max="4" min="4" style="0" width="13"/>
    <col collapsed="false" customWidth="true" hidden="false" outlineLevel="0" max="5" min="5" style="0" width="15"/>
    <col collapsed="false" customWidth="true" hidden="false" outlineLevel="0" max="6" min="6" style="0" width="10"/>
    <col collapsed="false" customWidth="true" hidden="false" outlineLevel="0" max="7" min="7" style="0" width="16"/>
    <col collapsed="false" customWidth="true" hidden="false" outlineLevel="0" max="8" min="8" style="0" width="33"/>
    <col collapsed="false" customWidth="true" hidden="false" outlineLevel="0" max="9" min="9" style="0" width="21"/>
    <col collapsed="false" customWidth="true" hidden="false" outlineLevel="0" max="10" min="10" style="0" width="27"/>
    <col collapsed="false" customWidth="true" hidden="false" outlineLevel="0" max="11" min="11" style="0" width="17"/>
    <col collapsed="false" customWidth="true" hidden="false" outlineLevel="0" max="12" min="12" style="0" width="16"/>
    <col collapsed="false" customWidth="true" hidden="false" outlineLevel="0" max="13" min="13" style="0" width="15"/>
    <col collapsed="false" customWidth="true" hidden="false" outlineLevel="0" max="15" min="14" style="0" width="16"/>
    <col collapsed="false" customWidth="true" hidden="false" outlineLevel="0" max="16" min="16" style="0" width="15"/>
    <col collapsed="false" customWidth="true" hidden="false" outlineLevel="0" max="17" min="17" style="0" width="24"/>
    <col collapsed="false" customWidth="true" hidden="false" outlineLevel="0" max="18" min="18" style="0" width="19"/>
    <col collapsed="false" customWidth="true" hidden="false" outlineLevel="0" max="19" min="19" style="0" width="23"/>
    <col collapsed="false" customWidth="true" hidden="false" outlineLevel="0" max="20" min="20" style="0" width="31"/>
  </cols>
  <sheetData>
    <row r="1" customFormat="false" ht="15" hidden="false" customHeight="false" outlineLevel="0" collapsed="false">
      <c r="A1" s="9" t="s">
        <v>1296</v>
      </c>
      <c r="B1" s="9" t="s">
        <v>188</v>
      </c>
      <c r="C1" s="9" t="s">
        <v>189</v>
      </c>
      <c r="D1" s="9" t="s">
        <v>186</v>
      </c>
      <c r="E1" s="9" t="s">
        <v>187</v>
      </c>
      <c r="F1" s="9" t="s">
        <v>1297</v>
      </c>
      <c r="G1" s="9" t="s">
        <v>1298</v>
      </c>
      <c r="H1" s="9" t="s">
        <v>444</v>
      </c>
      <c r="I1" s="9" t="s">
        <v>1299</v>
      </c>
      <c r="J1" s="9" t="s">
        <v>1300</v>
      </c>
      <c r="K1" s="9" t="s">
        <v>1301</v>
      </c>
      <c r="L1" s="9" t="s">
        <v>1302</v>
      </c>
      <c r="M1" s="9" t="s">
        <v>562</v>
      </c>
      <c r="N1" s="9" t="s">
        <v>565</v>
      </c>
      <c r="O1" s="9" t="s">
        <v>1303</v>
      </c>
      <c r="P1" s="9" t="s">
        <v>1304</v>
      </c>
      <c r="Q1" s="9" t="s">
        <v>1305</v>
      </c>
      <c r="R1" s="9" t="s">
        <v>1306</v>
      </c>
      <c r="S1" s="9" t="s">
        <v>1307</v>
      </c>
      <c r="T1" s="9" t="s">
        <v>1308</v>
      </c>
    </row>
    <row r="2" customFormat="false" ht="15" hidden="false" customHeight="false" outlineLevel="0" collapsed="false">
      <c r="A2" s="16" t="s">
        <v>85</v>
      </c>
      <c r="B2" s="16" t="s">
        <v>280</v>
      </c>
      <c r="C2" s="16" t="s">
        <v>281</v>
      </c>
      <c r="D2" s="16" t="s">
        <v>217</v>
      </c>
      <c r="E2" s="16" t="s">
        <v>217</v>
      </c>
      <c r="F2" s="16" t="s">
        <v>228</v>
      </c>
      <c r="G2" s="16" t="s">
        <v>183</v>
      </c>
      <c r="H2" s="16" t="s">
        <v>451</v>
      </c>
      <c r="I2" s="16" t="s">
        <v>454</v>
      </c>
      <c r="J2" s="16" t="s">
        <v>524</v>
      </c>
      <c r="K2" s="16" t="s">
        <v>525</v>
      </c>
      <c r="L2" s="16" t="s">
        <v>535</v>
      </c>
      <c r="M2" s="16" t="s">
        <v>586</v>
      </c>
      <c r="N2" s="16" t="s">
        <v>577</v>
      </c>
      <c r="O2" s="16" t="s">
        <v>623</v>
      </c>
      <c r="P2" s="16" t="s">
        <v>721</v>
      </c>
      <c r="Q2" s="16" t="s">
        <v>781</v>
      </c>
      <c r="R2" s="16" t="s">
        <v>793</v>
      </c>
      <c r="S2" s="16" t="s">
        <v>941</v>
      </c>
      <c r="T2" s="16" t="s">
        <v>1234</v>
      </c>
    </row>
    <row r="3" customFormat="false" ht="15" hidden="false" customHeight="false" outlineLevel="0" collapsed="false">
      <c r="A3" s="16" t="s">
        <v>110</v>
      </c>
      <c r="B3" s="16" t="s">
        <v>235</v>
      </c>
      <c r="C3" s="16" t="s">
        <v>236</v>
      </c>
      <c r="D3" s="16" t="s">
        <v>234</v>
      </c>
      <c r="E3" s="16" t="s">
        <v>234</v>
      </c>
      <c r="F3" s="16" t="s">
        <v>245</v>
      </c>
      <c r="G3" s="16" t="s">
        <v>315</v>
      </c>
      <c r="H3" s="16" t="s">
        <v>489</v>
      </c>
      <c r="I3" s="16" t="s">
        <v>500</v>
      </c>
      <c r="J3" s="16" t="s">
        <v>530</v>
      </c>
      <c r="K3" s="16" t="s">
        <v>1309</v>
      </c>
      <c r="L3" s="16" t="s">
        <v>527</v>
      </c>
      <c r="M3" s="16" t="s">
        <v>572</v>
      </c>
      <c r="N3" s="16" t="s">
        <v>1310</v>
      </c>
      <c r="O3" s="16" t="s">
        <v>639</v>
      </c>
      <c r="P3" s="16" t="s">
        <v>729</v>
      </c>
      <c r="Q3" s="16" t="s">
        <v>792</v>
      </c>
      <c r="R3" s="16" t="s">
        <v>807</v>
      </c>
      <c r="S3" s="16" t="s">
        <v>956</v>
      </c>
      <c r="T3" s="16" t="s">
        <v>1243</v>
      </c>
    </row>
    <row r="4" customFormat="false" ht="15" hidden="false" customHeight="false" outlineLevel="0" collapsed="false">
      <c r="A4" s="16" t="s">
        <v>147</v>
      </c>
      <c r="B4" s="16" t="s">
        <v>218</v>
      </c>
      <c r="C4" s="16" t="s">
        <v>1311</v>
      </c>
      <c r="D4" s="16" t="s">
        <v>308</v>
      </c>
      <c r="E4" s="16" t="s">
        <v>308</v>
      </c>
      <c r="G4" s="16" t="s">
        <v>351</v>
      </c>
      <c r="H4" s="16" t="s">
        <v>484</v>
      </c>
      <c r="I4" s="16" t="s">
        <v>492</v>
      </c>
      <c r="J4" s="16" t="s">
        <v>538</v>
      </c>
      <c r="K4" s="16" t="s">
        <v>1312</v>
      </c>
      <c r="L4" s="16" t="s">
        <v>556</v>
      </c>
      <c r="N4" s="16" t="s">
        <v>573</v>
      </c>
      <c r="O4" s="16" t="s">
        <v>632</v>
      </c>
      <c r="P4" s="16" t="s">
        <v>737</v>
      </c>
      <c r="Q4" s="16" t="s">
        <v>821</v>
      </c>
      <c r="R4" s="16" t="s">
        <v>802</v>
      </c>
      <c r="S4" s="16" t="s">
        <v>961</v>
      </c>
      <c r="T4" s="16" t="s">
        <v>1252</v>
      </c>
    </row>
    <row r="5" customFormat="false" ht="15" hidden="false" customHeight="false" outlineLevel="0" collapsed="false">
      <c r="B5" s="16" t="s">
        <v>1313</v>
      </c>
      <c r="C5" s="16" t="s">
        <v>1314</v>
      </c>
      <c r="G5" s="16" t="s">
        <v>503</v>
      </c>
      <c r="H5" s="16" t="s">
        <v>475</v>
      </c>
      <c r="I5" s="16" t="s">
        <v>1315</v>
      </c>
      <c r="J5" s="16" t="s">
        <v>545</v>
      </c>
      <c r="K5" s="16" t="s">
        <v>1316</v>
      </c>
      <c r="N5" s="16" t="s">
        <v>1317</v>
      </c>
      <c r="O5" s="16" t="s">
        <v>648</v>
      </c>
      <c r="P5" s="16" t="s">
        <v>757</v>
      </c>
      <c r="Q5" s="16" t="s">
        <v>871</v>
      </c>
      <c r="R5" s="16" t="s">
        <v>816</v>
      </c>
      <c r="S5" s="16" t="s">
        <v>978</v>
      </c>
      <c r="T5" s="16" t="s">
        <v>1261</v>
      </c>
    </row>
    <row r="6" customFormat="false" ht="15" hidden="false" customHeight="false" outlineLevel="0" collapsed="false">
      <c r="C6" s="16" t="s">
        <v>219</v>
      </c>
      <c r="H6" s="16" t="s">
        <v>466</v>
      </c>
      <c r="J6" s="16" t="s">
        <v>1318</v>
      </c>
      <c r="N6" s="16" t="s">
        <v>604</v>
      </c>
      <c r="O6" s="16" t="s">
        <v>656</v>
      </c>
      <c r="P6" s="16" t="s">
        <v>765</v>
      </c>
      <c r="Q6" s="16" t="s">
        <v>892</v>
      </c>
      <c r="R6" s="16" t="s">
        <v>843</v>
      </c>
      <c r="S6" s="16" t="s">
        <v>982</v>
      </c>
      <c r="T6" s="16" t="s">
        <v>1177</v>
      </c>
    </row>
    <row r="7" customFormat="false" ht="15" hidden="false" customHeight="false" outlineLevel="0" collapsed="false">
      <c r="H7" s="16" t="s">
        <v>458</v>
      </c>
      <c r="J7" s="16" t="s">
        <v>1319</v>
      </c>
      <c r="O7" s="16" t="s">
        <v>665</v>
      </c>
      <c r="R7" s="16" t="s">
        <v>865</v>
      </c>
      <c r="S7" s="16" t="s">
        <v>965</v>
      </c>
      <c r="T7" s="16" t="s">
        <v>1278</v>
      </c>
    </row>
    <row r="8" customFormat="false" ht="15" hidden="false" customHeight="false" outlineLevel="0" collapsed="false">
      <c r="H8" s="16" t="s">
        <v>471</v>
      </c>
      <c r="O8" s="16" t="s">
        <v>614</v>
      </c>
    </row>
    <row r="9" customFormat="false" ht="15" hidden="false" customHeight="false" outlineLevel="0" collapsed="false">
      <c r="H9" s="16" t="s">
        <v>510</v>
      </c>
      <c r="O9" s="16" t="s">
        <v>1320</v>
      </c>
    </row>
    <row r="10" customFormat="false" ht="15" hidden="false" customHeight="false" outlineLevel="0" collapsed="false">
      <c r="H10" s="16" t="s">
        <v>1321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2026-07-23T16:31:44Z</dcterms:created>
  <dc:creator>openpyxl</dc:creator>
  <dc:description/>
  <dc:language>en-US</dc:language>
  <cp:lastModifiedBy/>
  <dcterms:modified xsi:type="dcterms:W3CDTF">2026-07-23T16:31:44Z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