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EIA-ME" sheetId="1" r:id="rId1"/>
    <sheet name="Dicionario" sheetId="2" r:id="rId2"/>
    <sheet name="Macroprocessos" sheetId="3" r:id="rId3"/>
    <sheet name="Processos" sheetId="4" r:id="rId4"/>
    <sheet name="Subprocessos" sheetId="5" r:id="rId5"/>
    <sheet name="Atividades" sheetId="6" r:id="rId6"/>
    <sheet name="Tarefas" sheetId="7" r:id="rId7"/>
    <sheet name="Documentos" sheetId="8" r:id="rId8"/>
    <sheet name="Riscos" sheetId="9" r:id="rId9"/>
    <sheet name="Metricas" sheetId="10" r:id="rId10"/>
    <sheet name="Medicoes" sheetId="11" r:id="rId11"/>
    <sheet name="Papeis" sheetId="12" r:id="rId12"/>
    <sheet name="Regras" sheetId="13" r:id="rId13"/>
    <sheet name="Cultura_Processos" sheetId="14" r:id="rId14"/>
    <sheet name="Iniciativas" sheetId="15" r:id="rId15"/>
    <sheet name="Competencias" sheetId="16" r:id="rId16"/>
    <sheet name="Jornada" sheetId="17" r:id="rId17"/>
    <sheet name="Repositorio" sheetId="18" r:id="rId18"/>
    <sheet name="NUGEP" sheetId="19" r:id="rId19"/>
    <sheet name="Glossario" sheetId="20" r:id="rId20"/>
    <sheet name="FAQ" sheetId="21" r:id="rId21"/>
    <sheet name="Siglas" sheetId="22" r:id="rId22"/>
    <sheet name="Parametros" sheetId="23" r:id="rId23"/>
    <sheet name="Listas" sheetId="24" r:id="rId24"/>
    <sheet name="Equipe_Gerenciamento_Processos" sheetId="25" r:id="rId26"/>
  </sheets>
</workbook>
</file>

<file path=xl/styles.xml><?xml version="1.0" encoding="utf-8"?>
<styleSheet xmlns="http://schemas.openxmlformats.org/spreadsheetml/2006/main">
  <numFmts count="0"/>
  <fonts count="2">
    <font>
      <sz val="10"/>
      <name val="Arial"/>
    </font>
    <font>
      <sz val="10"/>
      <name val="Arial"/>
      <b/>
      <color rgb="FFFFFFFF"/>
    </font>
  </fonts>
  <fills count="5">
    <fill>
      <patternFill patternType="none"/>
    </fill>
    <fill>
      <patternFill patternType="gray125"/>
    </fill>
    <fill>
      <patternFill patternType="solid">
        <fgColor rgb="FF0040B4"/>
      </patternFill>
    </fill>
    <fill>
      <patternFill patternType="solid">
        <fgColor rgb="FFF5F8FC"/>
      </patternFill>
    </fill>
    <fill>
      <patternFill patternType="solid">
        <fgColor rgb="FFF0F0F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top"/>
    </xf>
    <xf numFmtId="0" fontId="0" fillId="3" borderId="1" xfId="0" applyFill="1" applyBorder="1" applyAlignment="1">
      <alignment vertical="top"/>
    </xf>
    <xf numFmtId="0" fontId="0" fillId="3" borderId="1" xfId="0" applyFill="1" applyBorder="1" applyAlignment="1">
      <alignment vertical="top" wrapText="1"/>
    </xf>
    <xf numFmtId="0" fontId="0" fillId="3" borderId="1" xfId="0" applyFill="1" applyBorder="1" applyAlignment="1">
      <alignment horizontal="center" vertical="top"/>
    </xf>
    <xf numFmtId="0" fontId="0" fillId="4" borderId="1" xfId="0" applyFill="1" applyBorder="1" applyAlignment="1">
      <alignment horizontal="center" vertical="top"/>
    </xf>
    <xf numFmtId="9" fontId="0" fillId="4" borderId="1" xfId="0" applyNumFmt="1" applyFill="1" applyBorder="1" applyAlignment="1">
      <alignment horizontal="center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styles" Target="styles.xml"/><Relationship Id="rId26" Type="http://schemas.openxmlformats.org/officeDocument/2006/relationships/worksheet" Target="worksheets/sheet25.xml"/></Relationships>
</file>

<file path=xl/worksheets/sheet1.xml><?xml version="1.0" encoding="utf-8"?>
<worksheet xmlns="http://schemas.openxmlformats.org/spreadsheetml/2006/main">
  <sheetPr>
    <tabColor rgb="FF0C326F"/>
  </sheetPr>
  <dimension ref="A1:B4"/>
  <sheetViews>
    <sheetView workbookViewId="0" zoomScale="90">
      <pane ySplit="1" topLeftCell="A2" activePane="bottomLeft" state="frozen"/>
      <selection pane="bottomLeft"/>
    </sheetView>
  </sheetViews>
  <cols>
    <col min="1" max="1" width="26" customWidth="1"/>
    <col min="2" max="2" width="100" customWidth="1"/>
  </cols>
  <sheetData>
    <row r="1">
      <c r="A1" s="1" t="inlineStr">
        <is>
          <t xml:space="preserve">Topico</t>
        </is>
      </c>
      <c r="B1" s="1" t="inlineStr">
        <is>
          <t xml:space="preserve">Conteudo</t>
        </is>
      </c>
    </row>
    <row r="2">
      <c r="A2" s="7" t="inlineStr">
        <is>
          <t xml:space="preserve">Sobre</t>
        </is>
      </c>
      <c r="B2" s="6" t="inlineStr">
        <is>
          <t xml:space="preserve">Fonte única de dados do Painel de Processos, dados fictícios. Ver aba Dicionario.</t>
        </is>
      </c>
    </row>
    <row r="3">
      <c r="A3" s="4" t="inlineStr">
        <is>
          <t xml:space="preserve">Vinculo_Codigo / Processos_Relacionados</t>
        </is>
      </c>
      <c r="B3" s="3" t="inlineStr">
        <is>
          <t xml:space="preserve">Usam o CAMINHO COMPLETO (ex. "MS-01/PP-01/SP-03"), igual a Reutilizado_Em — os códigos isolados (PP-/SP-/AT-/TR-) reiniciam a cada vínculo e deixaram de identificar um único item sozinhos.</t>
        </is>
      </c>
    </row>
    <row r="4">
      <c r="A4" s="7" t="inlineStr">
        <is>
          <t xml:space="preserve">Subprocesso dentro de subprocesso — numeração decimal</t>
        </is>
      </c>
      <c r="B4" s="6" t="inlineStr">
        <is>
          <t xml:space="preserve">Quando um Subprocesso é filho de OUTRO Subprocesso (em vez de um Processo), seu Código usa numeração decimal: {código do subprocesso pai}.{posição do filho} — ex.: o subprocesso SP-03 com 3 filhos aninhados vira SP-03.01, SP-03.02, SP-03.03. Isso diferencia visualmente um subprocesso aninhado de um subprocesso de 1º nível, mesmo sem abrir a Trilha. Se um desses filhos tiver, por sua vez, filhos, a mesma lógica se repete: SP-03.01.01, SP-03.01.02...</t>
        </is>
      </c>
    </row>
  </sheetData>
  <autoFilter ref="A1:B1"/>
</worksheet>
</file>

<file path=xl/worksheets/sheet2.xml><?xml version="1.0" encoding="utf-8"?>
<worksheet xmlns="http://schemas.openxmlformats.org/spreadsheetml/2006/main">
  <sheetPr>
    <tabColor rgb="FF0C326F"/>
  </sheetPr>
  <dimension ref="A1:D230"/>
  <sheetViews>
    <sheetView workbookViewId="0" zoomScale="90">
      <pane ySplit="1" topLeftCell="A2" activePane="bottomLeft" state="frozen"/>
      <selection pane="bottomLeft"/>
    </sheetView>
  </sheetViews>
  <cols>
    <col min="1" max="1" width="18" customWidth="1"/>
    <col min="2" max="2" width="32" customWidth="1"/>
    <col min="3" max="3" width="62" customWidth="1"/>
    <col min="4" max="4" width="46" customWidth="1"/>
  </cols>
  <sheetData>
    <row r="1">
      <c r="A1" s="1" t="inlineStr">
        <is>
          <t xml:space="preserve">Aba</t>
        </is>
      </c>
      <c r="B1" s="1" t="inlineStr">
        <is>
          <t xml:space="preserve">Coluna</t>
        </is>
      </c>
      <c r="C1" s="1" t="inlineStr">
        <is>
          <t xml:space="preserve">Descricao</t>
        </is>
      </c>
      <c r="D1" s="1" t="inlineStr">
        <is>
          <t xml:space="preserve">Exemplo</t>
        </is>
      </c>
    </row>
    <row r="2">
      <c r="A2" s="7" t="inlineStr">
        <is>
          <t xml:space="preserve">Macroprocessos</t>
        </is>
      </c>
      <c r="B2" s="7" t="inlineStr">
        <is>
          <t xml:space="preserve">Codigo</t>
        </is>
      </c>
      <c r="C2" s="6" t="inlineStr">
        <is>
          <t xml:space="preserve">Identificador sequencial dentro do nível, reiniciado a cada vínculo com o pai. Quando um Subprocesso está dentro de outro Subprocesso, o código do filho usa numeração decimal (ex. "SP-03.01", "SP-03.02"...) — o número do pai + "." + a posição do filho — para diferenciá-lo visualmente de um subprocesso de 1º nível.</t>
        </is>
      </c>
      <c r="D2" s="6" t="inlineStr">
        <is>
          <t xml:space="preserve">MG-01</t>
        </is>
      </c>
    </row>
    <row r="3">
      <c r="A3" s="4" t="inlineStr">
        <is>
          <t xml:space="preserve">Macroprocessos</t>
        </is>
      </c>
      <c r="B3" s="4" t="inlineStr">
        <is>
          <t xml:space="preserve">Nome</t>
        </is>
      </c>
      <c r="C3" s="3" t="inlineStr">
        <is>
          <t xml:space="preserve">Campo de preenchimento livre ou calculado — ver aba anterior.</t>
        </is>
      </c>
      <c r="D3" s="3" t="inlineStr">
        <is>
          <t xml:space="preserve">Gestão Estratégica e Governança</t>
        </is>
      </c>
    </row>
    <row r="4">
      <c r="A4" s="7" t="inlineStr">
        <is>
          <t xml:space="preserve">Macroprocessos</t>
        </is>
      </c>
      <c r="B4" s="7" t="inlineStr">
        <is>
          <t xml:space="preserve">Categoria</t>
        </is>
      </c>
      <c r="C4" s="6" t="inlineStr">
        <is>
          <t xml:space="preserve">Campo de preenchimento livre ou calculado — ver aba anterior.</t>
        </is>
      </c>
      <c r="D4" s="6" t="inlineStr">
        <is>
          <t xml:space="preserve">Gerencial</t>
        </is>
      </c>
    </row>
    <row r="5">
      <c r="A5" s="4" t="inlineStr">
        <is>
          <t xml:space="preserve">Macroprocessos</t>
        </is>
      </c>
      <c r="B5" s="4" t="inlineStr">
        <is>
          <t xml:space="preserve">Ordem</t>
        </is>
      </c>
      <c r="C5" s="3" t="inlineStr">
        <is>
          <t xml:space="preserve">Campo de preenchimento livre ou calculado — ver aba anterior.</t>
        </is>
      </c>
      <c r="D5" s="3">
        <v>1</v>
      </c>
    </row>
    <row r="6">
      <c r="A6" s="7" t="inlineStr">
        <is>
          <t xml:space="preserve">Macroprocessos</t>
        </is>
      </c>
      <c r="B6" s="7" t="inlineStr">
        <is>
          <t xml:space="preserve">Unidade_Organica_Responsavel</t>
        </is>
      </c>
      <c r="C6" s="6" t="inlineStr">
        <is>
          <t xml:space="preserve">Campo de preenchimento livre ou calculado — ver aba anterior.</t>
        </is>
      </c>
      <c r="D6" s="6" t="inlineStr">
        <is>
          <t xml:space="preserve">AE/GPE</t>
        </is>
      </c>
    </row>
    <row r="7">
      <c r="A7" s="4" t="inlineStr">
        <is>
          <t xml:space="preserve">Macroprocessos</t>
        </is>
      </c>
      <c r="B7" s="4" t="inlineStr">
        <is>
          <t xml:space="preserve">Descricao</t>
        </is>
      </c>
      <c r="C7" s="3" t="inlineStr">
        <is>
          <t xml:space="preserve">Campo de preenchimento livre ou calculado — ver aba anterior.</t>
        </is>
      </c>
      <c r="D7" s="3" t="inlineStr">
        <is>
          <t xml:space="preserve">Formulação, desdobramento e monitoramento da estratégia corporativa, da governança e do desempenh...</t>
        </is>
      </c>
    </row>
    <row r="8">
      <c r="A8" s="7" t="inlineStr">
        <is>
          <t xml:space="preserve">Macroprocessos</t>
        </is>
      </c>
      <c r="B8" s="7" t="inlineStr">
        <is>
          <t xml:space="preserve">Objetivo</t>
        </is>
      </c>
      <c r="C8" s="6" t="inlineStr">
        <is>
          <t xml:space="preserve">Campo de preenchimento livre ou calculado — ver aba anterior.</t>
        </is>
      </c>
      <c r="D8" s="6" t="inlineStr">
        <is>
          <t xml:space="preserve">Garantir que a atuação da Companhia esteja alinhada à estratégia, com decisões baseadas em evidên...</t>
        </is>
      </c>
    </row>
    <row r="9">
      <c r="A9" s="4" t="inlineStr">
        <is>
          <t xml:space="preserve">Macroprocessos</t>
        </is>
      </c>
      <c r="B9" s="4" t="inlineStr">
        <is>
          <t xml:space="preserve">Entregas</t>
        </is>
      </c>
      <c r="C9" s="3" t="inlineStr">
        <is>
          <t xml:space="preserve">Campo de preenchimento livre ou calculado — ver aba anterior.</t>
        </is>
      </c>
      <c r="D9" s="3" t="inlineStr">
        <is>
          <t xml:space="preserve">Plano Estratégico; Plano de Ação Anual; Relatórios de desempenho</t>
        </is>
      </c>
    </row>
    <row r="10">
      <c r="A10" s="7" t="inlineStr">
        <is>
          <t xml:space="preserve">Macroprocessos</t>
        </is>
      </c>
      <c r="B10" s="7" t="inlineStr">
        <is>
          <t xml:space="preserve">Beneficiarios</t>
        </is>
      </c>
      <c r="C10" s="6" t="inlineStr">
        <is>
          <t xml:space="preserve">Campo de preenchimento livre ou calculado — ver aba anterior.</t>
        </is>
      </c>
      <c r="D10" s="6" t="inlineStr">
        <is>
          <t xml:space="preserve">Diretoria Executiva; Conselho de Administração; Unidades internas</t>
        </is>
      </c>
    </row>
    <row r="11">
      <c r="A11" s="4" t="inlineStr">
        <is>
          <t xml:space="preserve">Macroprocessos</t>
        </is>
      </c>
      <c r="B11" s="4" t="inlineStr">
        <is>
          <t xml:space="preserve">Partes_Interessadas</t>
        </is>
      </c>
      <c r="C11" s="3" t="inlineStr">
        <is>
          <t xml:space="preserve">Campo de preenchimento livre ou calculado — ver aba anterior.</t>
        </is>
      </c>
      <c r="D11" s="3" t="inlineStr">
        <is>
          <t xml:space="preserve">Ministério supervisor; Órgãos de controle; Sociedade</t>
        </is>
      </c>
    </row>
    <row r="12">
      <c r="A12" s="7" t="inlineStr">
        <is>
          <t xml:space="preserve">Macroprocessos</t>
        </is>
      </c>
      <c r="B12" s="7" t="inlineStr">
        <is>
          <t xml:space="preserve">Sistemas</t>
        </is>
      </c>
      <c r="C12" s="6" t="inlineStr">
        <is>
          <t xml:space="preserve">Campo de preenchimento livre ou calculado — ver aba anterior.</t>
        </is>
      </c>
      <c r="D12" s="6" t="inlineStr">
        <is>
          <t xml:space="preserve">e-Codevasf; Painéis de BI</t>
        </is>
      </c>
    </row>
    <row r="13">
      <c r="A13" s="4" t="inlineStr">
        <is>
          <t xml:space="preserve">Macroprocessos</t>
        </is>
      </c>
      <c r="B13" s="4" t="inlineStr">
        <is>
          <t xml:space="preserve">Imagem_Bizagi</t>
        </is>
      </c>
      <c r="C13" s="3" t="inlineStr">
        <is>
          <t xml:space="preserve">Campo de preenchimento livre ou calculado — ver aba anterior.</t>
        </is>
      </c>
      <c r="D13" s="3" t="inlineStr">
        <is>
          <t xml:space="preserve">(sem exemplo)</t>
        </is>
      </c>
    </row>
    <row r="14">
      <c r="A14" s="7" t="inlineStr">
        <is>
          <t xml:space="preserve">Macroprocessos</t>
        </is>
      </c>
      <c r="B14" s="7" t="inlineStr">
        <is>
          <t xml:space="preserve">Observacoes</t>
        </is>
      </c>
      <c r="C14" s="6" t="inlineStr">
        <is>
          <t xml:space="preserve">Campo de preenchimento livre ou calculado — ver aba anterior.</t>
        </is>
      </c>
      <c r="D14" s="6" t="inlineStr">
        <is>
          <t xml:space="preserve">Macroprocesso priorizado no ciclo 2026 de mapeamento.</t>
        </is>
      </c>
    </row>
    <row r="15">
      <c r="A15" s="4" t="inlineStr">
        <is>
          <t xml:space="preserve">Macroprocessos</t>
        </is>
      </c>
      <c r="B15" s="4" t="inlineStr">
        <is>
          <t xml:space="preserve">Trilha</t>
        </is>
      </c>
      <c r="C15" s="3" t="inlineStr">
        <is>
          <t xml:space="preserve">Campo de preenchimento livre ou calculado — ver aba anterior.</t>
        </is>
      </c>
      <c r="D15" s="3" t="inlineStr">
        <is>
          <t xml:space="preserve">MG-01</t>
        </is>
      </c>
    </row>
    <row r="16">
      <c r="A16" s="7" t="inlineStr">
        <is>
          <t xml:space="preserve">Processos</t>
        </is>
      </c>
      <c r="B16" s="7" t="inlineStr">
        <is>
          <t xml:space="preserve">Trilha</t>
        </is>
      </c>
      <c r="C16" s="6" t="inlineStr">
        <is>
          <t xml:space="preserve">Campo de preenchimento livre ou calculado — ver aba anterior.</t>
        </is>
      </c>
      <c r="D16" s="6" t="inlineStr">
        <is>
          <t xml:space="preserve">MS-01 › PP-01</t>
        </is>
      </c>
    </row>
    <row r="17">
      <c r="A17" s="4" t="inlineStr">
        <is>
          <t xml:space="preserve">Processos</t>
        </is>
      </c>
      <c r="B17" s="4" t="inlineStr">
        <is>
          <t xml:space="preserve">Macroprocesso</t>
        </is>
      </c>
      <c r="C17" s="3" t="inlineStr">
        <is>
          <t xml:space="preserve">Campo de preenchimento livre ou calculado — ver aba anterior.</t>
        </is>
      </c>
      <c r="D17" s="3" t="inlineStr">
        <is>
          <t xml:space="preserve">MS-01</t>
        </is>
      </c>
    </row>
    <row r="18">
      <c r="A18" s="7" t="inlineStr">
        <is>
          <t xml:space="preserve">Processos</t>
        </is>
      </c>
      <c r="B18" s="7" t="inlineStr">
        <is>
          <t xml:space="preserve">Codigo</t>
        </is>
      </c>
      <c r="C18" s="6" t="inlineStr">
        <is>
          <t xml:space="preserve">Identificador sequencial dentro do nível, reiniciado a cada vínculo com o pai. Quando um Subprocesso está dentro de outro Subprocesso, o código do filho usa numeração decimal (ex. "SP-03.01", "SP-03.02"...) — o número do pai + "." + a posição do filho — para diferenciá-lo visualmente de um subprocesso de 1º nível.</t>
        </is>
      </c>
      <c r="D18" s="6" t="inlineStr">
        <is>
          <t xml:space="preserve">PP-01</t>
        </is>
      </c>
    </row>
    <row r="19">
      <c r="A19" s="4" t="inlineStr">
        <is>
          <t xml:space="preserve">Processos</t>
        </is>
      </c>
      <c r="B19" s="4" t="inlineStr">
        <is>
          <t xml:space="preserve">Nome</t>
        </is>
      </c>
      <c r="C19" s="3" t="inlineStr">
        <is>
          <t xml:space="preserve">Campo de preenchimento livre ou calculado — ver aba anterior.</t>
        </is>
      </c>
      <c r="D19" s="3" t="inlineStr">
        <is>
          <t xml:space="preserve">Planejamento da Contratação</t>
        </is>
      </c>
    </row>
    <row r="20">
      <c r="A20" s="7" t="inlineStr">
        <is>
          <t xml:space="preserve">Processos</t>
        </is>
      </c>
      <c r="B20" s="7" t="inlineStr">
        <is>
          <t xml:space="preserve">Descricao</t>
        </is>
      </c>
      <c r="C20" s="6" t="inlineStr">
        <is>
          <t xml:space="preserve">Campo de preenchimento livre ou calculado — ver aba anterior.</t>
        </is>
      </c>
      <c r="D20" s="6" t="inlineStr">
        <is>
          <t xml:space="preserve">Da identificação da necessidade (DFD) até a aprovação do ETP, TR e pesquisa de preços que instrue...</t>
        </is>
      </c>
    </row>
    <row r="21">
      <c r="A21" s="4" t="inlineStr">
        <is>
          <t xml:space="preserve">Processos</t>
        </is>
      </c>
      <c r="B21" s="4" t="inlineStr">
        <is>
          <t xml:space="preserve">Objetivo</t>
        </is>
      </c>
      <c r="C21" s="3" t="inlineStr">
        <is>
          <t xml:space="preserve">Campo de preenchimento livre ou calculado — ver aba anterior.</t>
        </is>
      </c>
      <c r="D21" s="3" t="inlineStr">
        <is>
          <t xml:space="preserve">Instruir as contratações com estudos e artefatos completos, reduzindo retrabalho e impugnações.</t>
        </is>
      </c>
    </row>
    <row r="22">
      <c r="A22" s="7" t="inlineStr">
        <is>
          <t xml:space="preserve">Processos</t>
        </is>
      </c>
      <c r="B22" s="7" t="inlineStr">
        <is>
          <t xml:space="preserve">Unidade_Organica_Responsavel</t>
        </is>
      </c>
      <c r="C22" s="6" t="inlineStr">
        <is>
          <t xml:space="preserve">Campo de preenchimento livre ou calculado — ver aba anterior.</t>
        </is>
      </c>
      <c r="D22" s="6" t="inlineStr">
        <is>
          <t xml:space="preserve">AA/GLC</t>
        </is>
      </c>
    </row>
    <row r="23">
      <c r="A23" s="4" t="inlineStr">
        <is>
          <t xml:space="preserve">Processos</t>
        </is>
      </c>
      <c r="B23" s="4" t="inlineStr">
        <is>
          <t xml:space="preserve">Ponto_Focal_Nugep</t>
        </is>
      </c>
      <c r="C23" s="3" t="inlineStr">
        <is>
          <t xml:space="preserve">Campo de preenchimento livre ou calculado — ver aba anterior.</t>
        </is>
      </c>
      <c r="D23" s="3" t="inlineStr">
        <is>
          <t xml:space="preserve">Carlos Eduardo Lima (UNP)</t>
        </is>
      </c>
    </row>
    <row r="24">
      <c r="A24" s="7" t="inlineStr">
        <is>
          <t xml:space="preserve">Processos</t>
        </is>
      </c>
      <c r="B24" s="7" t="inlineStr">
        <is>
          <t xml:space="preserve">Prioridade</t>
        </is>
      </c>
      <c r="C24" s="6" t="inlineStr">
        <is>
          <t xml:space="preserve">Campo de preenchimento livre ou calculado — ver aba anterior.</t>
        </is>
      </c>
      <c r="D24" s="6" t="inlineStr">
        <is>
          <t xml:space="preserve">Alta</t>
        </is>
      </c>
    </row>
    <row r="25">
      <c r="A25" s="4" t="inlineStr">
        <is>
          <t xml:space="preserve">Processos</t>
        </is>
      </c>
      <c r="B25" s="4" t="inlineStr">
        <is>
          <t xml:space="preserve">Complexidade</t>
        </is>
      </c>
      <c r="C25" s="3" t="inlineStr">
        <is>
          <t xml:space="preserve">Campo de preenchimento livre ou calculado — ver aba anterior.</t>
        </is>
      </c>
      <c r="D25" s="3" t="inlineStr">
        <is>
          <t xml:space="preserve">Alta</t>
        </is>
      </c>
    </row>
    <row r="26">
      <c r="A26" s="7" t="inlineStr">
        <is>
          <t xml:space="preserve">Processos</t>
        </is>
      </c>
      <c r="B26" s="7" t="inlineStr">
        <is>
          <t xml:space="preserve">Maturidade</t>
        </is>
      </c>
      <c r="C26" s="6" t="inlineStr">
        <is>
          <t xml:space="preserve">Campo de preenchimento livre ou calculado — ver aba anterior.</t>
        </is>
      </c>
      <c r="D26" s="6" t="inlineStr">
        <is>
          <t xml:space="preserve">Definido</t>
        </is>
      </c>
    </row>
    <row r="27">
      <c r="A27" s="4" t="inlineStr">
        <is>
          <t xml:space="preserve">Processos</t>
        </is>
      </c>
      <c r="B27" s="4" t="inlineStr">
        <is>
          <t xml:space="preserve">Status_Mapeamento</t>
        </is>
      </c>
      <c r="C27" s="3" t="inlineStr">
        <is>
          <t xml:space="preserve">Campo de preenchimento livre ou calculado — ver aba anterior.</t>
        </is>
      </c>
      <c r="D27" s="3" t="inlineStr">
        <is>
          <t xml:space="preserve">Concluído</t>
        </is>
      </c>
    </row>
    <row r="28">
      <c r="A28" s="7" t="inlineStr">
        <is>
          <t xml:space="preserve">Processos</t>
        </is>
      </c>
      <c r="B28" s="7" t="inlineStr">
        <is>
          <t xml:space="preserve">Percentual</t>
        </is>
      </c>
      <c r="C28" s="6" t="inlineStr">
        <is>
          <t xml:space="preserve">Campo de preenchimento livre ou calculado — ver aba anterior.</t>
        </is>
      </c>
      <c r="D28" s="6">
        <v>1</v>
      </c>
    </row>
    <row r="29">
      <c r="A29" s="4" t="inlineStr">
        <is>
          <t xml:space="preserve">Processos</t>
        </is>
      </c>
      <c r="B29" s="4" t="inlineStr">
        <is>
          <t xml:space="preserve">Inicio_Mapeamento</t>
        </is>
      </c>
      <c r="C29" s="3" t="inlineStr">
        <is>
          <t xml:space="preserve">Campo de preenchimento livre ou calculado — ver aba anterior.</t>
        </is>
      </c>
      <c r="D29" s="3" t="inlineStr">
        <is>
          <t xml:space="preserve">05/01/2026</t>
        </is>
      </c>
    </row>
    <row r="30">
      <c r="A30" s="7" t="inlineStr">
        <is>
          <t xml:space="preserve">Processos</t>
        </is>
      </c>
      <c r="B30" s="7" t="inlineStr">
        <is>
          <t xml:space="preserve">Prazo_Previsto</t>
        </is>
      </c>
      <c r="C30" s="6" t="inlineStr">
        <is>
          <t xml:space="preserve">Campo de preenchimento livre ou calculado — ver aba anterior.</t>
        </is>
      </c>
      <c r="D30" s="6" t="inlineStr">
        <is>
          <t xml:space="preserve">29/05/2026</t>
        </is>
      </c>
    </row>
    <row r="31">
      <c r="A31" s="4" t="inlineStr">
        <is>
          <t xml:space="preserve">Processos</t>
        </is>
      </c>
      <c r="B31" s="4" t="inlineStr">
        <is>
          <t xml:space="preserve">Data_Conclusao</t>
        </is>
      </c>
      <c r="C31" s="3" t="inlineStr">
        <is>
          <t xml:space="preserve">Campo de preenchimento livre ou calculado — ver aba anterior.</t>
        </is>
      </c>
      <c r="D31" s="3" t="inlineStr">
        <is>
          <t xml:space="preserve">18/05/2026</t>
        </is>
      </c>
    </row>
    <row r="32">
      <c r="A32" s="7" t="inlineStr">
        <is>
          <t xml:space="preserve">Processos</t>
        </is>
      </c>
      <c r="B32" s="7" t="inlineStr">
        <is>
          <t xml:space="preserve">Ultima_Atualizacao</t>
        </is>
      </c>
      <c r="C32" s="6" t="inlineStr">
        <is>
          <t xml:space="preserve">Campo de preenchimento livre ou calculado — ver aba anterior.</t>
        </is>
      </c>
      <c r="D32" s="6" t="inlineStr">
        <is>
          <t xml:space="preserve">10/07/2026</t>
        </is>
      </c>
    </row>
    <row r="33">
      <c r="A33" s="4" t="inlineStr">
        <is>
          <t xml:space="preserve">Processos</t>
        </is>
      </c>
      <c r="B33" s="4" t="inlineStr">
        <is>
          <t xml:space="preserve">M1_Conhecer_Processo</t>
        </is>
      </c>
      <c r="C33" s="3" t="inlineStr">
        <is>
          <t xml:space="preserve">Campo de preenchimento livre ou calculado — ver aba anterior.</t>
        </is>
      </c>
      <c r="D33" s="3" t="inlineStr">
        <is>
          <t xml:space="preserve">Sim</t>
        </is>
      </c>
    </row>
    <row r="34">
      <c r="A34" s="7" t="inlineStr">
        <is>
          <t xml:space="preserve">Processos</t>
        </is>
      </c>
      <c r="B34" s="7" t="inlineStr">
        <is>
          <t xml:space="preserve">M2_Processo_Modelado</t>
        </is>
      </c>
      <c r="C34" s="6" t="inlineStr">
        <is>
          <t xml:space="preserve">Campo de preenchimento livre ou calculado — ver aba anterior.</t>
        </is>
      </c>
      <c r="D34" s="6" t="inlineStr">
        <is>
          <t xml:space="preserve">Sim</t>
        </is>
      </c>
    </row>
    <row r="35">
      <c r="A35" s="4" t="inlineStr">
        <is>
          <t xml:space="preserve">Processos</t>
        </is>
      </c>
      <c r="B35" s="4" t="inlineStr">
        <is>
          <t xml:space="preserve">M3_Subprocessos_Modelados</t>
        </is>
      </c>
      <c r="C35" s="3" t="inlineStr">
        <is>
          <t xml:space="preserve">Campo de preenchimento livre ou calculado — ver aba anterior.</t>
        </is>
      </c>
      <c r="D35" s="3" t="inlineStr">
        <is>
          <t xml:space="preserve">Sim</t>
        </is>
      </c>
    </row>
    <row r="36">
      <c r="A36" s="7" t="inlineStr">
        <is>
          <t xml:space="preserve">Processos</t>
        </is>
      </c>
      <c r="B36" s="7" t="inlineStr">
        <is>
          <t xml:space="preserve">M4_ASIS_Modelado</t>
        </is>
      </c>
      <c r="C36" s="6" t="inlineStr">
        <is>
          <t xml:space="preserve">Campo de preenchimento livre ou calculado — ver aba anterior.</t>
        </is>
      </c>
      <c r="D36" s="6" t="inlineStr">
        <is>
          <t xml:space="preserve">Sim</t>
        </is>
      </c>
    </row>
    <row r="37">
      <c r="A37" s="4" t="inlineStr">
        <is>
          <t xml:space="preserve">Processos</t>
        </is>
      </c>
      <c r="B37" s="4" t="inlineStr">
        <is>
          <t xml:space="preserve">M5_ASIS_Validado</t>
        </is>
      </c>
      <c r="C37" s="3" t="inlineStr">
        <is>
          <t xml:space="preserve">Campo de preenchimento livre ou calculado — ver aba anterior.</t>
        </is>
      </c>
      <c r="D37" s="3" t="inlineStr">
        <is>
          <t xml:space="preserve">Sim</t>
        </is>
      </c>
    </row>
    <row r="38">
      <c r="A38" s="7" t="inlineStr">
        <is>
          <t xml:space="preserve">Processos</t>
        </is>
      </c>
      <c r="B38" s="7" t="inlineStr">
        <is>
          <t xml:space="preserve">M6_Procedimento_Aprovado</t>
        </is>
      </c>
      <c r="C38" s="6" t="inlineStr">
        <is>
          <t xml:space="preserve">Campo de preenchimento livre ou calculado — ver aba anterior.</t>
        </is>
      </c>
      <c r="D38" s="6" t="inlineStr">
        <is>
          <t xml:space="preserve">Sim</t>
        </is>
      </c>
    </row>
    <row r="39">
      <c r="A39" s="4" t="inlineStr">
        <is>
          <t xml:space="preserve">Processos</t>
        </is>
      </c>
      <c r="B39" s="4" t="inlineStr">
        <is>
          <t xml:space="preserve">M7_Processo_Publicado</t>
        </is>
      </c>
      <c r="C39" s="3" t="inlineStr">
        <is>
          <t xml:space="preserve">Campo de preenchimento livre ou calculado — ver aba anterior.</t>
        </is>
      </c>
      <c r="D39" s="3" t="inlineStr">
        <is>
          <t xml:space="preserve">Sim</t>
        </is>
      </c>
    </row>
    <row r="40">
      <c r="A40" s="7" t="inlineStr">
        <is>
          <t xml:space="preserve">Processos</t>
        </is>
      </c>
      <c r="B40" s="7" t="inlineStr">
        <is>
          <t xml:space="preserve">M8_TOBE_Elaborado</t>
        </is>
      </c>
      <c r="C40" s="6" t="inlineStr">
        <is>
          <t xml:space="preserve">Campo de preenchimento livre ou calculado — ver aba anterior.</t>
        </is>
      </c>
      <c r="D40" s="6" t="inlineStr">
        <is>
          <t xml:space="preserve">Sim</t>
        </is>
      </c>
    </row>
    <row r="41">
      <c r="A41" s="4" t="inlineStr">
        <is>
          <t xml:space="preserve">Processos</t>
        </is>
      </c>
      <c r="B41" s="4" t="inlineStr">
        <is>
          <t xml:space="preserve">M9_TOBE_Aprovado</t>
        </is>
      </c>
      <c r="C41" s="3" t="inlineStr">
        <is>
          <t xml:space="preserve">Campo de preenchimento livre ou calculado — ver aba anterior.</t>
        </is>
      </c>
      <c r="D41" s="3" t="inlineStr">
        <is>
          <t xml:space="preserve">Sim</t>
        </is>
      </c>
    </row>
    <row r="42">
      <c r="A42" s="7" t="inlineStr">
        <is>
          <t xml:space="preserve">Processos</t>
        </is>
      </c>
      <c r="B42" s="7" t="inlineStr">
        <is>
          <t xml:space="preserve">M10_Processo_Transformado</t>
        </is>
      </c>
      <c r="C42" s="6" t="inlineStr">
        <is>
          <t xml:space="preserve">Campo de preenchimento livre ou calculado — ver aba anterior.</t>
        </is>
      </c>
      <c r="D42" s="6" t="inlineStr">
        <is>
          <t xml:space="preserve">Sim</t>
        </is>
      </c>
    </row>
    <row r="43">
      <c r="A43" s="4" t="inlineStr">
        <is>
          <t xml:space="preserve">Processos</t>
        </is>
      </c>
      <c r="B43" s="4" t="inlineStr">
        <is>
          <t xml:space="preserve">Fornecedores</t>
        </is>
      </c>
      <c r="C43" s="3" t="inlineStr">
        <is>
          <t xml:space="preserve">Campo de preenchimento livre ou calculado — ver aba anterior.</t>
        </is>
      </c>
      <c r="D43" s="3" t="inlineStr">
        <is>
          <t xml:space="preserve">Áreas demandantes; Painel de Preços; Fornecedores (cotações)</t>
        </is>
      </c>
    </row>
    <row r="44">
      <c r="A44" s="7" t="inlineStr">
        <is>
          <t xml:space="preserve">Processos</t>
        </is>
      </c>
      <c r="B44" s="7" t="inlineStr">
        <is>
          <t xml:space="preserve">Entradas</t>
        </is>
      </c>
      <c r="C44" s="6" t="inlineStr">
        <is>
          <t xml:space="preserve">Campo de preenchimento livre ou calculado — ver aba anterior.</t>
        </is>
      </c>
      <c r="D44" s="6" t="inlineStr">
        <is>
          <t xml:space="preserve">DFD; Plano de Contratações Anual; Requisitos da área</t>
        </is>
      </c>
    </row>
    <row r="45">
      <c r="A45" s="4" t="inlineStr">
        <is>
          <t xml:space="preserve">Processos</t>
        </is>
      </c>
      <c r="B45" s="4" t="inlineStr">
        <is>
          <t xml:space="preserve">Saidas</t>
        </is>
      </c>
      <c r="C45" s="3" t="inlineStr">
        <is>
          <t xml:space="preserve">Campo de preenchimento livre ou calculado — ver aba anterior.</t>
        </is>
      </c>
      <c r="D45" s="3" t="inlineStr">
        <is>
          <t xml:space="preserve">ETP aprovado; TR aprovado; Pesquisa de preços validada</t>
        </is>
      </c>
    </row>
    <row r="46">
      <c r="A46" s="7" t="inlineStr">
        <is>
          <t xml:space="preserve">Processos</t>
        </is>
      </c>
      <c r="B46" s="7" t="inlineStr">
        <is>
          <t xml:space="preserve">Beneficiarios</t>
        </is>
      </c>
      <c r="C46" s="6" t="inlineStr">
        <is>
          <t xml:space="preserve">Campo de preenchimento livre ou calculado — ver aba anterior.</t>
        </is>
      </c>
      <c r="D46" s="6" t="inlineStr">
        <is>
          <t xml:space="preserve">AA/GLC (Seleção do Fornecedor); Assessoria Jurídica</t>
        </is>
      </c>
    </row>
    <row r="47">
      <c r="A47" s="4" t="inlineStr">
        <is>
          <t xml:space="preserve">Processos</t>
        </is>
      </c>
      <c r="B47" s="4" t="inlineStr">
        <is>
          <t xml:space="preserve">Sistemas</t>
        </is>
      </c>
      <c r="C47" s="3" t="inlineStr">
        <is>
          <t xml:space="preserve">Campo de preenchimento livre ou calculado — ver aba anterior.</t>
        </is>
      </c>
      <c r="D47" s="3" t="inlineStr">
        <is>
          <t xml:space="preserve">e-Codevasf; Compras.gov.br; Painel de Preços</t>
        </is>
      </c>
    </row>
    <row r="48">
      <c r="A48" s="7" t="inlineStr">
        <is>
          <t xml:space="preserve">Processos</t>
        </is>
      </c>
      <c r="B48" s="7" t="inlineStr">
        <is>
          <t xml:space="preserve">Processo_ECodevasf</t>
        </is>
      </c>
      <c r="C48" s="6" t="inlineStr">
        <is>
          <t xml:space="preserve">Campo de preenchimento livre ou calculado — ver aba anterior.</t>
        </is>
      </c>
      <c r="D48" s="6" t="inlineStr">
        <is>
          <t xml:space="preserve">59500.000123/2026-11</t>
        </is>
      </c>
    </row>
    <row r="49">
      <c r="A49" s="4" t="inlineStr">
        <is>
          <t xml:space="preserve">Processos</t>
        </is>
      </c>
      <c r="B49" s="4" t="inlineStr">
        <is>
          <t xml:space="preserve">Processo_ECodevasf_Link</t>
        </is>
      </c>
      <c r="C49" s="3" t="inlineStr">
        <is>
          <t xml:space="preserve">Campo de preenchimento livre ou calculado — ver aba anterior.</t>
        </is>
      </c>
      <c r="D49" s="3" t="inlineStr">
        <is>
          <t xml:space="preserve">https://e-processo.codevasf.gov.br/sei/controlador.php?acao=procedimento_visualizar&amp;id=5950000012...</t>
        </is>
      </c>
    </row>
    <row r="50">
      <c r="A50" s="7" t="inlineStr">
        <is>
          <t xml:space="preserve">Processos</t>
        </is>
      </c>
      <c r="B50" s="7" t="inlineStr">
        <is>
          <t xml:space="preserve">Imagem_Bizagi</t>
        </is>
      </c>
      <c r="C50" s="6" t="inlineStr">
        <is>
          <t xml:space="preserve">Campo de preenchimento livre ou calculado — ver aba anterior.</t>
        </is>
      </c>
      <c r="D50" s="6" t="inlineStr">
        <is>
          <t xml:space="preserve">https://fluxosti.codevasf.gov.br/incidentes/</t>
        </is>
      </c>
    </row>
    <row r="51">
      <c r="A51" s="4" t="inlineStr">
        <is>
          <t xml:space="preserve">Processos</t>
        </is>
      </c>
      <c r="B51" s="4" t="inlineStr">
        <is>
          <t xml:space="preserve">Competencias_Necessarias</t>
        </is>
      </c>
      <c r="C51" s="3" t="inlineStr">
        <is>
          <t xml:space="preserve">Campo de preenchimento livre ou calculado — ver aba anterior.</t>
        </is>
      </c>
      <c r="D51" s="3" t="inlineStr">
        <is>
          <t xml:space="preserve">Elaboração de estudos técnicos e termos de referência; Conhecimento da Lei nº 14.133/2021; Pesqui...</t>
        </is>
      </c>
    </row>
    <row r="52">
      <c r="A52" s="7" t="inlineStr">
        <is>
          <t xml:space="preserve">Processos</t>
        </is>
      </c>
      <c r="B52" s="7" t="inlineStr">
        <is>
          <t xml:space="preserve">Fontes_Dados</t>
        </is>
      </c>
      <c r="C52" s="6" t="inlineStr">
        <is>
          <t xml:space="preserve">Campo de preenchimento livre ou calculado — ver aba anterior.</t>
        </is>
      </c>
      <c r="D52" s="6" t="inlineStr">
        <is>
          <t xml:space="preserve">e-Codevasf; Painel de Preços; PNCP</t>
        </is>
      </c>
    </row>
    <row r="53">
      <c r="A53" s="4" t="inlineStr">
        <is>
          <t xml:space="preserve">Processos</t>
        </is>
      </c>
      <c r="B53" s="4" t="inlineStr">
        <is>
          <t xml:space="preserve">Proxima_Acao</t>
        </is>
      </c>
      <c r="C53" s="3" t="inlineStr">
        <is>
          <t xml:space="preserve">Campo de preenchimento livre ou calculado — ver aba anterior.</t>
        </is>
      </c>
      <c r="D53" s="3" t="inlineStr">
        <is>
          <t xml:space="preserve">Monitorar indicadores do processo e revisar o PRO em 12 meses.</t>
        </is>
      </c>
    </row>
    <row r="54">
      <c r="A54" s="7" t="inlineStr">
        <is>
          <t xml:space="preserve">Processos</t>
        </is>
      </c>
      <c r="B54" s="7" t="inlineStr">
        <is>
          <t xml:space="preserve">Pendencia</t>
        </is>
      </c>
      <c r="C54" s="6" t="inlineStr">
        <is>
          <t xml:space="preserve">Campo de preenchimento livre ou calculado — ver aba anterior.</t>
        </is>
      </c>
      <c r="D54" s="6" t="inlineStr">
        <is>
          <t xml:space="preserve">Pendente retorno da área sobre fluxo de recursos administrativos.</t>
        </is>
      </c>
    </row>
    <row r="55">
      <c r="A55" s="4" t="inlineStr">
        <is>
          <t xml:space="preserve">Subprocessos</t>
        </is>
      </c>
      <c r="B55" s="4" t="inlineStr">
        <is>
          <t xml:space="preserve">Trilha</t>
        </is>
      </c>
      <c r="C55" s="3" t="inlineStr">
        <is>
          <t xml:space="preserve">Campo de preenchimento livre ou calculado — ver aba anterior.</t>
        </is>
      </c>
      <c r="D55" s="3" t="inlineStr">
        <is>
          <t xml:space="preserve">MS-01 › PP-01 › SP-01</t>
        </is>
      </c>
    </row>
    <row r="56">
      <c r="A56" s="7" t="inlineStr">
        <is>
          <t xml:space="preserve">Subprocessos</t>
        </is>
      </c>
      <c r="B56" s="7" t="inlineStr">
        <is>
          <t xml:space="preserve">Macroprocesso</t>
        </is>
      </c>
      <c r="C56" s="6" t="inlineStr">
        <is>
          <t xml:space="preserve">Campo de preenchimento livre ou calculado — ver aba anterior.</t>
        </is>
      </c>
      <c r="D56" s="6" t="inlineStr">
        <is>
          <t xml:space="preserve">MS-01</t>
        </is>
      </c>
    </row>
    <row r="57">
      <c r="A57" s="4" t="inlineStr">
        <is>
          <t xml:space="preserve">Subprocessos</t>
        </is>
      </c>
      <c r="B57" s="4" t="inlineStr">
        <is>
          <t xml:space="preserve">Processo</t>
        </is>
      </c>
      <c r="C57" s="3" t="inlineStr">
        <is>
          <t xml:space="preserve">Campo de preenchimento livre ou calculado — ver aba anterior.</t>
        </is>
      </c>
      <c r="D57" s="3" t="inlineStr">
        <is>
          <t xml:space="preserve">PP-01</t>
        </is>
      </c>
    </row>
    <row r="58">
      <c r="A58" s="7" t="inlineStr">
        <is>
          <t xml:space="preserve">Subprocessos</t>
        </is>
      </c>
      <c r="B58" s="7" t="inlineStr">
        <is>
          <t xml:space="preserve">Codigo</t>
        </is>
      </c>
      <c r="C58" s="6" t="inlineStr">
        <is>
          <t xml:space="preserve">Identificador sequencial dentro do nível, reiniciado a cada vínculo com o pai. Quando um Subprocesso está dentro de outro Subprocesso, o código do filho usa numeração decimal (ex. "SP-03.01", "SP-03.02"...) — o número do pai + "." + a posição do filho — para diferenciá-lo visualmente de um subprocesso de 1º nível.</t>
        </is>
      </c>
      <c r="D58" s="6" t="inlineStr">
        <is>
          <t xml:space="preserve">SP-01</t>
        </is>
      </c>
    </row>
    <row r="59">
      <c r="A59" s="4" t="inlineStr">
        <is>
          <t xml:space="preserve">Subprocessos</t>
        </is>
      </c>
      <c r="B59" s="4" t="inlineStr">
        <is>
          <t xml:space="preserve">Nome</t>
        </is>
      </c>
      <c r="C59" s="3" t="inlineStr">
        <is>
          <t xml:space="preserve">Campo de preenchimento livre ou calculado — ver aba anterior.</t>
        </is>
      </c>
      <c r="D59" s="3" t="inlineStr">
        <is>
          <t xml:space="preserve">Estudo Técnico Preliminar (ETP)</t>
        </is>
      </c>
    </row>
    <row r="60">
      <c r="A60" s="7" t="inlineStr">
        <is>
          <t xml:space="preserve">Subprocessos</t>
        </is>
      </c>
      <c r="B60" s="7" t="inlineStr">
        <is>
          <t xml:space="preserve">Vinculo_Pai</t>
        </is>
      </c>
      <c r="C60" s="6" t="inlineStr">
        <is>
          <t xml:space="preserve">Campo de preenchimento livre ou calculado — ver aba anterior.</t>
        </is>
      </c>
      <c r="D60" s="6" t="inlineStr">
        <is>
          <t xml:space="preserve">PP-01</t>
        </is>
      </c>
    </row>
    <row r="61">
      <c r="A61" s="4" t="inlineStr">
        <is>
          <t xml:space="preserve">Subprocessos</t>
        </is>
      </c>
      <c r="B61" s="4" t="inlineStr">
        <is>
          <t xml:space="preserve">Ordem</t>
        </is>
      </c>
      <c r="C61" s="3" t="inlineStr">
        <is>
          <t xml:space="preserve">Campo de preenchimento livre ou calculado — ver aba anterior.</t>
        </is>
      </c>
      <c r="D61" s="3">
        <v>1</v>
      </c>
    </row>
    <row r="62">
      <c r="A62" s="7" t="inlineStr">
        <is>
          <t xml:space="preserve">Subprocessos</t>
        </is>
      </c>
      <c r="B62" s="7" t="inlineStr">
        <is>
          <t xml:space="preserve">Descricao</t>
        </is>
      </c>
      <c r="C62" s="6" t="inlineStr">
        <is>
          <t xml:space="preserve">Campo de preenchimento livre ou calculado — ver aba anterior.</t>
        </is>
      </c>
      <c r="D62" s="6" t="inlineStr">
        <is>
          <t xml:space="preserve">Caracterização da necessidade, análise de soluções de mercado e demonstração da viabilidade da co...</t>
        </is>
      </c>
    </row>
    <row r="63">
      <c r="A63" s="4" t="inlineStr">
        <is>
          <t xml:space="preserve">Subprocessos</t>
        </is>
      </c>
      <c r="B63" s="4" t="inlineStr">
        <is>
          <t xml:space="preserve">Objetivo</t>
        </is>
      </c>
      <c r="C63" s="3" t="inlineStr">
        <is>
          <t xml:space="preserve">Campo de preenchimento livre ou calculado — ver aba anterior.</t>
        </is>
      </c>
      <c r="D63" s="3" t="inlineStr">
        <is>
          <t xml:space="preserve">Fundamentar tecnicamente a melhor solução para a necessidade.</t>
        </is>
      </c>
    </row>
    <row r="64">
      <c r="A64" s="7" t="inlineStr">
        <is>
          <t xml:space="preserve">Subprocessos</t>
        </is>
      </c>
      <c r="B64" s="7" t="inlineStr">
        <is>
          <t xml:space="preserve">Unidade_Organica_Responsavel</t>
        </is>
      </c>
      <c r="C64" s="6" t="inlineStr">
        <is>
          <t xml:space="preserve">Campo de preenchimento livre ou calculado — ver aba anterior.</t>
        </is>
      </c>
      <c r="D64" s="6" t="inlineStr">
        <is>
          <t xml:space="preserve">AA/GLC</t>
        </is>
      </c>
    </row>
    <row r="65">
      <c r="A65" s="4" t="inlineStr">
        <is>
          <t xml:space="preserve">Subprocessos</t>
        </is>
      </c>
      <c r="B65" s="4" t="inlineStr">
        <is>
          <t xml:space="preserve">Reutilizavel</t>
        </is>
      </c>
      <c r="C65" s="3" t="inlineStr">
        <is>
          <t xml:space="preserve">Campo de preenchimento livre ou calculado — ver aba anterior.</t>
        </is>
      </c>
      <c r="D65" s="3" t="inlineStr">
        <is>
          <t xml:space="preserve">Sim</t>
        </is>
      </c>
    </row>
    <row r="66">
      <c r="A66" s="7" t="inlineStr">
        <is>
          <t xml:space="preserve">Subprocessos</t>
        </is>
      </c>
      <c r="B66" s="7" t="inlineStr">
        <is>
          <t xml:space="preserve">Reutilizado_Em</t>
        </is>
      </c>
      <c r="C66" s="6" t="inlineStr">
        <is>
          <t xml:space="preserve">Campo de preenchimento livre ou calculado — ver aba anterior.</t>
        </is>
      </c>
      <c r="D66" s="6" t="inlineStr">
        <is>
          <t xml:space="preserve">MS-01/PP-02; MF-02/PP-01</t>
        </is>
      </c>
    </row>
    <row r="67">
      <c r="A67" s="4" t="inlineStr">
        <is>
          <t xml:space="preserve">Subprocessos</t>
        </is>
      </c>
      <c r="B67" s="4" t="inlineStr">
        <is>
          <t xml:space="preserve">Entradas</t>
        </is>
      </c>
      <c r="C67" s="3" t="inlineStr">
        <is>
          <t xml:space="preserve">Campo de preenchimento livre ou calculado — ver aba anterior.</t>
        </is>
      </c>
      <c r="D67" s="3" t="inlineStr">
        <is>
          <t xml:space="preserve">DFD; Levantamento de soluções de mercado</t>
        </is>
      </c>
    </row>
    <row r="68">
      <c r="A68" s="7" t="inlineStr">
        <is>
          <t xml:space="preserve">Subprocessos</t>
        </is>
      </c>
      <c r="B68" s="7" t="inlineStr">
        <is>
          <t xml:space="preserve">Saidas</t>
        </is>
      </c>
      <c r="C68" s="6" t="inlineStr">
        <is>
          <t xml:space="preserve">Campo de preenchimento livre ou calculado — ver aba anterior.</t>
        </is>
      </c>
      <c r="D68" s="6" t="inlineStr">
        <is>
          <t xml:space="preserve">ETP aprovado no e-Codevasf</t>
        </is>
      </c>
    </row>
    <row r="69">
      <c r="A69" s="4" t="inlineStr">
        <is>
          <t xml:space="preserve">Subprocessos</t>
        </is>
      </c>
      <c r="B69" s="4" t="inlineStr">
        <is>
          <t xml:space="preserve">Sistemas</t>
        </is>
      </c>
      <c r="C69" s="3" t="inlineStr">
        <is>
          <t xml:space="preserve">Campo de preenchimento livre ou calculado — ver aba anterior.</t>
        </is>
      </c>
      <c r="D69" s="3" t="inlineStr">
        <is>
          <t xml:space="preserve">e-Codevasf; Compras.gov.br</t>
        </is>
      </c>
    </row>
    <row r="70">
      <c r="A70" s="7" t="inlineStr">
        <is>
          <t xml:space="preserve">Subprocessos</t>
        </is>
      </c>
      <c r="B70" s="7" t="inlineStr">
        <is>
          <t xml:space="preserve">Fontes_Dados</t>
        </is>
      </c>
      <c r="C70" s="6" t="inlineStr">
        <is>
          <t xml:space="preserve">Campo de preenchimento livre ou calculado — ver aba anterior.</t>
        </is>
      </c>
      <c r="D70" s="6" t="inlineStr">
        <is>
          <t xml:space="preserve">e-Codevasf</t>
        </is>
      </c>
    </row>
    <row r="71">
      <c r="A71" s="4" t="inlineStr">
        <is>
          <t xml:space="preserve">Subprocessos</t>
        </is>
      </c>
      <c r="B71" s="4" t="inlineStr">
        <is>
          <t xml:space="preserve">Imagem_Bizagi</t>
        </is>
      </c>
      <c r="C71" s="3" t="inlineStr">
        <is>
          <t xml:space="preserve">Campo de preenchimento livre ou calculado — ver aba anterior.</t>
        </is>
      </c>
      <c r="D71" s="3" t="inlineStr">
        <is>
          <t xml:space="preserve">(sem exemplo)</t>
        </is>
      </c>
    </row>
    <row r="72">
      <c r="A72" s="7" t="inlineStr">
        <is>
          <t xml:space="preserve">Atividades</t>
        </is>
      </c>
      <c r="B72" s="7" t="inlineStr">
        <is>
          <t xml:space="preserve">Trilha</t>
        </is>
      </c>
      <c r="C72" s="6" t="inlineStr">
        <is>
          <t xml:space="preserve">Campo de preenchimento livre ou calculado — ver aba anterior.</t>
        </is>
      </c>
      <c r="D72" s="6" t="inlineStr">
        <is>
          <t xml:space="preserve">MS-01 › PP-01 › SP-01 › AT-01</t>
        </is>
      </c>
    </row>
    <row r="73">
      <c r="A73" s="4" t="inlineStr">
        <is>
          <t xml:space="preserve">Atividades</t>
        </is>
      </c>
      <c r="B73" s="4" t="inlineStr">
        <is>
          <t xml:space="preserve">Macroprocesso</t>
        </is>
      </c>
      <c r="C73" s="3" t="inlineStr">
        <is>
          <t xml:space="preserve">Campo de preenchimento livre ou calculado — ver aba anterior.</t>
        </is>
      </c>
      <c r="D73" s="3" t="inlineStr">
        <is>
          <t xml:space="preserve">MS-01</t>
        </is>
      </c>
    </row>
    <row r="74">
      <c r="A74" s="7" t="inlineStr">
        <is>
          <t xml:space="preserve">Atividades</t>
        </is>
      </c>
      <c r="B74" s="7" t="inlineStr">
        <is>
          <t xml:space="preserve">Processo</t>
        </is>
      </c>
      <c r="C74" s="6" t="inlineStr">
        <is>
          <t xml:space="preserve">Campo de preenchimento livre ou calculado — ver aba anterior.</t>
        </is>
      </c>
      <c r="D74" s="6" t="inlineStr">
        <is>
          <t xml:space="preserve">PP-01</t>
        </is>
      </c>
    </row>
    <row r="75">
      <c r="A75" s="4" t="inlineStr">
        <is>
          <t xml:space="preserve">Atividades</t>
        </is>
      </c>
      <c r="B75" s="4" t="inlineStr">
        <is>
          <t xml:space="preserve">Subprocesso</t>
        </is>
      </c>
      <c r="C75" s="3" t="inlineStr">
        <is>
          <t xml:space="preserve">Campo de preenchimento livre ou calculado — ver aba anterior.</t>
        </is>
      </c>
      <c r="D75" s="3" t="inlineStr">
        <is>
          <t xml:space="preserve">SP-01</t>
        </is>
      </c>
    </row>
    <row r="76">
      <c r="A76" s="7" t="inlineStr">
        <is>
          <t xml:space="preserve">Atividades</t>
        </is>
      </c>
      <c r="B76" s="7" t="inlineStr">
        <is>
          <t xml:space="preserve">Codigo</t>
        </is>
      </c>
      <c r="C76" s="6" t="inlineStr">
        <is>
          <t xml:space="preserve">Identificador sequencial dentro do nível, reiniciado a cada vínculo com o pai. Quando um Subprocesso está dentro de outro Subprocesso, o código do filho usa numeração decimal (ex. "SP-03.01", "SP-03.02"...) — o número do pai + "." + a posição do filho — para diferenciá-lo visualmente de um subprocesso de 1º nível.</t>
        </is>
      </c>
      <c r="D76" s="6" t="inlineStr">
        <is>
          <t xml:space="preserve">AT-01</t>
        </is>
      </c>
    </row>
    <row r="77">
      <c r="A77" s="4" t="inlineStr">
        <is>
          <t xml:space="preserve">Atividades</t>
        </is>
      </c>
      <c r="B77" s="4" t="inlineStr">
        <is>
          <t xml:space="preserve">Nome</t>
        </is>
      </c>
      <c r="C77" s="3" t="inlineStr">
        <is>
          <t xml:space="preserve">Campo de preenchimento livre ou calculado — ver aba anterior.</t>
        </is>
      </c>
      <c r="D77" s="3" t="inlineStr">
        <is>
          <t xml:space="preserve">Formalizar a necessidade (DFD)</t>
        </is>
      </c>
    </row>
    <row r="78">
      <c r="A78" s="7" t="inlineStr">
        <is>
          <t xml:space="preserve">Atividades</t>
        </is>
      </c>
      <c r="B78" s="7" t="inlineStr">
        <is>
          <t xml:space="preserve">Vinculo_Pai</t>
        </is>
      </c>
      <c r="C78" s="6" t="inlineStr">
        <is>
          <t xml:space="preserve">Campo de preenchimento livre ou calculado — ver aba anterior.</t>
        </is>
      </c>
      <c r="D78" s="6" t="inlineStr">
        <is>
          <t xml:space="preserve">SP-01</t>
        </is>
      </c>
    </row>
    <row r="79">
      <c r="A79" s="4" t="inlineStr">
        <is>
          <t xml:space="preserve">Atividades</t>
        </is>
      </c>
      <c r="B79" s="4" t="inlineStr">
        <is>
          <t xml:space="preserve">Ordem</t>
        </is>
      </c>
      <c r="C79" s="3" t="inlineStr">
        <is>
          <t xml:space="preserve">Campo de preenchimento livre ou calculado — ver aba anterior.</t>
        </is>
      </c>
      <c r="D79" s="3">
        <v>1</v>
      </c>
    </row>
    <row r="80">
      <c r="A80" s="7" t="inlineStr">
        <is>
          <t xml:space="preserve">Atividades</t>
        </is>
      </c>
      <c r="B80" s="7" t="inlineStr">
        <is>
          <t xml:space="preserve">Tipo_Atividade</t>
        </is>
      </c>
      <c r="C80" s="6" t="inlineStr">
        <is>
          <t xml:space="preserve">Campo de preenchimento livre ou calculado — ver aba anterior.</t>
        </is>
      </c>
      <c r="D80" s="6" t="inlineStr">
        <is>
          <t xml:space="preserve">Agregação de Valor</t>
        </is>
      </c>
    </row>
    <row r="81">
      <c r="A81" s="4" t="inlineStr">
        <is>
          <t xml:space="preserve">Atividades</t>
        </is>
      </c>
      <c r="B81" s="4" t="inlineStr">
        <is>
          <t xml:space="preserve">Descricao</t>
        </is>
      </c>
      <c r="C81" s="3" t="inlineStr">
        <is>
          <t xml:space="preserve">Campo de preenchimento livre ou calculado — ver aba anterior.</t>
        </is>
      </c>
      <c r="D81" s="3" t="inlineStr">
        <is>
          <t xml:space="preserve">A área demandante registra a necessidade de contratação no Documento de Formalização da Demanda (...</t>
        </is>
      </c>
    </row>
    <row r="82">
      <c r="A82" s="7" t="inlineStr">
        <is>
          <t xml:space="preserve">Atividades</t>
        </is>
      </c>
      <c r="B82" s="7" t="inlineStr">
        <is>
          <t xml:space="preserve">Entradas</t>
        </is>
      </c>
      <c r="C82" s="6" t="inlineStr">
        <is>
          <t xml:space="preserve">Campo de preenchimento livre ou calculado — ver aba anterior.</t>
        </is>
      </c>
      <c r="D82" s="6" t="inlineStr">
        <is>
          <t xml:space="preserve">Necessidade identificada; Plano de Contratações Anual</t>
        </is>
      </c>
    </row>
    <row r="83">
      <c r="A83" s="4" t="inlineStr">
        <is>
          <t xml:space="preserve">Atividades</t>
        </is>
      </c>
      <c r="B83" s="4" t="inlineStr">
        <is>
          <t xml:space="preserve">Saidas</t>
        </is>
      </c>
      <c r="C83" s="3" t="inlineStr">
        <is>
          <t xml:space="preserve">Campo de preenchimento livre ou calculado — ver aba anterior.</t>
        </is>
      </c>
      <c r="D83" s="3" t="inlineStr">
        <is>
          <t xml:space="preserve">DFD assinado no e-Codevasf</t>
        </is>
      </c>
    </row>
    <row r="84">
      <c r="A84" s="7" t="inlineStr">
        <is>
          <t xml:space="preserve">Atividades</t>
        </is>
      </c>
      <c r="B84" s="7" t="inlineStr">
        <is>
          <t xml:space="preserve">Sistemas</t>
        </is>
      </c>
      <c r="C84" s="6" t="inlineStr">
        <is>
          <t xml:space="preserve">Campo de preenchimento livre ou calculado — ver aba anterior.</t>
        </is>
      </c>
      <c r="D84" s="6" t="inlineStr">
        <is>
          <t xml:space="preserve">e-Codevasf</t>
        </is>
      </c>
    </row>
    <row r="85">
      <c r="A85" s="4" t="inlineStr">
        <is>
          <t xml:space="preserve">Tarefas</t>
        </is>
      </c>
      <c r="B85" s="4" t="inlineStr">
        <is>
          <t xml:space="preserve">Trilha</t>
        </is>
      </c>
      <c r="C85" s="3" t="inlineStr">
        <is>
          <t xml:space="preserve">Campo de preenchimento livre ou calculado — ver aba anterior.</t>
        </is>
      </c>
      <c r="D85" s="3" t="inlineStr">
        <is>
          <t xml:space="preserve">MS-01 › PP-01 › SP-01 › AT-01 › TR-01</t>
        </is>
      </c>
    </row>
    <row r="86">
      <c r="A86" s="7" t="inlineStr">
        <is>
          <t xml:space="preserve">Tarefas</t>
        </is>
      </c>
      <c r="B86" s="7" t="inlineStr">
        <is>
          <t xml:space="preserve">Macroprocesso</t>
        </is>
      </c>
      <c r="C86" s="6" t="inlineStr">
        <is>
          <t xml:space="preserve">Campo de preenchimento livre ou calculado — ver aba anterior.</t>
        </is>
      </c>
      <c r="D86" s="6" t="inlineStr">
        <is>
          <t xml:space="preserve">MS-01</t>
        </is>
      </c>
    </row>
    <row r="87">
      <c r="A87" s="4" t="inlineStr">
        <is>
          <t xml:space="preserve">Tarefas</t>
        </is>
      </c>
      <c r="B87" s="4" t="inlineStr">
        <is>
          <t xml:space="preserve">Processo</t>
        </is>
      </c>
      <c r="C87" s="3" t="inlineStr">
        <is>
          <t xml:space="preserve">Campo de preenchimento livre ou calculado — ver aba anterior.</t>
        </is>
      </c>
      <c r="D87" s="3" t="inlineStr">
        <is>
          <t xml:space="preserve">PP-01</t>
        </is>
      </c>
    </row>
    <row r="88">
      <c r="A88" s="7" t="inlineStr">
        <is>
          <t xml:space="preserve">Tarefas</t>
        </is>
      </c>
      <c r="B88" s="7" t="inlineStr">
        <is>
          <t xml:space="preserve">Subprocesso</t>
        </is>
      </c>
      <c r="C88" s="6" t="inlineStr">
        <is>
          <t xml:space="preserve">Campo de preenchimento livre ou calculado — ver aba anterior.</t>
        </is>
      </c>
      <c r="D88" s="6" t="inlineStr">
        <is>
          <t xml:space="preserve">SP-01</t>
        </is>
      </c>
    </row>
    <row r="89">
      <c r="A89" s="4" t="inlineStr">
        <is>
          <t xml:space="preserve">Tarefas</t>
        </is>
      </c>
      <c r="B89" s="4" t="inlineStr">
        <is>
          <t xml:space="preserve">Atividade</t>
        </is>
      </c>
      <c r="C89" s="3" t="inlineStr">
        <is>
          <t xml:space="preserve">Campo de preenchimento livre ou calculado — ver aba anterior.</t>
        </is>
      </c>
      <c r="D89" s="3" t="inlineStr">
        <is>
          <t xml:space="preserve">AT-01</t>
        </is>
      </c>
    </row>
    <row r="90">
      <c r="A90" s="7" t="inlineStr">
        <is>
          <t xml:space="preserve">Tarefas</t>
        </is>
      </c>
      <c r="B90" s="7" t="inlineStr">
        <is>
          <t xml:space="preserve">Codigo</t>
        </is>
      </c>
      <c r="C90" s="6" t="inlineStr">
        <is>
          <t xml:space="preserve">Identificador sequencial dentro do nível, reiniciado a cada vínculo com o pai. Quando um Subprocesso está dentro de outro Subprocesso, o código do filho usa numeração decimal (ex. "SP-03.01", "SP-03.02"...) — o número do pai + "." + a posição do filho — para diferenciá-lo visualmente de um subprocesso de 1º nível.</t>
        </is>
      </c>
      <c r="D90" s="6" t="inlineStr">
        <is>
          <t xml:space="preserve">TR-01</t>
        </is>
      </c>
    </row>
    <row r="91">
      <c r="A91" s="4" t="inlineStr">
        <is>
          <t xml:space="preserve">Tarefas</t>
        </is>
      </c>
      <c r="B91" s="4" t="inlineStr">
        <is>
          <t xml:space="preserve">Nome</t>
        </is>
      </c>
      <c r="C91" s="3" t="inlineStr">
        <is>
          <t xml:space="preserve">Campo de preenchimento livre ou calculado — ver aba anterior.</t>
        </is>
      </c>
      <c r="D91" s="3" t="inlineStr">
        <is>
          <t xml:space="preserve">Reunir informações da demanda</t>
        </is>
      </c>
    </row>
    <row r="92">
      <c r="A92" s="7" t="inlineStr">
        <is>
          <t xml:space="preserve">Tarefas</t>
        </is>
      </c>
      <c r="B92" s="7" t="inlineStr">
        <is>
          <t xml:space="preserve">Ordem</t>
        </is>
      </c>
      <c r="C92" s="6" t="inlineStr">
        <is>
          <t xml:space="preserve">Campo de preenchimento livre ou calculado — ver aba anterior.</t>
        </is>
      </c>
      <c r="D92" s="6">
        <v>1</v>
      </c>
    </row>
    <row r="93">
      <c r="A93" s="4" t="inlineStr">
        <is>
          <t xml:space="preserve">Tarefas</t>
        </is>
      </c>
      <c r="B93" s="4" t="inlineStr">
        <is>
          <t xml:space="preserve">Tipo_Tarefa</t>
        </is>
      </c>
      <c r="C93" s="3" t="inlineStr">
        <is>
          <t xml:space="preserve">Campo de preenchimento livre ou calculado — ver aba anterior.</t>
        </is>
      </c>
      <c r="D93" s="3" t="inlineStr">
        <is>
          <t xml:space="preserve">Manual</t>
        </is>
      </c>
    </row>
    <row r="94">
      <c r="A94" s="7" t="inlineStr">
        <is>
          <t xml:space="preserve">Tarefas</t>
        </is>
      </c>
      <c r="B94" s="7" t="inlineStr">
        <is>
          <t xml:space="preserve">Duracao_Estimada</t>
        </is>
      </c>
      <c r="C94" s="6" t="inlineStr">
        <is>
          <t xml:space="preserve">Campo de preenchimento livre ou calculado — ver aba anterior.</t>
        </is>
      </c>
      <c r="D94" s="6">
        <v>4</v>
      </c>
    </row>
    <row r="95">
      <c r="A95" s="4" t="inlineStr">
        <is>
          <t xml:space="preserve">Tarefas</t>
        </is>
      </c>
      <c r="B95" s="4" t="inlineStr">
        <is>
          <t xml:space="preserve">Observacoes</t>
        </is>
      </c>
      <c r="C95" s="3" t="inlineStr">
        <is>
          <t xml:space="preserve">Campo de preenchimento livre ou calculado — ver aba anterior.</t>
        </is>
      </c>
      <c r="D95" s="3" t="inlineStr">
        <is>
          <t xml:space="preserve">Modelo DOC-006/DOC-012.</t>
        </is>
      </c>
    </row>
    <row r="96">
      <c r="A96" s="7" t="inlineStr">
        <is>
          <t xml:space="preserve">Documentos</t>
        </is>
      </c>
      <c r="B96" s="7" t="inlineStr">
        <is>
          <t xml:space="preserve">ID</t>
        </is>
      </c>
      <c r="C96" s="6" t="inlineStr">
        <is>
          <t xml:space="preserve">Campo de preenchimento livre ou calculado — ver aba anterior.</t>
        </is>
      </c>
      <c r="D96" s="6" t="inlineStr">
        <is>
          <t xml:space="preserve">DOC-001</t>
        </is>
      </c>
    </row>
    <row r="97">
      <c r="A97" s="4" t="inlineStr">
        <is>
          <t xml:space="preserve">Documentos</t>
        </is>
      </c>
      <c r="B97" s="4" t="inlineStr">
        <is>
          <t xml:space="preserve">Titulo</t>
        </is>
      </c>
      <c r="C97" s="3" t="inlineStr">
        <is>
          <t xml:space="preserve">Campo de preenchimento livre ou calculado — ver aba anterior.</t>
        </is>
      </c>
      <c r="D97" s="3" t="inlineStr">
        <is>
          <t xml:space="preserve">PRO 06.01 — Planejamento da Contratação</t>
        </is>
      </c>
    </row>
    <row r="98">
      <c r="A98" s="7" t="inlineStr">
        <is>
          <t xml:space="preserve">Documentos</t>
        </is>
      </c>
      <c r="B98" s="7" t="inlineStr">
        <is>
          <t xml:space="preserve">Tipo_Documento</t>
        </is>
      </c>
      <c r="C98" s="6" t="inlineStr">
        <is>
          <t xml:space="preserve">Campo de preenchimento livre ou calculado — ver aba anterior.</t>
        </is>
      </c>
      <c r="D98" s="6" t="inlineStr">
        <is>
          <t xml:space="preserve">Procedimento (PRO)</t>
        </is>
      </c>
    </row>
    <row r="99">
      <c r="A99" s="4" t="inlineStr">
        <is>
          <t xml:space="preserve">Documentos</t>
        </is>
      </c>
      <c r="B99" s="4" t="inlineStr">
        <is>
          <t xml:space="preserve">Vinculo_Nivel</t>
        </is>
      </c>
      <c r="C99" s="3" t="inlineStr">
        <is>
          <t xml:space="preserve">Campo de preenchimento livre ou calculado — ver aba anterior.</t>
        </is>
      </c>
      <c r="D99" s="3" t="inlineStr">
        <is>
          <t xml:space="preserve">Processo</t>
        </is>
      </c>
    </row>
    <row r="100">
      <c r="A100" s="7" t="inlineStr">
        <is>
          <t xml:space="preserve">Documentos</t>
        </is>
      </c>
      <c r="B100" s="7" t="inlineStr">
        <is>
          <t xml:space="preserve">Vinculo_Codigo</t>
        </is>
      </c>
      <c r="C100" s="6" t="inlineStr">
        <is>
          <t xml:space="preserve">Caminho completo do item vinculado (ex. "MS-01/PP-01" ou "MS-01/PP-01/SP-03"), ou o código isolado de um Macroprocesso (já único). Mais de um: separe com ; .</t>
        </is>
      </c>
      <c r="D100" s="6" t="inlineStr">
        <is>
          <t xml:space="preserve">MS-01/PP-01</t>
        </is>
      </c>
    </row>
    <row r="101">
      <c r="A101" s="4" t="inlineStr">
        <is>
          <t xml:space="preserve">Documentos</t>
        </is>
      </c>
      <c r="B101" s="4" t="inlineStr">
        <is>
          <t xml:space="preserve">Versao</t>
        </is>
      </c>
      <c r="C101" s="3" t="inlineStr">
        <is>
          <t xml:space="preserve">Campo de preenchimento livre ou calculado — ver aba anterior.</t>
        </is>
      </c>
      <c r="D101" s="3">
        <v>2</v>
      </c>
    </row>
    <row r="102">
      <c r="A102" s="7" t="inlineStr">
        <is>
          <t xml:space="preserve">Documentos</t>
        </is>
      </c>
      <c r="B102" s="7" t="inlineStr">
        <is>
          <t xml:space="preserve">Data</t>
        </is>
      </c>
      <c r="C102" s="6" t="inlineStr">
        <is>
          <t xml:space="preserve">Campo de preenchimento livre ou calculado — ver aba anterior.</t>
        </is>
      </c>
      <c r="D102" s="6" t="inlineStr">
        <is>
          <t xml:space="preserve">18/05/2026</t>
        </is>
      </c>
    </row>
    <row r="103">
      <c r="A103" s="4" t="inlineStr">
        <is>
          <t xml:space="preserve">Documentos</t>
        </is>
      </c>
      <c r="B103" s="4" t="inlineStr">
        <is>
          <t xml:space="preserve">Situacao</t>
        </is>
      </c>
      <c r="C103" s="3" t="inlineStr">
        <is>
          <t xml:space="preserve">Campo de preenchimento livre ou calculado — ver aba anterior.</t>
        </is>
      </c>
      <c r="D103" s="3" t="inlineStr">
        <is>
          <t xml:space="preserve">Vigente</t>
        </is>
      </c>
    </row>
    <row r="104">
      <c r="A104" s="7" t="inlineStr">
        <is>
          <t xml:space="preserve">Documentos</t>
        </is>
      </c>
      <c r="B104" s="7" t="inlineStr">
        <is>
          <t xml:space="preserve">Ato_Aprovacao</t>
        </is>
      </c>
      <c r="C104" s="6" t="inlineStr">
        <is>
          <t xml:space="preserve">Campo de preenchimento livre ou calculado — ver aba anterior.</t>
        </is>
      </c>
      <c r="D104" s="6" t="inlineStr">
        <is>
          <t xml:space="preserve">Resolução nº 812, de 18/05/2026 (Diretoria Executiva)</t>
        </is>
      </c>
    </row>
    <row r="105">
      <c r="A105" s="4" t="inlineStr">
        <is>
          <t xml:space="preserve">Documentos</t>
        </is>
      </c>
      <c r="B105" s="4" t="inlineStr">
        <is>
          <t xml:space="preserve">Link</t>
        </is>
      </c>
      <c r="C105" s="3" t="inlineStr">
        <is>
          <t xml:space="preserve">Campo de preenchimento livre ou calculado — ver aba anterior.</t>
        </is>
      </c>
      <c r="D105" s="3" t="inlineStr">
        <is>
          <t xml:space="preserve">https://exemplo.codevasf.gov.br/repositorio/pop-06-01.pdf</t>
        </is>
      </c>
    </row>
    <row r="106">
      <c r="A106" s="7" t="inlineStr">
        <is>
          <t xml:space="preserve">Documentos</t>
        </is>
      </c>
      <c r="B106" s="7" t="inlineStr">
        <is>
          <t xml:space="preserve">Observacoes</t>
        </is>
      </c>
      <c r="C106" s="6" t="inlineStr">
        <is>
          <t xml:space="preserve">Campo de preenchimento livre ou calculado — ver aba anterior.</t>
        </is>
      </c>
      <c r="D106" s="6" t="inlineStr">
        <is>
          <t xml:space="preserve">Publicado após validação do TO-BE.</t>
        </is>
      </c>
    </row>
    <row r="107">
      <c r="A107" s="4" t="inlineStr">
        <is>
          <t xml:space="preserve">Riscos</t>
        </is>
      </c>
      <c r="B107" s="4" t="inlineStr">
        <is>
          <t xml:space="preserve">ID</t>
        </is>
      </c>
      <c r="C107" s="3" t="inlineStr">
        <is>
          <t xml:space="preserve">Campo de preenchimento livre ou calculado — ver aba anterior.</t>
        </is>
      </c>
      <c r="D107" s="3" t="inlineStr">
        <is>
          <t xml:space="preserve">RIS-001</t>
        </is>
      </c>
    </row>
    <row r="108">
      <c r="A108" s="7" t="inlineStr">
        <is>
          <t xml:space="preserve">Riscos</t>
        </is>
      </c>
      <c r="B108" s="7" t="inlineStr">
        <is>
          <t xml:space="preserve">Vinculo_Nivel</t>
        </is>
      </c>
      <c r="C108" s="6" t="inlineStr">
        <is>
          <t xml:space="preserve">Campo de preenchimento livre ou calculado — ver aba anterior.</t>
        </is>
      </c>
      <c r="D108" s="6" t="inlineStr">
        <is>
          <t xml:space="preserve">Processo</t>
        </is>
      </c>
    </row>
    <row r="109">
      <c r="A109" s="4" t="inlineStr">
        <is>
          <t xml:space="preserve">Riscos</t>
        </is>
      </c>
      <c r="B109" s="4" t="inlineStr">
        <is>
          <t xml:space="preserve">Vinculo_Codigo</t>
        </is>
      </c>
      <c r="C109" s="3" t="inlineStr">
        <is>
          <t xml:space="preserve">Caminho completo do item vinculado (ex. "MS-01/PP-01" ou "MS-01/PP-01/SP-03"), ou o código isolado de um Macroprocesso (já único). Mais de um: separe com ; .</t>
        </is>
      </c>
      <c r="D109" s="3" t="inlineStr">
        <is>
          <t xml:space="preserve">MS-01/PP-01</t>
        </is>
      </c>
    </row>
    <row r="110">
      <c r="A110" s="7" t="inlineStr">
        <is>
          <t xml:space="preserve">Riscos</t>
        </is>
      </c>
      <c r="B110" s="7" t="inlineStr">
        <is>
          <t xml:space="preserve">Descricao_Risco</t>
        </is>
      </c>
      <c r="C110" s="6" t="inlineStr">
        <is>
          <t xml:space="preserve">Campo de preenchimento livre ou calculado — ver aba anterior.</t>
        </is>
      </c>
      <c r="D110" s="6" t="inlineStr">
        <is>
          <t xml:space="preserve">Estimativas de preço defasadas gerando sobrepreço ou licitação deserta.</t>
        </is>
      </c>
    </row>
    <row r="111">
      <c r="A111" s="4" t="inlineStr">
        <is>
          <t xml:space="preserve">Riscos</t>
        </is>
      </c>
      <c r="B111" s="4" t="inlineStr">
        <is>
          <t xml:space="preserve">Categoria</t>
        </is>
      </c>
      <c r="C111" s="3" t="inlineStr">
        <is>
          <t xml:space="preserve">Campo de preenchimento livre ou calculado — ver aba anterior.</t>
        </is>
      </c>
      <c r="D111" s="3" t="inlineStr">
        <is>
          <t xml:space="preserve">Operacional</t>
        </is>
      </c>
    </row>
    <row r="112">
      <c r="A112" s="7" t="inlineStr">
        <is>
          <t xml:space="preserve">Riscos</t>
        </is>
      </c>
      <c r="B112" s="7" t="inlineStr">
        <is>
          <t xml:space="preserve">Fatores</t>
        </is>
      </c>
      <c r="C112" s="6" t="inlineStr">
        <is>
          <t xml:space="preserve">Campo de preenchimento livre ou calculado — ver aba anterior.</t>
        </is>
      </c>
      <c r="D112" s="6" t="inlineStr">
        <is>
          <t xml:space="preserve">(sem exemplo)</t>
        </is>
      </c>
    </row>
    <row r="113">
      <c r="A113" s="4" t="inlineStr">
        <is>
          <t xml:space="preserve">Riscos</t>
        </is>
      </c>
      <c r="B113" s="4" t="inlineStr">
        <is>
          <t xml:space="preserve">Cronograma_Risco</t>
        </is>
      </c>
      <c r="C113" s="3" t="inlineStr">
        <is>
          <t xml:space="preserve">Campo de preenchimento livre ou calculado — ver aba anterior.</t>
        </is>
      </c>
      <c r="D113" s="3" t="inlineStr">
        <is>
          <t xml:space="preserve">(sem exemplo)</t>
        </is>
      </c>
    </row>
    <row r="114">
      <c r="A114" s="7" t="inlineStr">
        <is>
          <t xml:space="preserve">Riscos</t>
        </is>
      </c>
      <c r="B114" s="7" t="inlineStr">
        <is>
          <t xml:space="preserve">Data_Identificacao</t>
        </is>
      </c>
      <c r="C114" s="6" t="inlineStr">
        <is>
          <t xml:space="preserve">Campo de preenchimento livre ou calculado — ver aba anterior.</t>
        </is>
      </c>
      <c r="D114" s="6" t="inlineStr">
        <is>
          <t xml:space="preserve">05/01/2026</t>
        </is>
      </c>
    </row>
    <row r="115">
      <c r="A115" s="4" t="inlineStr">
        <is>
          <t xml:space="preserve">Riscos</t>
        </is>
      </c>
      <c r="B115" s="4" t="inlineStr">
        <is>
          <t xml:space="preserve">Probabilidade_1a5</t>
        </is>
      </c>
      <c r="C115" s="3" t="inlineStr">
        <is>
          <t xml:space="preserve">Campo de preenchimento livre ou calculado — ver aba anterior.</t>
        </is>
      </c>
      <c r="D115" s="3">
        <v>4</v>
      </c>
    </row>
    <row r="116">
      <c r="A116" s="7" t="inlineStr">
        <is>
          <t xml:space="preserve">Riscos</t>
        </is>
      </c>
      <c r="B116" s="7" t="inlineStr">
        <is>
          <t xml:space="preserve">Impacto_1a5</t>
        </is>
      </c>
      <c r="C116" s="6" t="inlineStr">
        <is>
          <t xml:space="preserve">Campo de preenchimento livre ou calculado — ver aba anterior.</t>
        </is>
      </c>
      <c r="D116" s="6">
        <v>4</v>
      </c>
    </row>
    <row r="117">
      <c r="A117" s="4" t="inlineStr">
        <is>
          <t xml:space="preserve">Riscos</t>
        </is>
      </c>
      <c r="B117" s="4" t="inlineStr">
        <is>
          <t xml:space="preserve">Nivel_PxI</t>
        </is>
      </c>
      <c r="C117" s="3" t="inlineStr">
        <is>
          <t xml:space="preserve">Campo de preenchimento livre ou calculado — ver aba anterior.</t>
        </is>
      </c>
      <c r="D117" s="3">
        <v>16</v>
      </c>
    </row>
    <row r="118">
      <c r="A118" s="7" t="inlineStr">
        <is>
          <t xml:space="preserve">Riscos</t>
        </is>
      </c>
      <c r="B118" s="7" t="inlineStr">
        <is>
          <t xml:space="preserve">Classificacao</t>
        </is>
      </c>
      <c r="C118" s="6" t="inlineStr">
        <is>
          <t xml:space="preserve">Campo de preenchimento livre ou calculado — ver aba anterior.</t>
        </is>
      </c>
      <c r="D118" s="6" t="inlineStr">
        <is>
          <t xml:space="preserve">Alto</t>
        </is>
      </c>
    </row>
    <row r="119">
      <c r="A119" s="4" t="inlineStr">
        <is>
          <t xml:space="preserve">Riscos</t>
        </is>
      </c>
      <c r="B119" s="4" t="inlineStr">
        <is>
          <t xml:space="preserve">Resposta</t>
        </is>
      </c>
      <c r="C119" s="3" t="inlineStr">
        <is>
          <t xml:space="preserve">Campo de preenchimento livre ou calculado — ver aba anterior.</t>
        </is>
      </c>
      <c r="D119" s="3" t="inlineStr">
        <is>
          <t xml:space="preserve">Mitigar</t>
        </is>
      </c>
    </row>
    <row r="120">
      <c r="A120" s="7" t="inlineStr">
        <is>
          <t xml:space="preserve">Riscos</t>
        </is>
      </c>
      <c r="B120" s="7" t="inlineStr">
        <is>
          <t xml:space="preserve">Controles_Tratamento</t>
        </is>
      </c>
      <c r="C120" s="6" t="inlineStr">
        <is>
          <t xml:space="preserve">Campo de preenchimento livre ou calculado — ver aba anterior.</t>
        </is>
      </c>
      <c r="D120" s="6" t="inlineStr">
        <is>
          <t xml:space="preserve">Roteiro de pesquisa com múltiplas fontes (Painel de Preços, PNCP) e revisão pela UNP.</t>
        </is>
      </c>
    </row>
    <row r="121">
      <c r="A121" s="4" t="inlineStr">
        <is>
          <t xml:space="preserve">Riscos</t>
        </is>
      </c>
      <c r="B121" s="4" t="inlineStr">
        <is>
          <t xml:space="preserve">Prazo_Tratamento</t>
        </is>
      </c>
      <c r="C121" s="3" t="inlineStr">
        <is>
          <t xml:space="preserve">Campo de preenchimento livre ou calculado — ver aba anterior.</t>
        </is>
      </c>
      <c r="D121" s="3" t="inlineStr">
        <is>
          <t xml:space="preserve">30/09/2026</t>
        </is>
      </c>
    </row>
    <row r="122">
      <c r="A122" s="7" t="inlineStr">
        <is>
          <t xml:space="preserve">Riscos</t>
        </is>
      </c>
      <c r="B122" s="7" t="inlineStr">
        <is>
          <t xml:space="preserve">Responsavel</t>
        </is>
      </c>
      <c r="C122" s="6" t="inlineStr">
        <is>
          <t xml:space="preserve">Campo de preenchimento livre ou calculado — ver aba anterior.</t>
        </is>
      </c>
      <c r="D122" s="6" t="inlineStr">
        <is>
          <t xml:space="preserve">Ricardo Nogueira</t>
        </is>
      </c>
    </row>
    <row r="123">
      <c r="A123" s="4" t="inlineStr">
        <is>
          <t xml:space="preserve">Riscos</t>
        </is>
      </c>
      <c r="B123" s="4" t="inlineStr">
        <is>
          <t xml:space="preserve">Status</t>
        </is>
      </c>
      <c r="C123" s="3" t="inlineStr">
        <is>
          <t xml:space="preserve">Campo de preenchimento livre ou calculado — ver aba anterior.</t>
        </is>
      </c>
      <c r="D123" s="3" t="inlineStr">
        <is>
          <t xml:space="preserve">Em tratamento</t>
        </is>
      </c>
    </row>
    <row r="124">
      <c r="A124" s="7" t="inlineStr">
        <is>
          <t xml:space="preserve">Metricas</t>
        </is>
      </c>
      <c r="B124" s="7" t="inlineStr">
        <is>
          <t xml:space="preserve">ID</t>
        </is>
      </c>
      <c r="C124" s="6" t="inlineStr">
        <is>
          <t xml:space="preserve">Campo de preenchimento livre ou calculado — ver aba anterior.</t>
        </is>
      </c>
      <c r="D124" s="6" t="inlineStr">
        <is>
          <t xml:space="preserve">IND-001</t>
        </is>
      </c>
    </row>
    <row r="125">
      <c r="A125" s="4" t="inlineStr">
        <is>
          <t xml:space="preserve">Metricas</t>
        </is>
      </c>
      <c r="B125" s="4" t="inlineStr">
        <is>
          <t xml:space="preserve">Nome</t>
        </is>
      </c>
      <c r="C125" s="3" t="inlineStr">
        <is>
          <t xml:space="preserve">Campo de preenchimento livre ou calculado — ver aba anterior.</t>
        </is>
      </c>
      <c r="D125" s="3" t="inlineStr">
        <is>
          <t xml:space="preserve">Tempo médio do ciclo de contratação</t>
        </is>
      </c>
    </row>
    <row r="126">
      <c r="A126" s="7" t="inlineStr">
        <is>
          <t xml:space="preserve">Metricas</t>
        </is>
      </c>
      <c r="B126" s="7" t="inlineStr">
        <is>
          <t xml:space="preserve">Vinculo_Nivel</t>
        </is>
      </c>
      <c r="C126" s="6" t="inlineStr">
        <is>
          <t xml:space="preserve">Campo de preenchimento livre ou calculado — ver aba anterior.</t>
        </is>
      </c>
      <c r="D126" s="6" t="inlineStr">
        <is>
          <t xml:space="preserve">Macroprocesso</t>
        </is>
      </c>
    </row>
    <row r="127">
      <c r="A127" s="4" t="inlineStr">
        <is>
          <t xml:space="preserve">Metricas</t>
        </is>
      </c>
      <c r="B127" s="4" t="inlineStr">
        <is>
          <t xml:space="preserve">Vinculo_Codigo</t>
        </is>
      </c>
      <c r="C127" s="3" t="inlineStr">
        <is>
          <t xml:space="preserve">Caminho completo do item vinculado (ex. "MS-01/PP-01" ou "MS-01/PP-01/SP-03"), ou o código isolado de um Macroprocesso (já único). Mais de um: separe com ; .</t>
        </is>
      </c>
      <c r="D127" s="3" t="inlineStr">
        <is>
          <t xml:space="preserve">MS-01</t>
        </is>
      </c>
    </row>
    <row r="128">
      <c r="A128" s="7" t="inlineStr">
        <is>
          <t xml:space="preserve">Metricas</t>
        </is>
      </c>
      <c r="B128" s="7" t="inlineStr">
        <is>
          <t xml:space="preserve">Categoria</t>
        </is>
      </c>
      <c r="C128" s="6" t="inlineStr">
        <is>
          <t xml:space="preserve">Campo de preenchimento livre ou calculado — ver aba anterior.</t>
        </is>
      </c>
      <c r="D128" s="6" t="inlineStr">
        <is>
          <t xml:space="preserve">Processo</t>
        </is>
      </c>
    </row>
    <row r="129">
      <c r="A129" s="4" t="inlineStr">
        <is>
          <t xml:space="preserve">Metricas</t>
        </is>
      </c>
      <c r="B129" s="4" t="inlineStr">
        <is>
          <t xml:space="preserve">Descricao_Formula</t>
        </is>
      </c>
      <c r="C129" s="3" t="inlineStr">
        <is>
          <t xml:space="preserve">Campo de preenchimento livre ou calculado — ver aba anterior.</t>
        </is>
      </c>
      <c r="D129" s="3" t="inlineStr">
        <is>
          <t xml:space="preserve">Média de dias entre o DFD e a homologação do certame.</t>
        </is>
      </c>
    </row>
    <row r="130">
      <c r="A130" s="7" t="inlineStr">
        <is>
          <t xml:space="preserve">Metricas</t>
        </is>
      </c>
      <c r="B130" s="7" t="inlineStr">
        <is>
          <t xml:space="preserve">Criterios_Desempenho</t>
        </is>
      </c>
      <c r="C130" s="6" t="inlineStr">
        <is>
          <t xml:space="preserve">Campo de preenchimento livre ou calculado — ver aba anterior.</t>
        </is>
      </c>
      <c r="D130" s="6" t="inlineStr">
        <is>
          <t xml:space="preserve">(sem exemplo)</t>
        </is>
      </c>
    </row>
    <row r="131">
      <c r="A131" s="4" t="inlineStr">
        <is>
          <t xml:space="preserve">Metricas</t>
        </is>
      </c>
      <c r="B131" s="4" t="inlineStr">
        <is>
          <t xml:space="preserve">Unidade</t>
        </is>
      </c>
      <c r="C131" s="3" t="inlineStr">
        <is>
          <t xml:space="preserve">Campo de preenchimento livre ou calculado — ver aba anterior.</t>
        </is>
      </c>
      <c r="D131" s="3" t="inlineStr">
        <is>
          <t xml:space="preserve">dias</t>
        </is>
      </c>
    </row>
    <row r="132">
      <c r="A132" s="7" t="inlineStr">
        <is>
          <t xml:space="preserve">Metricas</t>
        </is>
      </c>
      <c r="B132" s="7" t="inlineStr">
        <is>
          <t xml:space="preserve">Polaridade</t>
        </is>
      </c>
      <c r="C132" s="6" t="inlineStr">
        <is>
          <t xml:space="preserve">Campo de preenchimento livre ou calculado — ver aba anterior.</t>
        </is>
      </c>
      <c r="D132" s="6" t="inlineStr">
        <is>
          <t xml:space="preserve">Menor melhor</t>
        </is>
      </c>
    </row>
    <row r="133">
      <c r="A133" s="4" t="inlineStr">
        <is>
          <t xml:space="preserve">Metricas</t>
        </is>
      </c>
      <c r="B133" s="4" t="inlineStr">
        <is>
          <t xml:space="preserve">Meta</t>
        </is>
      </c>
      <c r="C133" s="3" t="inlineStr">
        <is>
          <t xml:space="preserve">Campo de preenchimento livre ou calculado — ver aba anterior.</t>
        </is>
      </c>
      <c r="D133" s="3">
        <v>120</v>
      </c>
    </row>
    <row r="134">
      <c r="A134" s="7" t="inlineStr">
        <is>
          <t xml:space="preserve">Metricas</t>
        </is>
      </c>
      <c r="B134" s="7" t="inlineStr">
        <is>
          <t xml:space="preserve">Periodicidade</t>
        </is>
      </c>
      <c r="C134" s="6" t="inlineStr">
        <is>
          <t xml:space="preserve">Campo de preenchimento livre ou calculado — ver aba anterior.</t>
        </is>
      </c>
      <c r="D134" s="6" t="inlineStr">
        <is>
          <t xml:space="preserve">Trimestral</t>
        </is>
      </c>
    </row>
    <row r="135">
      <c r="A135" s="4" t="inlineStr">
        <is>
          <t xml:space="preserve">Metricas</t>
        </is>
      </c>
      <c r="B135" s="4" t="inlineStr">
        <is>
          <t xml:space="preserve">Fonte</t>
        </is>
      </c>
      <c r="C135" s="3" t="inlineStr">
        <is>
          <t xml:space="preserve">Campo de preenchimento livre ou calculado — ver aba anterior.</t>
        </is>
      </c>
      <c r="D135" s="3" t="inlineStr">
        <is>
          <t xml:space="preserve">Compras.gov.br</t>
        </is>
      </c>
    </row>
    <row r="136">
      <c r="A136" s="7" t="inlineStr">
        <is>
          <t xml:space="preserve">Metricas</t>
        </is>
      </c>
      <c r="B136" s="7" t="inlineStr">
        <is>
          <t xml:space="preserve">Observacoes</t>
        </is>
      </c>
      <c r="C136" s="6" t="inlineStr">
        <is>
          <t xml:space="preserve">Campo de preenchimento livre ou calculado — ver aba anterior.</t>
        </is>
      </c>
      <c r="D136" s="6" t="inlineStr">
        <is>
          <t xml:space="preserve">Acordado com as áreas demandantes em 2026.</t>
        </is>
      </c>
    </row>
    <row r="137">
      <c r="A137" s="4" t="inlineStr">
        <is>
          <t xml:space="preserve">Medicoes</t>
        </is>
      </c>
      <c r="B137" s="4" t="inlineStr">
        <is>
          <t xml:space="preserve">ID</t>
        </is>
      </c>
      <c r="C137" s="3" t="inlineStr">
        <is>
          <t xml:space="preserve">Campo de preenchimento livre ou calculado — ver aba anterior.</t>
        </is>
      </c>
      <c r="D137" s="3" t="inlineStr">
        <is>
          <t xml:space="preserve">MED-001</t>
        </is>
      </c>
    </row>
    <row r="138">
      <c r="A138" s="7" t="inlineStr">
        <is>
          <t xml:space="preserve">Medicoes</t>
        </is>
      </c>
      <c r="B138" s="7" t="inlineStr">
        <is>
          <t xml:space="preserve">Metrica_ID</t>
        </is>
      </c>
      <c r="C138" s="6" t="inlineStr">
        <is>
          <t xml:space="preserve">Campo de preenchimento livre ou calculado — ver aba anterior.</t>
        </is>
      </c>
      <c r="D138" s="6" t="inlineStr">
        <is>
          <t xml:space="preserve">IND-001</t>
        </is>
      </c>
    </row>
    <row r="139">
      <c r="A139" s="4" t="inlineStr">
        <is>
          <t xml:space="preserve">Medicoes</t>
        </is>
      </c>
      <c r="B139" s="4" t="inlineStr">
        <is>
          <t xml:space="preserve">Data_Medicao</t>
        </is>
      </c>
      <c r="C139" s="3" t="inlineStr">
        <is>
          <t xml:space="preserve">Campo de preenchimento livre ou calculado — ver aba anterior.</t>
        </is>
      </c>
      <c r="D139" s="3" t="inlineStr">
        <is>
          <t xml:space="preserve">30/06/2026</t>
        </is>
      </c>
    </row>
    <row r="140">
      <c r="A140" s="7" t="inlineStr">
        <is>
          <t xml:space="preserve">Medicoes</t>
        </is>
      </c>
      <c r="B140" s="7" t="inlineStr">
        <is>
          <t xml:space="preserve">Valor</t>
        </is>
      </c>
      <c r="C140" s="6" t="inlineStr">
        <is>
          <t xml:space="preserve">Campo de preenchimento livre ou calculado — ver aba anterior.</t>
        </is>
      </c>
      <c r="D140" s="6">
        <v>148</v>
      </c>
    </row>
    <row r="141">
      <c r="A141" s="4" t="inlineStr">
        <is>
          <t xml:space="preserve">Medicoes</t>
        </is>
      </c>
      <c r="B141" s="4" t="inlineStr">
        <is>
          <t xml:space="preserve">Observacao</t>
        </is>
      </c>
      <c r="C141" s="3" t="inlineStr">
        <is>
          <t xml:space="preserve">Campo de preenchimento livre ou calculado — ver aba anterior.</t>
        </is>
      </c>
      <c r="D141" s="3" t="inlineStr">
        <is>
          <t xml:space="preserve">Primeira apuração do trimestre.</t>
        </is>
      </c>
    </row>
    <row r="142">
      <c r="A142" s="7" t="inlineStr">
        <is>
          <t xml:space="preserve">Papeis</t>
        </is>
      </c>
      <c r="B142" s="7" t="inlineStr">
        <is>
          <t xml:space="preserve">ID</t>
        </is>
      </c>
      <c r="C142" s="6" t="inlineStr">
        <is>
          <t xml:space="preserve">Campo de preenchimento livre ou calculado — ver aba anterior.</t>
        </is>
      </c>
      <c r="D142" s="6" t="inlineStr">
        <is>
          <t xml:space="preserve">PAP-001</t>
        </is>
      </c>
    </row>
    <row r="143">
      <c r="A143" s="4" t="inlineStr">
        <is>
          <t xml:space="preserve">Papeis</t>
        </is>
      </c>
      <c r="B143" s="4" t="inlineStr">
        <is>
          <t xml:space="preserve">Vinculo_Nivel</t>
        </is>
      </c>
      <c r="C143" s="3" t="inlineStr">
        <is>
          <t xml:space="preserve">Campo de preenchimento livre ou calculado — ver aba anterior.</t>
        </is>
      </c>
      <c r="D143" s="3" t="inlineStr">
        <is>
          <t xml:space="preserve">Processo</t>
        </is>
      </c>
    </row>
    <row r="144">
      <c r="A144" s="7" t="inlineStr">
        <is>
          <t xml:space="preserve">Papeis</t>
        </is>
      </c>
      <c r="B144" s="7" t="inlineStr">
        <is>
          <t xml:space="preserve">Vinculo_Codigo</t>
        </is>
      </c>
      <c r="C144" s="6" t="inlineStr">
        <is>
          <t xml:space="preserve">Caminho completo do item vinculado (ex. "MS-01/PP-01" ou "MS-01/PP-01/SP-03"), ou o código isolado de um Macroprocesso (já único). Mais de um: separe com ; .</t>
        </is>
      </c>
      <c r="D144" s="6" t="inlineStr">
        <is>
          <t xml:space="preserve">MS-01/PP-01</t>
        </is>
      </c>
    </row>
    <row r="145">
      <c r="A145" s="4" t="inlineStr">
        <is>
          <t xml:space="preserve">Papeis</t>
        </is>
      </c>
      <c r="B145" s="4" t="inlineStr">
        <is>
          <t xml:space="preserve">Papel</t>
        </is>
      </c>
      <c r="C145" s="3" t="inlineStr">
        <is>
          <t xml:space="preserve">Campo de preenchimento livre ou calculado — ver aba anterior.</t>
        </is>
      </c>
      <c r="D145" s="3" t="inlineStr">
        <is>
          <t xml:space="preserve">Gestor do processo</t>
        </is>
      </c>
    </row>
    <row r="146">
      <c r="A146" s="7" t="inlineStr">
        <is>
          <t xml:space="preserve">Papeis</t>
        </is>
      </c>
      <c r="B146" s="7" t="inlineStr">
        <is>
          <t xml:space="preserve">Envolvimento</t>
        </is>
      </c>
      <c r="C146" s="6" t="inlineStr">
        <is>
          <t xml:space="preserve">Campo de preenchimento livre ou calculado — ver aba anterior.</t>
        </is>
      </c>
      <c r="D146" s="6" t="inlineStr">
        <is>
          <t xml:space="preserve">Aprova (A)</t>
        </is>
      </c>
    </row>
    <row r="147">
      <c r="A147" s="4" t="inlineStr">
        <is>
          <t xml:space="preserve">Papeis</t>
        </is>
      </c>
      <c r="B147" s="4" t="inlineStr">
        <is>
          <t xml:space="preserve">Unidade_Pessoa</t>
        </is>
      </c>
      <c r="C147" s="3" t="inlineStr">
        <is>
          <t xml:space="preserve">Campo de preenchimento livre ou calculado — ver aba anterior.</t>
        </is>
      </c>
      <c r="D147" s="3" t="inlineStr">
        <is>
          <t xml:space="preserve">AE/GAG</t>
        </is>
      </c>
    </row>
    <row r="148">
      <c r="A148" s="7" t="inlineStr">
        <is>
          <t xml:space="preserve">Regras</t>
        </is>
      </c>
      <c r="B148" s="7" t="inlineStr">
        <is>
          <t xml:space="preserve">ID</t>
        </is>
      </c>
      <c r="C148" s="6" t="inlineStr">
        <is>
          <t xml:space="preserve">Campo de preenchimento livre ou calculado — ver aba anterior.</t>
        </is>
      </c>
      <c r="D148" s="6" t="inlineStr">
        <is>
          <t xml:space="preserve">REG-001</t>
        </is>
      </c>
    </row>
    <row r="149">
      <c r="A149" s="4" t="inlineStr">
        <is>
          <t xml:space="preserve">Regras</t>
        </is>
      </c>
      <c r="B149" s="4" t="inlineStr">
        <is>
          <t xml:space="preserve">Nome</t>
        </is>
      </c>
      <c r="C149" s="3" t="inlineStr">
        <is>
          <t xml:space="preserve">Campo de preenchimento livre ou calculado — ver aba anterior.</t>
        </is>
      </c>
      <c r="D149" s="3" t="inlineStr">
        <is>
          <t xml:space="preserve">Alçada de aprovação por valor</t>
        </is>
      </c>
    </row>
    <row r="150">
      <c r="A150" s="7" t="inlineStr">
        <is>
          <t xml:space="preserve">Regras</t>
        </is>
      </c>
      <c r="B150" s="7" t="inlineStr">
        <is>
          <t xml:space="preserve">Vinculo_Nivel</t>
        </is>
      </c>
      <c r="C150" s="6" t="inlineStr">
        <is>
          <t xml:space="preserve">Campo de preenchimento livre ou calculado — ver aba anterior.</t>
        </is>
      </c>
      <c r="D150" s="6" t="inlineStr">
        <is>
          <t xml:space="preserve">Macroprocesso</t>
        </is>
      </c>
    </row>
    <row r="151">
      <c r="A151" s="4" t="inlineStr">
        <is>
          <t xml:space="preserve">Regras</t>
        </is>
      </c>
      <c r="B151" s="4" t="inlineStr">
        <is>
          <t xml:space="preserve">Vinculo_Codigo</t>
        </is>
      </c>
      <c r="C151" s="3" t="inlineStr">
        <is>
          <t xml:space="preserve">Caminho completo do item vinculado (ex. "MS-01/PP-01" ou "MS-01/PP-01/SP-03"), ou o código isolado de um Macroprocesso (já único). Mais de um: separe com ; .</t>
        </is>
      </c>
      <c r="D151" s="3" t="inlineStr">
        <is>
          <t xml:space="preserve">MS-01</t>
        </is>
      </c>
    </row>
    <row r="152">
      <c r="A152" s="7" t="inlineStr">
        <is>
          <t xml:space="preserve">Regras</t>
        </is>
      </c>
      <c r="B152" s="7" t="inlineStr">
        <is>
          <t xml:space="preserve">Tipo_Regra</t>
        </is>
      </c>
      <c r="C152" s="6" t="inlineStr">
        <is>
          <t xml:space="preserve">Campo de preenchimento livre ou calculado — ver aba anterior.</t>
        </is>
      </c>
      <c r="D152" s="6" t="inlineStr">
        <is>
          <t xml:space="preserve">Operação</t>
        </is>
      </c>
    </row>
    <row r="153">
      <c r="A153" s="4" t="inlineStr">
        <is>
          <t xml:space="preserve">Regras</t>
        </is>
      </c>
      <c r="B153" s="4" t="inlineStr">
        <is>
          <t xml:space="preserve">Descricao</t>
        </is>
      </c>
      <c r="C153" s="3" t="inlineStr">
        <is>
          <t xml:space="preserve">Campo de preenchimento livre ou calculado — ver aba anterior.</t>
        </is>
      </c>
      <c r="D153" s="3" t="inlineStr">
        <is>
          <t xml:space="preserve">Contratações acima de R$ 50.000 exigem aprovação da autoridade competente.</t>
        </is>
      </c>
    </row>
    <row r="154">
      <c r="A154" s="7" t="inlineStr">
        <is>
          <t xml:space="preserve">Regras</t>
        </is>
      </c>
      <c r="B154" s="7" t="inlineStr">
        <is>
          <t xml:space="preserve">Fonte_Normativa</t>
        </is>
      </c>
      <c r="C154" s="6" t="inlineStr">
        <is>
          <t xml:space="preserve">Campo de preenchimento livre ou calculado — ver aba anterior.</t>
        </is>
      </c>
      <c r="D154" s="6" t="inlineStr">
        <is>
          <t xml:space="preserve">Lei nº 14.133/2021</t>
        </is>
      </c>
    </row>
    <row r="155">
      <c r="A155" s="4" t="inlineStr">
        <is>
          <t xml:space="preserve">Cultura_Processos</t>
        </is>
      </c>
      <c r="B155" s="4" t="inlineStr">
        <is>
          <t xml:space="preserve">ID</t>
        </is>
      </c>
      <c r="C155" s="3" t="inlineStr">
        <is>
          <t xml:space="preserve">Campo de preenchimento livre ou calculado — ver aba anterior.</t>
        </is>
      </c>
      <c r="D155" s="3" t="inlineStr">
        <is>
          <t xml:space="preserve">CULT-01</t>
        </is>
      </c>
    </row>
    <row r="156">
      <c r="A156" s="7" t="inlineStr">
        <is>
          <t xml:space="preserve">Cultura_Processos</t>
        </is>
      </c>
      <c r="B156" s="7" t="inlineStr">
        <is>
          <t xml:space="preserve">Ordem</t>
        </is>
      </c>
      <c r="C156" s="6" t="inlineStr">
        <is>
          <t xml:space="preserve">Campo de preenchimento livre ou calculado — ver aba anterior.</t>
        </is>
      </c>
      <c r="D156" s="6">
        <v>1</v>
      </c>
    </row>
    <row r="157">
      <c r="A157" s="4" t="inlineStr">
        <is>
          <t xml:space="preserve">Cultura_Processos</t>
        </is>
      </c>
      <c r="B157" s="4" t="inlineStr">
        <is>
          <t xml:space="preserve">Caracteristica</t>
        </is>
      </c>
      <c r="C157" s="3" t="inlineStr">
        <is>
          <t xml:space="preserve">Campo de preenchimento livre ou calculado — ver aba anterior.</t>
        </is>
      </c>
      <c r="D157" s="3" t="inlineStr">
        <is>
          <t xml:space="preserve">Acordo geral sobre o que são os processos de negócio</t>
        </is>
      </c>
    </row>
    <row r="158">
      <c r="A158" s="7" t="inlineStr">
        <is>
          <t xml:space="preserve">Cultura_Processos</t>
        </is>
      </c>
      <c r="B158" s="7" t="inlineStr">
        <is>
          <t xml:space="preserve">Situacao</t>
        </is>
      </c>
      <c r="C158" s="6" t="inlineStr">
        <is>
          <t xml:space="preserve">Campo de preenchimento livre ou calculado — ver aba anterior.</t>
        </is>
      </c>
      <c r="D158" s="6" t="inlineStr">
        <is>
          <t xml:space="preserve">Não avaliado</t>
        </is>
      </c>
    </row>
    <row r="159">
      <c r="A159" s="4" t="inlineStr">
        <is>
          <t xml:space="preserve">Cultura_Processos</t>
        </is>
      </c>
      <c r="B159" s="4" t="inlineStr">
        <is>
          <t xml:space="preserve">Observacao</t>
        </is>
      </c>
      <c r="C159" s="3" t="inlineStr">
        <is>
          <t xml:space="preserve">Campo de preenchimento livre ou calculado — ver aba anterior.</t>
        </is>
      </c>
      <c r="D159" s="3" t="inlineStr">
        <is>
          <t xml:space="preserve">(sem exemplo)</t>
        </is>
      </c>
    </row>
    <row r="160">
      <c r="A160" s="7" t="inlineStr">
        <is>
          <t xml:space="preserve">Iniciativas</t>
        </is>
      </c>
      <c r="B160" s="7" t="inlineStr">
        <is>
          <t xml:space="preserve">ID</t>
        </is>
      </c>
      <c r="C160" s="6" t="inlineStr">
        <is>
          <t xml:space="preserve">Campo de preenchimento livre ou calculado — ver aba anterior.</t>
        </is>
      </c>
      <c r="D160" s="6" t="inlineStr">
        <is>
          <t xml:space="preserve">INI-001</t>
        </is>
      </c>
    </row>
    <row r="161">
      <c r="A161" s="4" t="inlineStr">
        <is>
          <t xml:space="preserve">Iniciativas</t>
        </is>
      </c>
      <c r="B161" s="4" t="inlineStr">
        <is>
          <t xml:space="preserve">Data</t>
        </is>
      </c>
      <c r="C161" s="3" t="inlineStr">
        <is>
          <t xml:space="preserve">Campo de preenchimento livre ou calculado — ver aba anterior.</t>
        </is>
      </c>
      <c r="D161" s="3" t="inlineStr">
        <is>
          <t xml:space="preserve">20/05/2026</t>
        </is>
      </c>
    </row>
    <row r="162">
      <c r="A162" s="7" t="inlineStr">
        <is>
          <t xml:space="preserve">Iniciativas</t>
        </is>
      </c>
      <c r="B162" s="7" t="inlineStr">
        <is>
          <t xml:space="preserve">Titulo</t>
        </is>
      </c>
      <c r="C162" s="6" t="inlineStr">
        <is>
          <t xml:space="preserve">Campo de preenchimento livre ou calculado — ver aba anterior.</t>
        </is>
      </c>
      <c r="D162" s="6" t="inlineStr">
        <is>
          <t xml:space="preserve">Automação da conferência de preços na pesquisa (PP-01)</t>
        </is>
      </c>
    </row>
    <row r="163">
      <c r="A163" s="4" t="inlineStr">
        <is>
          <t xml:space="preserve">Iniciativas</t>
        </is>
      </c>
      <c r="B163" s="4" t="inlineStr">
        <is>
          <t xml:space="preserve">Tipo</t>
        </is>
      </c>
      <c r="C163" s="3" t="inlineStr">
        <is>
          <t xml:space="preserve">Campo de preenchimento livre ou calculado — ver aba anterior.</t>
        </is>
      </c>
      <c r="D163" s="3" t="inlineStr">
        <is>
          <t xml:space="preserve">Automação</t>
        </is>
      </c>
    </row>
    <row r="164">
      <c r="A164" s="7" t="inlineStr">
        <is>
          <t xml:space="preserve">Iniciativas</t>
        </is>
      </c>
      <c r="B164" s="7" t="inlineStr">
        <is>
          <t xml:space="preserve">Descricao</t>
        </is>
      </c>
      <c r="C164" s="6" t="inlineStr">
        <is>
          <t xml:space="preserve">Campo de preenchimento livre ou calculado — ver aba anterior.</t>
        </is>
      </c>
      <c r="D164" s="6" t="inlineStr">
        <is>
          <t xml:space="preserve">A equipe de TI usou o PRO e o roteiro de pesquisa de preços publicados no repositório (DOC-007) p...</t>
        </is>
      </c>
    </row>
    <row r="165">
      <c r="A165" s="4" t="inlineStr">
        <is>
          <t xml:space="preserve">Iniciativas</t>
        </is>
      </c>
      <c r="B165" s="4" t="inlineStr">
        <is>
          <t xml:space="preserve">Processos_Relacionados</t>
        </is>
      </c>
      <c r="C165" s="3" t="inlineStr">
        <is>
          <t xml:space="preserve">Caminho completo dos processos relacionados, separados por ; quando houver mais de um.</t>
        </is>
      </c>
      <c r="D165" s="3" t="inlineStr">
        <is>
          <t xml:space="preserve">MS-01/PP-01</t>
        </is>
      </c>
    </row>
    <row r="166">
      <c r="A166" s="7" t="inlineStr">
        <is>
          <t xml:space="preserve">Competencias</t>
        </is>
      </c>
      <c r="B166" s="7" t="inlineStr">
        <is>
          <t xml:space="preserve">Ordem</t>
        </is>
      </c>
      <c r="C166" s="6" t="inlineStr">
        <is>
          <t xml:space="preserve">Campo de preenchimento livre ou calculado — ver aba anterior.</t>
        </is>
      </c>
      <c r="D166" s="6">
        <v>1</v>
      </c>
    </row>
    <row r="167">
      <c r="A167" s="4" t="inlineStr">
        <is>
          <t xml:space="preserve">Competencias</t>
        </is>
      </c>
      <c r="B167" s="4" t="inlineStr">
        <is>
          <t xml:space="preserve">Instancia</t>
        </is>
      </c>
      <c r="C167" s="3" t="inlineStr">
        <is>
          <t xml:space="preserve">Campo de preenchimento livre ou calculado — ver aba anterior.</t>
        </is>
      </c>
      <c r="D167" s="3" t="inlineStr">
        <is>
          <t xml:space="preserve">Conselho de Administração</t>
        </is>
      </c>
    </row>
    <row r="168">
      <c r="A168" s="7" t="inlineStr">
        <is>
          <t xml:space="preserve">Competencias</t>
        </is>
      </c>
      <c r="B168" s="7" t="inlineStr">
        <is>
          <t xml:space="preserve">Item_Normativo</t>
        </is>
      </c>
      <c r="C168" s="6" t="inlineStr">
        <is>
          <t xml:space="preserve">Campo de preenchimento livre ou calculado — ver aba anterior.</t>
        </is>
      </c>
      <c r="D168" s="6">
        <v>3.1</v>
      </c>
    </row>
    <row r="169">
      <c r="A169" s="4" t="inlineStr">
        <is>
          <t xml:space="preserve">Competencias</t>
        </is>
      </c>
      <c r="B169" s="4" t="inlineStr">
        <is>
          <t xml:space="preserve">Atribuicoes</t>
        </is>
      </c>
      <c r="C169" s="3" t="inlineStr">
        <is>
          <t xml:space="preserve">Campo de preenchimento livre ou calculado — ver aba anterior.</t>
        </is>
      </c>
      <c r="D169" s="3" t="inlineStr">
        <is>
          <t xml:space="preserve">Garantir o apoio institucional para a gestão de processos.</t>
        </is>
      </c>
    </row>
    <row r="170">
      <c r="A170" s="7" t="inlineStr">
        <is>
          <t xml:space="preserve">Jornada</t>
        </is>
      </c>
      <c r="B170" s="7" t="inlineStr">
        <is>
          <t xml:space="preserve">Ordem</t>
        </is>
      </c>
      <c r="C170" s="6" t="inlineStr">
        <is>
          <t xml:space="preserve">Campo de preenchimento livre ou calculado — ver aba anterior.</t>
        </is>
      </c>
      <c r="D170" s="6">
        <v>1</v>
      </c>
    </row>
    <row r="171">
      <c r="A171" s="4" t="inlineStr">
        <is>
          <t xml:space="preserve">Jornada</t>
        </is>
      </c>
      <c r="B171" s="4" t="inlineStr">
        <is>
          <t xml:space="preserve">Fase</t>
        </is>
      </c>
      <c r="C171" s="3" t="inlineStr">
        <is>
          <t xml:space="preserve">Campo de preenchimento livre ou calculado — ver aba anterior.</t>
        </is>
      </c>
      <c r="D171" s="3" t="inlineStr">
        <is>
          <t xml:space="preserve">Descobrir</t>
        </is>
      </c>
    </row>
    <row r="172">
      <c r="A172" s="7" t="inlineStr">
        <is>
          <t xml:space="preserve">Jornada</t>
        </is>
      </c>
      <c r="B172" s="7" t="inlineStr">
        <is>
          <t xml:space="preserve">Nome</t>
        </is>
      </c>
      <c r="C172" s="6" t="inlineStr">
        <is>
          <t xml:space="preserve">Campo de preenchimento livre ou calculado — ver aba anterior.</t>
        </is>
      </c>
      <c r="D172" s="6" t="inlineStr">
        <is>
          <t xml:space="preserve">Escuta e contextualização</t>
        </is>
      </c>
    </row>
    <row r="173">
      <c r="A173" s="4" t="inlineStr">
        <is>
          <t xml:space="preserve">Jornada</t>
        </is>
      </c>
      <c r="B173" s="4" t="inlineStr">
        <is>
          <t xml:space="preserve">Duracao</t>
        </is>
      </c>
      <c r="C173" s="3" t="inlineStr">
        <is>
          <t xml:space="preserve">Campo de preenchimento livre ou calculado — ver aba anterior.</t>
        </is>
      </c>
      <c r="D173" s="3" t="inlineStr">
        <is>
          <t xml:space="preserve">1–2 semanas</t>
        </is>
      </c>
    </row>
    <row r="174">
      <c r="A174" s="7" t="inlineStr">
        <is>
          <t xml:space="preserve">Jornada</t>
        </is>
      </c>
      <c r="B174" s="7" t="inlineStr">
        <is>
          <t xml:space="preserve">Objetivo</t>
        </is>
      </c>
      <c r="C174" s="6" t="inlineStr">
        <is>
          <t xml:space="preserve">Campo de preenchimento livre ou calculado — ver aba anterior.</t>
        </is>
      </c>
      <c r="D174" s="6" t="inlineStr">
        <is>
          <t xml:space="preserve">Compreender a dor real, o contexto e as expectativas de quem executa e de quem se beneficia do pr...</t>
        </is>
      </c>
    </row>
    <row r="175">
      <c r="A175" s="4" t="inlineStr">
        <is>
          <t xml:space="preserve">Jornada</t>
        </is>
      </c>
      <c r="B175" s="4" t="inlineStr">
        <is>
          <t xml:space="preserve">Atividades_Chave</t>
        </is>
      </c>
      <c r="C175" s="3" t="inlineStr">
        <is>
          <t xml:space="preserve">Campo de preenchimento livre ou calculado — ver aba anterior.</t>
        </is>
      </c>
      <c r="D175" s="3" t="inlineStr">
        <is>
          <t xml:space="preserve">Reunião de sensibilização com a unidade demandante; Entrevistas semiestruturadas com executores e...</t>
        </is>
      </c>
    </row>
    <row r="176">
      <c r="A176" s="7" t="inlineStr">
        <is>
          <t xml:space="preserve">Jornada</t>
        </is>
      </c>
      <c r="B176" s="7" t="inlineStr">
        <is>
          <t xml:space="preserve">Quem_Faz</t>
        </is>
      </c>
      <c r="C176" s="6" t="inlineStr">
        <is>
          <t xml:space="preserve">Campo de preenchimento livre ou calculado — ver aba anterior.</t>
        </is>
      </c>
      <c r="D176" s="6" t="inlineStr">
        <is>
          <t xml:space="preserve">NUGEP; Interlocutor da área; Dono do processo</t>
        </is>
      </c>
    </row>
    <row r="177">
      <c r="A177" s="4" t="inlineStr">
        <is>
          <t xml:space="preserve">Jornada</t>
        </is>
      </c>
      <c r="B177" s="4" t="inlineStr">
        <is>
          <t xml:space="preserve">Entregaveis</t>
        </is>
      </c>
      <c r="C177" s="3" t="inlineStr">
        <is>
          <t xml:space="preserve">Campo de preenchimento livre ou calculado — ver aba anterior.</t>
        </is>
      </c>
      <c r="D177" s="3" t="inlineStr">
        <is>
          <t xml:space="preserve">Ata de reunião; Formulário preenchido; Mapa de partes interessadas</t>
        </is>
      </c>
    </row>
    <row r="178">
      <c r="A178" s="7" t="inlineStr">
        <is>
          <t xml:space="preserve">Jornada</t>
        </is>
      </c>
      <c r="B178" s="7" t="inlineStr">
        <is>
          <t xml:space="preserve">Sentimento_Usuario</t>
        </is>
      </c>
      <c r="C178" s="6" t="inlineStr">
        <is>
          <t xml:space="preserve">Campo de preenchimento livre ou calculado — ver aba anterior.</t>
        </is>
      </c>
      <c r="D178" s="6" t="inlineStr">
        <is>
          <t xml:space="preserve">Curiosidade e ansiedade: “por que estão olhando meu trabalho?”</t>
        </is>
      </c>
    </row>
    <row r="179">
      <c r="A179" s="4" t="inlineStr">
        <is>
          <t xml:space="preserve">Repositorio</t>
        </is>
      </c>
      <c r="B179" s="4" t="inlineStr">
        <is>
          <t xml:space="preserve">ID</t>
        </is>
      </c>
      <c r="C179" s="3" t="inlineStr">
        <is>
          <t xml:space="preserve">Campo de preenchimento livre ou calculado — ver aba anterior.</t>
        </is>
      </c>
      <c r="D179" s="3" t="inlineStr">
        <is>
          <t xml:space="preserve">REP-001</t>
        </is>
      </c>
    </row>
    <row r="180">
      <c r="A180" s="7" t="inlineStr">
        <is>
          <t xml:space="preserve">Repositorio</t>
        </is>
      </c>
      <c r="B180" s="7" t="inlineStr">
        <is>
          <t xml:space="preserve">Categoria</t>
        </is>
      </c>
      <c r="C180" s="6" t="inlineStr">
        <is>
          <t xml:space="preserve">Campo de preenchimento livre ou calculado — ver aba anterior.</t>
        </is>
      </c>
      <c r="D180" s="6" t="inlineStr">
        <is>
          <t xml:space="preserve">Documento oficial</t>
        </is>
      </c>
    </row>
    <row r="181">
      <c r="A181" s="4" t="inlineStr">
        <is>
          <t xml:space="preserve">Repositorio</t>
        </is>
      </c>
      <c r="B181" s="4" t="inlineStr">
        <is>
          <t xml:space="preserve">Fase_Ciclo</t>
        </is>
      </c>
      <c r="C181" s="3" t="inlineStr">
        <is>
          <t xml:space="preserve">Campo de preenchimento livre ou calculado — ver aba anterior.</t>
        </is>
      </c>
      <c r="D181" s="3" t="inlineStr">
        <is>
          <t xml:space="preserve">Desenho</t>
        </is>
      </c>
    </row>
    <row r="182">
      <c r="A182" s="7" t="inlineStr">
        <is>
          <t xml:space="preserve">Repositorio</t>
        </is>
      </c>
      <c r="B182" s="7" t="inlineStr">
        <is>
          <t xml:space="preserve">Titulo</t>
        </is>
      </c>
      <c r="C182" s="6" t="inlineStr">
        <is>
          <t xml:space="preserve">Campo de preenchimento livre ou calculado — ver aba anterior.</t>
        </is>
      </c>
      <c r="D182" s="6" t="inlineStr">
        <is>
          <t xml:space="preserve">Metodologia de Gerenciamento de Processos da Codevasf</t>
        </is>
      </c>
    </row>
    <row r="183">
      <c r="A183" s="4" t="inlineStr">
        <is>
          <t xml:space="preserve">Repositorio</t>
        </is>
      </c>
      <c r="B183" s="4" t="inlineStr">
        <is>
          <t xml:space="preserve">Descricao</t>
        </is>
      </c>
      <c r="C183" s="3" t="inlineStr">
        <is>
          <t xml:space="preserve">Campo de preenchimento livre ou calculado — ver aba anterior.</t>
        </is>
      </c>
      <c r="D183" s="3" t="inlineStr">
        <is>
          <t xml:space="preserve">Documento normativo que institui a metodologia corporativa de gerenciamento de processos (disponí...</t>
        </is>
      </c>
    </row>
    <row r="184">
      <c r="A184" s="7" t="inlineStr">
        <is>
          <t xml:space="preserve">Repositorio</t>
        </is>
      </c>
      <c r="B184" s="7" t="inlineStr">
        <is>
          <t xml:space="preserve">Fonte</t>
        </is>
      </c>
      <c r="C184" s="6" t="inlineStr">
        <is>
          <t xml:space="preserve">Campo de preenchimento livre ou calculado — ver aba anterior.</t>
        </is>
      </c>
      <c r="D184" s="6" t="inlineStr">
        <is>
          <t xml:space="preserve">Codevasf</t>
        </is>
      </c>
    </row>
    <row r="185">
      <c r="A185" s="4" t="inlineStr">
        <is>
          <t xml:space="preserve">Repositorio</t>
        </is>
      </c>
      <c r="B185" s="4" t="inlineStr">
        <is>
          <t xml:space="preserve">Link</t>
        </is>
      </c>
      <c r="C185" s="3" t="inlineStr">
        <is>
          <t xml:space="preserve">Campo de preenchimento livre ou calculado — ver aba anterior.</t>
        </is>
      </c>
      <c r="D185" s="3" t="inlineStr">
        <is>
          <t xml:space="preserve">https://intraplone.codevasf.gov.br/documentos_normativos_referencia/governanca-e-gestao/copy_of_p...</t>
        </is>
      </c>
    </row>
    <row r="186">
      <c r="A186" s="7" t="inlineStr">
        <is>
          <t xml:space="preserve">Repositorio</t>
        </is>
      </c>
      <c r="B186" s="7" t="inlineStr">
        <is>
          <t xml:space="preserve">Ordem</t>
        </is>
      </c>
      <c r="C186" s="6" t="inlineStr">
        <is>
          <t xml:space="preserve">Campo de preenchimento livre ou calculado — ver aba anterior.</t>
        </is>
      </c>
      <c r="D186" s="6">
        <v>1</v>
      </c>
    </row>
    <row r="187">
      <c r="A187" s="4" t="inlineStr">
        <is>
          <t xml:space="preserve">NUGEP</t>
        </is>
      </c>
      <c r="B187" s="4" t="inlineStr">
        <is>
          <t xml:space="preserve">Ordem</t>
        </is>
      </c>
      <c r="C187" s="3" t="inlineStr">
        <is>
          <t xml:space="preserve">Campo de preenchimento livre ou calculado — ver aba anterior.</t>
        </is>
      </c>
      <c r="D187" s="3">
        <v>1</v>
      </c>
    </row>
    <row r="188">
      <c r="A188" s="7" t="inlineStr">
        <is>
          <t xml:space="preserve">NUGEP</t>
        </is>
      </c>
      <c r="B188" s="7" t="inlineStr">
        <is>
          <t xml:space="preserve">Nome</t>
        </is>
      </c>
      <c r="C188" s="6" t="inlineStr">
        <is>
          <t xml:space="preserve">Campo de preenchimento livre ou calculado — ver aba anterior.</t>
        </is>
      </c>
      <c r="D188" s="6" t="inlineStr">
        <is>
          <t xml:space="preserve">Ricardo Nunes Vasconcelos</t>
        </is>
      </c>
    </row>
    <row r="189">
      <c r="A189" s="4" t="inlineStr">
        <is>
          <t xml:space="preserve">NUGEP</t>
        </is>
      </c>
      <c r="B189" s="4" t="inlineStr">
        <is>
          <t xml:space="preserve">Papel</t>
        </is>
      </c>
      <c r="C189" s="3" t="inlineStr">
        <is>
          <t xml:space="preserve">Campo de preenchimento livre ou calculado — ver aba anterior.</t>
        </is>
      </c>
      <c r="D189" s="3" t="inlineStr">
        <is>
          <t xml:space="preserve">Gerente-Executivo da Área de Gestão Estratégica</t>
        </is>
      </c>
    </row>
    <row r="190">
      <c r="A190" s="7" t="inlineStr">
        <is>
          <t xml:space="preserve">NUGEP</t>
        </is>
      </c>
      <c r="B190" s="7" t="inlineStr">
        <is>
          <t xml:space="preserve">Unidade_Sigla</t>
        </is>
      </c>
      <c r="C190" s="6" t="inlineStr">
        <is>
          <t xml:space="preserve">Campo de preenchimento livre ou calculado — ver aba anterior.</t>
        </is>
      </c>
      <c r="D190" s="6" t="inlineStr">
        <is>
          <t xml:space="preserve">AE</t>
        </is>
      </c>
    </row>
    <row r="191">
      <c r="A191" s="4" t="inlineStr">
        <is>
          <t xml:space="preserve">NUGEP</t>
        </is>
      </c>
      <c r="B191" s="4" t="inlineStr">
        <is>
          <t xml:space="preserve">Unidade_Nome</t>
        </is>
      </c>
      <c r="C191" s="3" t="inlineStr">
        <is>
          <t xml:space="preserve">Campo de preenchimento livre ou calculado — ver aba anterior.</t>
        </is>
      </c>
      <c r="D191" s="3" t="inlineStr">
        <is>
          <t xml:space="preserve">Área de Gestão Estratégica</t>
        </is>
      </c>
    </row>
    <row r="192">
      <c r="A192" s="7" t="inlineStr">
        <is>
          <t xml:space="preserve">NUGEP</t>
        </is>
      </c>
      <c r="B192" s="7" t="inlineStr">
        <is>
          <t xml:space="preserve">Email</t>
        </is>
      </c>
      <c r="C192" s="6" t="inlineStr">
        <is>
          <t xml:space="preserve">Campo de preenchimento livre ou calculado — ver aba anterior.</t>
        </is>
      </c>
      <c r="D192" s="6" t="inlineStr">
        <is>
          <t xml:space="preserve">ricardo.vasconcelos@codevasf.gov.br</t>
        </is>
      </c>
    </row>
    <row r="193">
      <c r="A193" s="4" t="inlineStr">
        <is>
          <t xml:space="preserve">NUGEP</t>
        </is>
      </c>
      <c r="B193" s="4" t="inlineStr">
        <is>
          <t xml:space="preserve">Telefone</t>
        </is>
      </c>
      <c r="C193" s="3" t="inlineStr">
        <is>
          <t xml:space="preserve">Campo de preenchimento livre ou calculado — ver aba anterior.</t>
        </is>
      </c>
      <c r="D193" s="3" t="inlineStr">
        <is>
          <t xml:space="preserve">(61) 2028-4400</t>
        </is>
      </c>
    </row>
    <row r="194">
      <c r="A194" s="7" t="inlineStr">
        <is>
          <t xml:space="preserve">NUGEP</t>
        </is>
      </c>
      <c r="B194" s="7" t="inlineStr">
        <is>
          <t xml:space="preserve">Foto</t>
        </is>
      </c>
      <c r="C194" s="6" t="inlineStr">
        <is>
          <t xml:space="preserve">Campo de preenchimento livre ou calculado — ver aba anterior.</t>
        </is>
      </c>
      <c r="D194" s="6" t="inlineStr">
        <is>
          <t xml:space="preserve">https://randomuser.me/api/portraits/men/32.jpg</t>
        </is>
      </c>
    </row>
    <row r="195">
      <c r="A195" s="4" t="inlineStr">
        <is>
          <t xml:space="preserve">NUGEP</t>
        </is>
      </c>
      <c r="B195" s="4" t="inlineStr">
        <is>
          <t xml:space="preserve">Hierarquia</t>
        </is>
      </c>
      <c r="C195" s="3" t="inlineStr">
        <is>
          <t xml:space="preserve">Campo de preenchimento livre ou calculado — ver aba anterior.</t>
        </is>
      </c>
      <c r="D195" s="3">
        <v>1</v>
      </c>
    </row>
    <row r="196">
      <c r="A196" s="7" t="inlineStr">
        <is>
          <t xml:space="preserve">Glossario</t>
        </is>
      </c>
      <c r="B196" s="7" t="inlineStr">
        <is>
          <t xml:space="preserve">Termo</t>
        </is>
      </c>
      <c r="C196" s="6" t="inlineStr">
        <is>
          <t xml:space="preserve">Campo de preenchimento livre ou calculado — ver aba anterior.</t>
        </is>
      </c>
      <c r="D196" s="6" t="inlineStr">
        <is>
          <t xml:space="preserve">ABPMP</t>
        </is>
      </c>
    </row>
    <row r="197">
      <c r="A197" s="4" t="inlineStr">
        <is>
          <t xml:space="preserve">Glossario</t>
        </is>
      </c>
      <c r="B197" s="4" t="inlineStr">
        <is>
          <t xml:space="preserve">Definicao</t>
        </is>
      </c>
      <c r="C197" s="3" t="inlineStr">
        <is>
          <t xml:space="preserve">Campo de preenchimento livre ou calculado — ver aba anterior.</t>
        </is>
      </c>
      <c r="D197" s="3" t="inlineStr">
        <is>
          <t xml:space="preserve">Association of Business Process Management Professionals — entidade internacional sem fins lucrat...</t>
        </is>
      </c>
    </row>
    <row r="198">
      <c r="A198" s="7" t="inlineStr">
        <is>
          <t xml:space="preserve">Glossario</t>
        </is>
      </c>
      <c r="B198" s="7" t="inlineStr">
        <is>
          <t xml:space="preserve">Fonte</t>
        </is>
      </c>
      <c r="C198" s="6" t="inlineStr">
        <is>
          <t xml:space="preserve">Campo de preenchimento livre ou calculado — ver aba anterior.</t>
        </is>
      </c>
      <c r="D198" s="6" t="inlineStr">
        <is>
          <t xml:space="preserve">ABPMP</t>
        </is>
      </c>
    </row>
    <row r="199">
      <c r="A199" s="4" t="inlineStr">
        <is>
          <t xml:space="preserve">FAQ</t>
        </is>
      </c>
      <c r="B199" s="4" t="inlineStr">
        <is>
          <t xml:space="preserve">Ordem</t>
        </is>
      </c>
      <c r="C199" s="3" t="inlineStr">
        <is>
          <t xml:space="preserve">Campo de preenchimento livre ou calculado — ver aba anterior.</t>
        </is>
      </c>
      <c r="D199" s="3">
        <v>1</v>
      </c>
    </row>
    <row r="200">
      <c r="A200" s="7" t="inlineStr">
        <is>
          <t xml:space="preserve">FAQ</t>
        </is>
      </c>
      <c r="B200" s="7" t="inlineStr">
        <is>
          <t xml:space="preserve">Categoria</t>
        </is>
      </c>
      <c r="C200" s="6" t="inlineStr">
        <is>
          <t xml:space="preserve">Campo de preenchimento livre ou calculado — ver aba anterior.</t>
        </is>
      </c>
      <c r="D200" s="6" t="inlineStr">
        <is>
          <t xml:space="preserve">Conceitos básicos</t>
        </is>
      </c>
    </row>
    <row r="201">
      <c r="A201" s="4" t="inlineStr">
        <is>
          <t xml:space="preserve">FAQ</t>
        </is>
      </c>
      <c r="B201" s="4" t="inlineStr">
        <is>
          <t xml:space="preserve">Pergunta</t>
        </is>
      </c>
      <c r="C201" s="3" t="inlineStr">
        <is>
          <t xml:space="preserve">Campo de preenchimento livre ou calculado — ver aba anterior.</t>
        </is>
      </c>
      <c r="D201" s="3" t="inlineStr">
        <is>
          <t xml:space="preserve">O que é Gestão de Processos (BPM)?</t>
        </is>
      </c>
    </row>
    <row r="202">
      <c r="A202" s="7" t="inlineStr">
        <is>
          <t xml:space="preserve">FAQ</t>
        </is>
      </c>
      <c r="B202" s="7" t="inlineStr">
        <is>
          <t xml:space="preserve">Resposta</t>
        </is>
      </c>
      <c r="C202" s="6" t="inlineStr">
        <is>
          <t xml:space="preserve">Campo de preenchimento livre ou calculado — ver aba anterior.</t>
        </is>
      </c>
      <c r="D202" s="6" t="inlineStr">
        <is>
          <t xml:space="preserve">Business Process Management é uma disciplina gerencial integrada que combina técnicas, métodos e ...</t>
        </is>
      </c>
    </row>
    <row r="203">
      <c r="A203" s="4" t="inlineStr">
        <is>
          <t xml:space="preserve">Siglas</t>
        </is>
      </c>
      <c r="B203" s="4" t="inlineStr">
        <is>
          <t xml:space="preserve">Sigla</t>
        </is>
      </c>
      <c r="C203" s="3" t="inlineStr">
        <is>
          <t xml:space="preserve">Campo de preenchimento livre ou calculado — ver aba anterior.</t>
        </is>
      </c>
      <c r="D203" s="3" t="inlineStr">
        <is>
          <t xml:space="preserve">10ª/AJ</t>
        </is>
      </c>
    </row>
    <row r="204">
      <c r="A204" s="7" t="inlineStr">
        <is>
          <t xml:space="preserve">Siglas</t>
        </is>
      </c>
      <c r="B204" s="7" t="inlineStr">
        <is>
          <t xml:space="preserve">Nome</t>
        </is>
      </c>
      <c r="C204" s="6" t="inlineStr">
        <is>
          <t xml:space="preserve">Campo de preenchimento livre ou calculado — ver aba anterior.</t>
        </is>
      </c>
      <c r="D204" s="6" t="inlineStr">
        <is>
          <t xml:space="preserve">Assessoria Jurídica Regional</t>
        </is>
      </c>
    </row>
    <row r="205">
      <c r="A205" s="4" t="inlineStr">
        <is>
          <t xml:space="preserve">Parametros</t>
        </is>
      </c>
      <c r="B205" s="4" t="inlineStr">
        <is>
          <t xml:space="preserve">Chave</t>
        </is>
      </c>
      <c r="C205" s="3" t="inlineStr">
        <is>
          <t xml:space="preserve">Campo de preenchimento livre ou calculado — ver aba anterior.</t>
        </is>
      </c>
      <c r="D205" s="3" t="inlineStr">
        <is>
          <t xml:space="preserve">Contato_Unidade</t>
        </is>
      </c>
    </row>
    <row r="206">
      <c r="A206" s="7" t="inlineStr">
        <is>
          <t xml:space="preserve">Parametros</t>
        </is>
      </c>
      <c r="B206" s="7" t="inlineStr">
        <is>
          <t xml:space="preserve">Valor</t>
        </is>
      </c>
      <c r="C206" s="6" t="inlineStr">
        <is>
          <t xml:space="preserve">Campo de preenchimento livre ou calculado — ver aba anterior.</t>
        </is>
      </c>
      <c r="D206" s="6" t="inlineStr">
        <is>
          <t xml:space="preserve">Unidade de Gestão Normativa e de Processos (AE/GPE/UNP)</t>
        </is>
      </c>
    </row>
    <row r="207">
      <c r="A207" s="4" t="inlineStr">
        <is>
          <t xml:space="preserve">Listas</t>
        </is>
      </c>
      <c r="B207" s="4" t="inlineStr">
        <is>
          <t xml:space="preserve">Categoria_Macroprocesso</t>
        </is>
      </c>
      <c r="C207" s="3" t="inlineStr">
        <is>
          <t xml:space="preserve">Campo de preenchimento livre ou calculado — ver aba anterior.</t>
        </is>
      </c>
      <c r="D207" s="3" t="inlineStr">
        <is>
          <t xml:space="preserve">Gerencial</t>
        </is>
      </c>
    </row>
    <row r="208">
      <c r="A208" s="7" t="inlineStr">
        <is>
          <t xml:space="preserve">Listas</t>
        </is>
      </c>
      <c r="B208" s="7" t="inlineStr">
        <is>
          <t xml:space="preserve">Status_Mapeamento</t>
        </is>
      </c>
      <c r="C208" s="6" t="inlineStr">
        <is>
          <t xml:space="preserve">Campo de preenchimento livre ou calculado — ver aba anterior.</t>
        </is>
      </c>
      <c r="D208" s="6" t="inlineStr">
        <is>
          <t xml:space="preserve">Não iniciado</t>
        </is>
      </c>
    </row>
    <row r="209">
      <c r="A209" s="4" t="inlineStr">
        <is>
          <t xml:space="preserve">Listas</t>
        </is>
      </c>
      <c r="B209" s="4" t="inlineStr">
        <is>
          <t xml:space="preserve">Prioridade</t>
        </is>
      </c>
      <c r="C209" s="3" t="inlineStr">
        <is>
          <t xml:space="preserve">Campo de preenchimento livre ou calculado — ver aba anterior.</t>
        </is>
      </c>
      <c r="D209" s="3" t="inlineStr">
        <is>
          <t xml:space="preserve">Alta</t>
        </is>
      </c>
    </row>
    <row r="210">
      <c r="A210" s="7" t="inlineStr">
        <is>
          <t xml:space="preserve">Listas</t>
        </is>
      </c>
      <c r="B210" s="7" t="inlineStr">
        <is>
          <t xml:space="preserve">Complexidade</t>
        </is>
      </c>
      <c r="C210" s="6" t="inlineStr">
        <is>
          <t xml:space="preserve">Campo de preenchimento livre ou calculado — ver aba anterior.</t>
        </is>
      </c>
      <c r="D210" s="6" t="inlineStr">
        <is>
          <t xml:space="preserve">Alta</t>
        </is>
      </c>
    </row>
    <row r="211">
      <c r="A211" s="4" t="inlineStr">
        <is>
          <t xml:space="preserve">Listas</t>
        </is>
      </c>
      <c r="B211" s="4" t="inlineStr">
        <is>
          <t xml:space="preserve">Maturidade_Processo</t>
        </is>
      </c>
      <c r="C211" s="3" t="inlineStr">
        <is>
          <t xml:space="preserve">Campo de preenchimento livre ou calculado — ver aba anterior.</t>
        </is>
      </c>
      <c r="D211" s="3" t="inlineStr">
        <is>
          <t xml:space="preserve">Inicial</t>
        </is>
      </c>
    </row>
    <row r="212">
      <c r="A212" s="7" t="inlineStr">
        <is>
          <t xml:space="preserve">Listas</t>
        </is>
      </c>
      <c r="B212" s="7" t="inlineStr">
        <is>
          <t xml:space="preserve">Sim_Nao</t>
        </is>
      </c>
      <c r="C212" s="6" t="inlineStr">
        <is>
          <t xml:space="preserve">Campo de preenchimento livre ou calculado — ver aba anterior.</t>
        </is>
      </c>
      <c r="D212" s="6" t="inlineStr">
        <is>
          <t xml:space="preserve">Sim</t>
        </is>
      </c>
    </row>
    <row r="213">
      <c r="A213" s="4" t="inlineStr">
        <is>
          <t xml:space="preserve">Listas</t>
        </is>
      </c>
      <c r="B213" s="4" t="inlineStr">
        <is>
          <t xml:space="preserve">Status_Marco</t>
        </is>
      </c>
      <c r="C213" s="3" t="inlineStr">
        <is>
          <t xml:space="preserve">Campo de preenchimento livre ou calculado — ver aba anterior.</t>
        </is>
      </c>
      <c r="D213" s="3" t="inlineStr">
        <is>
          <t xml:space="preserve">Sim</t>
        </is>
      </c>
    </row>
    <row r="214">
      <c r="A214" s="7" t="inlineStr">
        <is>
          <t xml:space="preserve">Listas</t>
        </is>
      </c>
      <c r="B214" s="7" t="inlineStr">
        <is>
          <t xml:space="preserve">Nivel_Vinculo</t>
        </is>
      </c>
      <c r="C214" s="6" t="inlineStr">
        <is>
          <t xml:space="preserve">Campo de preenchimento livre ou calculado — ver aba anterior.</t>
        </is>
      </c>
      <c r="D214" s="6" t="inlineStr">
        <is>
          <t xml:space="preserve">Macroprocesso</t>
        </is>
      </c>
    </row>
    <row r="215">
      <c r="A215" s="4" t="inlineStr">
        <is>
          <t xml:space="preserve">Listas</t>
        </is>
      </c>
      <c r="B215" s="4" t="inlineStr">
        <is>
          <t xml:space="preserve">Tipo_Atividade</t>
        </is>
      </c>
      <c r="C215" s="3" t="inlineStr">
        <is>
          <t xml:space="preserve">Campo de preenchimento livre ou calculado — ver aba anterior.</t>
        </is>
      </c>
      <c r="D215" s="3" t="inlineStr">
        <is>
          <t xml:space="preserve">Agregação de Valor</t>
        </is>
      </c>
    </row>
    <row r="216">
      <c r="A216" s="7" t="inlineStr">
        <is>
          <t xml:space="preserve">Listas</t>
        </is>
      </c>
      <c r="B216" s="7" t="inlineStr">
        <is>
          <t xml:space="preserve">Tipo_Tarefa</t>
        </is>
      </c>
      <c r="C216" s="6" t="inlineStr">
        <is>
          <t xml:space="preserve">Campo de preenchimento livre ou calculado — ver aba anterior.</t>
        </is>
      </c>
      <c r="D216" s="6" t="inlineStr">
        <is>
          <t xml:space="preserve">Manual</t>
        </is>
      </c>
    </row>
    <row r="217">
      <c r="A217" s="4" t="inlineStr">
        <is>
          <t xml:space="preserve">Listas</t>
        </is>
      </c>
      <c r="B217" s="4" t="inlineStr">
        <is>
          <t xml:space="preserve">Tipo_Documento</t>
        </is>
      </c>
      <c r="C217" s="3" t="inlineStr">
        <is>
          <t xml:space="preserve">Campo de preenchimento livre ou calculado — ver aba anterior.</t>
        </is>
      </c>
      <c r="D217" s="3" t="inlineStr">
        <is>
          <t xml:space="preserve">Procedimento (PRO)</t>
        </is>
      </c>
    </row>
    <row r="218">
      <c r="A218" s="7" t="inlineStr">
        <is>
          <t xml:space="preserve">Listas</t>
        </is>
      </c>
      <c r="B218" s="7" t="inlineStr">
        <is>
          <t xml:space="preserve">Situacao_Documento</t>
        </is>
      </c>
      <c r="C218" s="6" t="inlineStr">
        <is>
          <t xml:space="preserve">Campo de preenchimento livre ou calculado — ver aba anterior.</t>
        </is>
      </c>
      <c r="D218" s="6" t="inlineStr">
        <is>
          <t xml:space="preserve">Vigente</t>
        </is>
      </c>
    </row>
    <row r="219">
      <c r="A219" s="4" t="inlineStr">
        <is>
          <t xml:space="preserve">Listas</t>
        </is>
      </c>
      <c r="B219" s="4" t="inlineStr">
        <is>
          <t xml:space="preserve">Categoria_Risco</t>
        </is>
      </c>
      <c r="C219" s="3" t="inlineStr">
        <is>
          <t xml:space="preserve">Campo de preenchimento livre ou calculado — ver aba anterior.</t>
        </is>
      </c>
      <c r="D219" s="3" t="inlineStr">
        <is>
          <t xml:space="preserve">Operacional</t>
        </is>
      </c>
    </row>
    <row r="220">
      <c r="A220" s="7" t="inlineStr">
        <is>
          <t xml:space="preserve">Listas</t>
        </is>
      </c>
      <c r="B220" s="7" t="inlineStr">
        <is>
          <t xml:space="preserve">Resposta_Risco</t>
        </is>
      </c>
      <c r="C220" s="6" t="inlineStr">
        <is>
          <t xml:space="preserve">Campo de preenchimento livre ou calculado — ver aba anterior.</t>
        </is>
      </c>
      <c r="D220" s="6" t="inlineStr">
        <is>
          <t xml:space="preserve">Mitigar</t>
        </is>
      </c>
    </row>
    <row r="221">
      <c r="A221" s="4" t="inlineStr">
        <is>
          <t xml:space="preserve">Listas</t>
        </is>
      </c>
      <c r="B221" s="4" t="inlineStr">
        <is>
          <t xml:space="preserve">Status_Risco</t>
        </is>
      </c>
      <c r="C221" s="3" t="inlineStr">
        <is>
          <t xml:space="preserve">Campo de preenchimento livre ou calculado — ver aba anterior.</t>
        </is>
      </c>
      <c r="D221" s="3" t="inlineStr">
        <is>
          <t xml:space="preserve">Aberto</t>
        </is>
      </c>
    </row>
    <row r="222">
      <c r="A222" s="7" t="inlineStr">
        <is>
          <t xml:space="preserve">Listas</t>
        </is>
      </c>
      <c r="B222" s="7" t="inlineStr">
        <is>
          <t xml:space="preserve">Envolvimento_RACI</t>
        </is>
      </c>
      <c r="C222" s="6" t="inlineStr">
        <is>
          <t xml:space="preserve">Campo de preenchimento livre ou calculado — ver aba anterior.</t>
        </is>
      </c>
      <c r="D222" s="6" t="inlineStr">
        <is>
          <t xml:space="preserve">Executa (R)</t>
        </is>
      </c>
    </row>
    <row r="223">
      <c r="A223" s="4" t="inlineStr">
        <is>
          <t xml:space="preserve">Listas</t>
        </is>
      </c>
      <c r="B223" s="4" t="inlineStr">
        <is>
          <t xml:space="preserve">Tipo_Regra</t>
        </is>
      </c>
      <c r="C223" s="3" t="inlineStr">
        <is>
          <t xml:space="preserve">Campo de preenchimento livre ou calculado — ver aba anterior.</t>
        </is>
      </c>
      <c r="D223" s="3" t="inlineStr">
        <is>
          <t xml:space="preserve">Operação</t>
        </is>
      </c>
    </row>
    <row r="224">
      <c r="A224" s="7" t="inlineStr">
        <is>
          <t xml:space="preserve">Listas</t>
        </is>
      </c>
      <c r="B224" s="7" t="inlineStr">
        <is>
          <t xml:space="preserve">Polaridade</t>
        </is>
      </c>
      <c r="C224" s="6" t="inlineStr">
        <is>
          <t xml:space="preserve">Campo de preenchimento livre ou calculado — ver aba anterior.</t>
        </is>
      </c>
      <c r="D224" s="6" t="inlineStr">
        <is>
          <t xml:space="preserve">Maior melhor</t>
        </is>
      </c>
    </row>
    <row r="225">
      <c r="A225" s="4" t="inlineStr">
        <is>
          <t xml:space="preserve">Listas</t>
        </is>
      </c>
      <c r="B225" s="4" t="inlineStr">
        <is>
          <t xml:space="preserve">Periodicidade</t>
        </is>
      </c>
      <c r="C225" s="3" t="inlineStr">
        <is>
          <t xml:space="preserve">Campo de preenchimento livre ou calculado — ver aba anterior.</t>
        </is>
      </c>
      <c r="D225" s="3" t="inlineStr">
        <is>
          <t xml:space="preserve">Mensal</t>
        </is>
      </c>
    </row>
    <row r="226">
      <c r="A226" s="7" t="inlineStr">
        <is>
          <t xml:space="preserve">Listas</t>
        </is>
      </c>
      <c r="B226" s="7" t="inlineStr">
        <is>
          <t xml:space="preserve">Situacao_Cultura</t>
        </is>
      </c>
      <c r="C226" s="6" t="inlineStr">
        <is>
          <t xml:space="preserve">Campo de preenchimento livre ou calculado — ver aba anterior.</t>
        </is>
      </c>
      <c r="D226" s="6" t="inlineStr">
        <is>
          <t xml:space="preserve">Sim</t>
        </is>
      </c>
    </row>
    <row r="227">
      <c r="A227" s="4" t="inlineStr">
        <is>
          <t xml:space="preserve">Listas</t>
        </is>
      </c>
      <c r="B227" s="4" t="inlineStr">
        <is>
          <t xml:space="preserve">Tipo_Iniciativa</t>
        </is>
      </c>
      <c r="C227" s="3" t="inlineStr">
        <is>
          <t xml:space="preserve">Campo de preenchimento livre ou calculado — ver aba anterior.</t>
        </is>
      </c>
      <c r="D227" s="3" t="inlineStr">
        <is>
          <t xml:space="preserve">Automação</t>
        </is>
      </c>
    </row>
    <row r="228">
      <c r="A228" s="7" t="inlineStr">
        <is>
          <t xml:space="preserve">Listas</t>
        </is>
      </c>
      <c r="B228" s="7" t="inlineStr">
        <is>
          <t xml:space="preserve">Categoria_Repositorio</t>
        </is>
      </c>
      <c r="C228" s="6" t="inlineStr">
        <is>
          <t xml:space="preserve">Campo de preenchimento livre ou calculado — ver aba anterior.</t>
        </is>
      </c>
      <c r="D228" s="6" t="inlineStr">
        <is>
          <t xml:space="preserve">Documento oficial</t>
        </is>
      </c>
    </row>
    <row r="229">
      <c r="A229" s="4" t="inlineStr">
        <is>
          <t xml:space="preserve">Listas</t>
        </is>
      </c>
      <c r="B229" s="4" t="inlineStr">
        <is>
          <t xml:space="preserve">Fase_Instrumento</t>
        </is>
      </c>
      <c r="C229" s="3" t="inlineStr">
        <is>
          <t xml:space="preserve">Campo de preenchimento livre ou calculado — ver aba anterior.</t>
        </is>
      </c>
      <c r="D229" s="3" t="inlineStr">
        <is>
          <t xml:space="preserve">Planejamento</t>
        </is>
      </c>
    </row>
    <row r="230">
      <c r="A230" s="7" t="inlineStr">
        <is>
          <t xml:space="preserve">Listas</t>
        </is>
      </c>
      <c r="B230" s="7" t="inlineStr">
        <is>
          <t xml:space="preserve">Categoria_FAQ</t>
        </is>
      </c>
      <c r="C230" s="6" t="inlineStr">
        <is>
          <t xml:space="preserve">Campo de preenchimento livre ou calculado — ver aba anterior.</t>
        </is>
      </c>
      <c r="D230" s="6" t="inlineStr">
        <is>
          <t xml:space="preserve">Conceitos básicos</t>
        </is>
      </c>
    </row>
  </sheetData>
  <autoFilter ref="A1:D1"/>
</worksheet>
</file>

<file path=xl/worksheets/sheet3.xml><?xml version="1.0" encoding="utf-8"?>
<worksheet xmlns="http://schemas.openxmlformats.org/spreadsheetml/2006/main">
  <sheetPr>
    <tabColor rgb="FF0040B4"/>
  </sheetPr>
  <dimension ref="A1:O9"/>
  <sheetViews>
    <sheetView workbookViewId="0" zoomScale="90">
      <pane ySplit="1" topLeftCell="A2" activePane="bottomLeft" state="frozen"/>
      <selection pane="bottomLeft"/>
    </sheetView>
  </sheetViews>
  <cols>
    <col min="1" max="1" width="14" customWidth="1"/>
    <col min="2" max="2" width="10" customWidth="1"/>
    <col min="3" max="3" width="34" customWidth="1"/>
    <col min="4" max="4" width="13" customWidth="1"/>
    <col min="5" max="5" width="7" customWidth="1"/>
    <col min="6" max="6" width="16" customWidth="1"/>
    <col min="7" max="7" width="30" customWidth="1"/>
    <col min="8" max="8" width="46" customWidth="1"/>
    <col min="9" max="9" width="46" customWidth="1"/>
    <col min="10" max="10" width="40" customWidth="1"/>
    <col min="11" max="11" width="34" customWidth="1"/>
    <col min="12" max="12" width="34" customWidth="1"/>
    <col min="13" max="13" width="30" customWidth="1"/>
    <col min="14" max="14" width="30" customWidth="1"/>
    <col min="15" max="15" width="26" customWidth="1"/>
  </cols>
  <sheetData>
    <row r="1">
      <c r="A1" s="1" t="inlineStr">
        <is>
          <t xml:space="preserve">Trilha</t>
        </is>
      </c>
      <c r="B1" s="1" t="inlineStr">
        <is>
          <t xml:space="preserve">Codigo</t>
        </is>
      </c>
      <c r="C1" s="1" t="inlineStr">
        <is>
          <t xml:space="preserve">Nome</t>
        </is>
      </c>
      <c r="D1" s="1" t="inlineStr">
        <is>
          <t xml:space="preserve">Categoria</t>
        </is>
      </c>
      <c r="E1" s="1" t="inlineStr">
        <is>
          <t xml:space="preserve">Ordem</t>
        </is>
      </c>
      <c r="F1" s="1" t="inlineStr">
        <is>
          <t xml:space="preserve">Unidade_Organica_Responsavel</t>
        </is>
      </c>
      <c r="G1" s="1" t="inlineStr">
        <is>
          <t xml:space="preserve">Unidades_Organicas_Corresponsaveis</t>
        </is>
      </c>
      <c r="H1" s="1" t="inlineStr">
        <is>
          <t xml:space="preserve">Descricao</t>
        </is>
      </c>
      <c r="I1" s="1" t="inlineStr">
        <is>
          <t xml:space="preserve">Objetivo</t>
        </is>
      </c>
      <c r="J1" s="1" t="inlineStr">
        <is>
          <t xml:space="preserve">Entregas</t>
        </is>
      </c>
      <c r="K1" s="1" t="inlineStr">
        <is>
          <t xml:space="preserve">Beneficiarios</t>
        </is>
      </c>
      <c r="L1" s="1" t="inlineStr">
        <is>
          <t xml:space="preserve">Partes_Interessadas</t>
        </is>
      </c>
      <c r="M1" s="1" t="inlineStr">
        <is>
          <t xml:space="preserve">Sistemas</t>
        </is>
      </c>
      <c r="N1" s="1" t="inlineStr">
        <is>
          <t xml:space="preserve">Imagem_Bizagi</t>
        </is>
      </c>
      <c r="O1" s="1" t="inlineStr">
        <is>
          <t xml:space="preserve">Observacoes</t>
        </is>
      </c>
    </row>
    <row r="2">
      <c r="A2" s="8" t="str">
        <f>=B2</f>
        <v>MG-01</v>
      </c>
      <c r="B2" s="7" t="inlineStr">
        <is>
          <t xml:space="preserve">MG-01</t>
        </is>
      </c>
      <c r="C2" s="6" t="inlineStr">
        <is>
          <t xml:space="preserve">Gestão Estratégica e Governança</t>
        </is>
      </c>
      <c r="D2" s="7" t="inlineStr">
        <is>
          <t xml:space="preserve">Gerencial</t>
        </is>
      </c>
      <c r="E2" s="7">
        <v>1</v>
      </c>
      <c r="F2" s="7" t="inlineStr">
        <is>
          <t xml:space="preserve">AE/GPE</t>
        </is>
      </c>
      <c r="G2" s="7" t="inlineStr">
        <is>
          <t xml:space="preserve">AE/GAG</t>
        </is>
      </c>
      <c r="H2" s="6" t="inlineStr">
        <is>
          <t xml:space="preserve">Formulação, desdobramento e monitoramento da estratégia corporativa, da governança e do desempenho institucional.</t>
        </is>
      </c>
      <c r="I2" s="6" t="inlineStr">
        <is>
          <t xml:space="preserve">Garantir que a atuação da Companhia esteja alinhada à estratégia, com decisões baseadas em evidências.</t>
        </is>
      </c>
      <c r="J2" s="6" t="inlineStr">
        <is>
          <t xml:space="preserve">Plano Estratégico; Plano de Ação Anual; Relatórios de desempenho</t>
        </is>
      </c>
      <c r="K2" s="6" t="inlineStr">
        <is>
          <t xml:space="preserve">Diretoria Executiva; Conselho de Administração; Unidades internas</t>
        </is>
      </c>
      <c r="L2" s="6" t="inlineStr">
        <is>
          <t xml:space="preserve">Ministério supervisor; Órgãos de controle; Sociedade</t>
        </is>
      </c>
      <c r="M2" s="6" t="inlineStr">
        <is>
          <t xml:space="preserve">e-Codevasf; Painéis de BI</t>
        </is>
      </c>
    </row>
    <row r="3">
      <c r="A3" s="8" t="str">
        <f>=B3</f>
        <v>MG-02</v>
      </c>
      <c r="B3" s="4" t="inlineStr">
        <is>
          <t xml:space="preserve">MG-02</t>
        </is>
      </c>
      <c r="C3" s="3" t="inlineStr">
        <is>
          <t xml:space="preserve">Gestão de Riscos, Integridade e Controles</t>
        </is>
      </c>
      <c r="D3" s="4" t="inlineStr">
        <is>
          <t xml:space="preserve">Gerencial</t>
        </is>
      </c>
      <c r="E3" s="4">
        <v>2</v>
      </c>
      <c r="F3" s="4" t="inlineStr">
        <is>
          <t xml:space="preserve">AE/GAG</t>
        </is>
      </c>
      <c r="G3" s="4" t="inlineStr">
        <is>
          <t xml:space="preserve">AE/GPE</t>
        </is>
      </c>
      <c r="H3" s="3" t="inlineStr">
        <is>
          <t xml:space="preserve">Identificação, avaliação e tratamento de riscos corporativos, integridade e controles internos (2ª linha).</t>
        </is>
      </c>
      <c r="I3" s="3" t="inlineStr">
        <is>
          <t xml:space="preserve">Assegurar razoável segurança para o alcance dos objetivos institucionais.</t>
        </is>
      </c>
      <c r="J3" s="3" t="inlineStr">
        <is>
          <t xml:space="preserve">Política de Gestão de Riscos; Matriz de riscos corporativa; Plano de integridade</t>
        </is>
      </c>
      <c r="K3" s="3" t="inlineStr">
        <is>
          <t xml:space="preserve">Alta administração; Gestores de 1ª linha</t>
        </is>
      </c>
      <c r="L3" s="3" t="inlineStr">
        <is>
          <t xml:space="preserve">Auditoria interna; CGU; TCU</t>
        </is>
      </c>
      <c r="M3" s="3" t="inlineStr">
        <is>
          <t xml:space="preserve">e-Codevasf; Sistema de gestão de riscos</t>
        </is>
      </c>
    </row>
    <row r="4">
      <c r="A4" s="8" t="str">
        <f>=B4</f>
        <v>MF-01</v>
      </c>
      <c r="B4" s="7" t="inlineStr">
        <is>
          <t xml:space="preserve">MF-01</t>
        </is>
      </c>
      <c r="C4" s="6" t="inlineStr">
        <is>
          <t xml:space="preserve">Desenvolvimento Territorial e Estruturação Produtiva</t>
        </is>
      </c>
      <c r="D4" s="7" t="inlineStr">
        <is>
          <t xml:space="preserve">Finalístico</t>
        </is>
      </c>
      <c r="E4" s="7">
        <v>3</v>
      </c>
      <c r="F4" s="7" t="inlineStr">
        <is>
          <t xml:space="preserve">AR/GDT</t>
        </is>
      </c>
      <c r="G4" s="7" t="inlineStr">
        <is>
          <t xml:space="preserve">AR/GRB</t>
        </is>
      </c>
      <c r="H4" s="6" t="inlineStr">
        <is>
          <t xml:space="preserve">Apoio a arranjos produtivos, inclusão socioeconômica e estruturação de cadeias produtivas nos vales.</t>
        </is>
      </c>
      <c r="I4" s="6" t="inlineStr">
        <is>
          <t xml:space="preserve">Promover o desenvolvimento regional integrado e sustentável.</t>
        </is>
      </c>
      <c r="J4" s="6" t="inlineStr">
        <is>
          <t xml:space="preserve">Projetos de estruturação produtiva; Convênios e instrumentos de repasse</t>
        </is>
      </c>
      <c r="K4" s="6" t="inlineStr">
        <is>
          <t xml:space="preserve">Produtores rurais; Cooperativas; Municípios</t>
        </is>
      </c>
      <c r="L4" s="6" t="inlineStr">
        <is>
          <t xml:space="preserve">Parlamentares; Entes federados; Entidades parceiras</t>
        </is>
      </c>
      <c r="M4" s="6" t="inlineStr">
        <is>
          <t xml:space="preserve">TransfereGov; e-Codevasf</t>
        </is>
      </c>
    </row>
    <row r="5">
      <c r="A5" s="8" t="str">
        <f>=B5</f>
        <v>MF-02</v>
      </c>
      <c r="B5" s="4" t="inlineStr">
        <is>
          <t xml:space="preserve">MF-02</t>
        </is>
      </c>
      <c r="C5" s="3" t="inlineStr">
        <is>
          <t xml:space="preserve">Gestão de Empreendimentos de Irrigação</t>
        </is>
      </c>
      <c r="D5" s="4" t="inlineStr">
        <is>
          <t xml:space="preserve">Finalístico</t>
        </is>
      </c>
      <c r="E5" s="4">
        <v>4</v>
      </c>
      <c r="F5" s="4" t="inlineStr">
        <is>
          <t xml:space="preserve">AI/GOM</t>
        </is>
      </c>
      <c r="G5" s="4" t="inlineStr">
        <is>
          <t xml:space="preserve">AT/GTI</t>
        </is>
      </c>
      <c r="H5" s="3" t="inlineStr">
        <is>
          <t xml:space="preserve">Implantação, operação, manutenção e transferência de gestão de perímetros públicos de irrigação.</t>
        </is>
      </c>
      <c r="I5" s="3" t="inlineStr">
        <is>
          <t xml:space="preserve">Ampliar a área irrigada produtiva com sustentabilidade hídrica e econômica.</t>
        </is>
      </c>
      <c r="J5" s="3" t="inlineStr">
        <is>
          <t xml:space="preserve">Perímetros em operação; Água distribuída; Relatórios de O&amp;M</t>
        </is>
      </c>
      <c r="K5" s="3" t="inlineStr">
        <is>
          <t xml:space="preserve">Irrigantes; Distritos de irrigação</t>
        </is>
      </c>
      <c r="L5" s="3" t="inlineStr">
        <is>
          <t xml:space="preserve">ANA; Agências estaduais; Associações de usuários</t>
        </is>
      </c>
      <c r="M5" s="3" t="inlineStr">
        <is>
          <t xml:space="preserve">SIG-Irrigação (fictício); e-Codevasf</t>
        </is>
      </c>
    </row>
    <row r="6">
      <c r="A6" s="8" t="str">
        <f>=B6</f>
        <v>MF-03</v>
      </c>
      <c r="B6" s="7" t="inlineStr">
        <is>
          <t xml:space="preserve">MF-03</t>
        </is>
      </c>
      <c r="C6" s="6" t="inlineStr">
        <is>
          <t xml:space="preserve">Revitalização de Bacias Hidrográficas</t>
        </is>
      </c>
      <c r="D6" s="7" t="inlineStr">
        <is>
          <t xml:space="preserve">Finalístico</t>
        </is>
      </c>
      <c r="E6" s="7">
        <v>5</v>
      </c>
      <c r="F6" s="7" t="inlineStr">
        <is>
          <t xml:space="preserve">AR/GRB</t>
        </is>
      </c>
      <c r="G6" s="7" t="inlineStr">
        <is>
          <t xml:space="preserve">AR/GDT</t>
        </is>
      </c>
      <c r="H6" s="6" t="inlineStr">
        <is>
          <t xml:space="preserve">Ações de recuperação hidroambiental, segurança hídrica e uso sustentável dos recursos naturais.</t>
        </is>
      </c>
      <c r="I6" s="6" t="inlineStr">
        <is>
          <t xml:space="preserve">Contribuir para a revitalização das bacias dos rios São Francisco e Parnaíba.</t>
        </is>
      </c>
      <c r="J6" s="6" t="inlineStr">
        <is>
          <t xml:space="preserve">Nascentes recuperadas; Obras hidroambientais; Sistemas de abastecimento</t>
        </is>
      </c>
      <c r="K6" s="6" t="inlineStr">
        <is>
          <t xml:space="preserve">Comunidades ribeirinhas; Municípios</t>
        </is>
      </c>
      <c r="L6" s="6" t="inlineStr">
        <is>
          <t xml:space="preserve">Comitês de bacia; MMA; Órgãos ambientais</t>
        </is>
      </c>
      <c r="M6" s="6" t="inlineStr">
        <is>
          <t xml:space="preserve">e-Codevasf; GeoPortal (fictício)</t>
        </is>
      </c>
    </row>
    <row r="7">
      <c r="A7" s="8" t="str">
        <f>=B7</f>
        <v>MS-01</v>
      </c>
      <c r="B7" s="4" t="inlineStr">
        <is>
          <t xml:space="preserve">MS-01</t>
        </is>
      </c>
      <c r="C7" s="3" t="inlineStr">
        <is>
          <t xml:space="preserve">Gestão de Licitações e Contratos</t>
        </is>
      </c>
      <c r="D7" s="4" t="inlineStr">
        <is>
          <t xml:space="preserve">Suporte</t>
        </is>
      </c>
      <c r="E7" s="4">
        <v>6</v>
      </c>
      <c r="F7" s="4" t="inlineStr">
        <is>
          <t xml:space="preserve">AA/GLC</t>
        </is>
      </c>
      <c r="G7" s="4" t="inlineStr">
        <is>
          <t xml:space="preserve">AT/GTI</t>
        </is>
      </c>
      <c r="H7" s="3" t="inlineStr">
        <is>
          <t xml:space="preserve">Planejamento das contratações, seleção de fornecedores e gestão dos contratos administrativos da Companhia.</t>
        </is>
      </c>
      <c r="I7" s="3" t="inlineStr">
        <is>
          <t xml:space="preserve">Prover contratações tempestivas, vantajosas e conformes à legislação.</t>
        </is>
      </c>
      <c r="J7" s="3" t="inlineStr">
        <is>
          <t xml:space="preserve">Editais publicados; Contratos firmados; Atas de registro de preços</t>
        </is>
      </c>
      <c r="K7" s="3" t="inlineStr">
        <is>
          <t xml:space="preserve">Todas as unidades demandantes</t>
        </is>
      </c>
      <c r="L7" s="3" t="inlineStr">
        <is>
          <t xml:space="preserve">Fornecedores; Assessoria Jurídica; Órgãos de controle; PNCP</t>
        </is>
      </c>
      <c r="M7" s="3" t="inlineStr">
        <is>
          <t xml:space="preserve">Compras.gov.br; PNCP; Painel de Preços; e-Codevasf</t>
        </is>
      </c>
      <c r="O7" s="3" t="inlineStr">
        <is>
          <t xml:space="preserve">Macroprocesso priorizado no ciclo 2026 de mapeamento.</t>
        </is>
      </c>
    </row>
    <row r="8">
      <c r="A8" s="8" t="str">
        <f>=B8</f>
        <v>MS-02</v>
      </c>
      <c r="B8" s="7" t="inlineStr">
        <is>
          <t xml:space="preserve">MS-02</t>
        </is>
      </c>
      <c r="C8" s="6" t="inlineStr">
        <is>
          <t xml:space="preserve">Gestão de Pessoas</t>
        </is>
      </c>
      <c r="D8" s="7" t="inlineStr">
        <is>
          <t xml:space="preserve">Suporte</t>
        </is>
      </c>
      <c r="E8" s="7">
        <v>7</v>
      </c>
      <c r="F8" s="7" t="inlineStr">
        <is>
          <t xml:space="preserve">AG/GGP</t>
        </is>
      </c>
      <c r="G8" s="7" t="inlineStr">
        <is>
          <t xml:space="preserve">AE/GPE</t>
        </is>
      </c>
      <c r="H8" s="6" t="inlineStr">
        <is>
          <t xml:space="preserve">Provimento, desenvolvimento, remuneração e qualidade de vida do corpo funcional.</t>
        </is>
      </c>
      <c r="I8" s="6" t="inlineStr">
        <is>
          <t xml:space="preserve">Assegurar pessoas qualificadas e engajadas para a missão institucional.</t>
        </is>
      </c>
      <c r="J8" s="6" t="inlineStr">
        <is>
          <t xml:space="preserve">Empregados admitidos e capacitados; Folha de pagamento</t>
        </is>
      </c>
      <c r="K8" s="6" t="inlineStr">
        <is>
          <t xml:space="preserve">Empregados; Gestores</t>
        </is>
      </c>
      <c r="L8" s="6" t="inlineStr">
        <is>
          <t xml:space="preserve">Sindicatos; SEST; Ministério supervisor</t>
        </is>
      </c>
      <c r="M8" s="6" t="inlineStr">
        <is>
          <t xml:space="preserve">SIGEP (fictício); e-Codevasf</t>
        </is>
      </c>
    </row>
    <row r="9">
      <c r="A9" s="8" t="str">
        <f>=B9</f>
        <v>MS-03</v>
      </c>
      <c r="B9" s="4" t="inlineStr">
        <is>
          <t xml:space="preserve">MS-03</t>
        </is>
      </c>
      <c r="C9" s="3" t="inlineStr">
        <is>
          <t xml:space="preserve">Gestão de Tecnologia da Informação</t>
        </is>
      </c>
      <c r="D9" s="4" t="inlineStr">
        <is>
          <t xml:space="preserve">Suporte</t>
        </is>
      </c>
      <c r="E9" s="4">
        <v>8</v>
      </c>
      <c r="F9" s="4" t="inlineStr">
        <is>
          <t xml:space="preserve">AT/GTI</t>
        </is>
      </c>
      <c r="G9" s="4" t="inlineStr">
        <is>
          <t xml:space="preserve">AA/GLC</t>
        </is>
      </c>
      <c r="H9" s="3" t="inlineStr">
        <is>
          <t xml:space="preserve">Planejamento, desenvolvimento, sustentação e segurança dos serviços de TI.</t>
        </is>
      </c>
      <c r="I9" s="3" t="inlineStr">
        <is>
          <t xml:space="preserve">Prover soluções digitais seguras que habilitem os processos de negócio.</t>
        </is>
      </c>
      <c r="J9" s="3" t="inlineStr">
        <is>
          <t xml:space="preserve">Sistemas em produção; Serviços de infraestrutura; Suporte ao usuário</t>
        </is>
      </c>
      <c r="K9" s="3" t="inlineStr">
        <is>
          <t xml:space="preserve">Todas as unidades</t>
        </is>
      </c>
      <c r="L9" s="3" t="inlineStr">
        <is>
          <t xml:space="preserve">SGD/MGI; Fornecedores de TI</t>
        </is>
      </c>
      <c r="M9" s="3" t="inlineStr">
        <is>
          <t xml:space="preserve">e-Codevasf; Service Desk</t>
        </is>
      </c>
    </row>
  </sheetData>
  <autoFilter ref="A1:O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300">
      <formula1>Listas!$A$2:$A$4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F2:F300">
      <formula1>Siglas!$A$2:$A$421</formula1>
    </dataValidation>
  </dataValidations>
</worksheet>
</file>

<file path=xl/worksheets/sheet4.xml><?xml version="1.0" encoding="utf-8"?>
<worksheet xmlns="http://schemas.openxmlformats.org/spreadsheetml/2006/main">
  <sheetPr>
    <tabColor rgb="FF0040B4"/>
  </sheetPr>
  <dimension ref="A1:AR8"/>
  <sheetViews>
    <sheetView workbookViewId="0" zoomScale="90">
      <pane ySplit="1" topLeftCell="A2" activePane="bottomLeft" state="frozen"/>
      <selection pane="bottomLeft"/>
    </sheetView>
  </sheetViews>
  <cols>
    <col min="1" max="1" width="20" customWidth="1"/>
    <col min="2" max="2" width="13" customWidth="1"/>
    <col min="3" max="3" width="9" customWidth="1"/>
    <col min="4" max="4" width="34" customWidth="1"/>
    <col min="5" max="5" width="44" customWidth="1"/>
    <col min="6" max="6" width="40" customWidth="1"/>
    <col min="7" max="7" width="16" customWidth="1"/>
    <col min="8" max="8" width="30" customWidth="1"/>
    <col min="9" max="9" width="24" customWidth="1"/>
    <col min="10" max="10" width="10" customWidth="1"/>
    <col min="11" max="11" width="12" customWidth="1"/>
    <col min="12" max="12" width="13" customWidth="1"/>
    <col min="13" max="13" width="14" customWidth="1"/>
    <col min="14" max="14" width="10" customWidth="1"/>
    <col min="15" max="15" width="13" customWidth="1"/>
    <col min="16" max="16" width="13" customWidth="1"/>
    <col min="17" max="17" width="13" customWidth="1"/>
    <col min="18" max="18" width="13" customWidth="1"/>
    <col min="19" max="19" width="9" customWidth="1"/>
    <col min="20" max="20" width="9" customWidth="1"/>
    <col min="21" max="21" width="9" customWidth="1"/>
    <col min="22" max="22" width="9" customWidth="1"/>
    <col min="23" max="23" width="9" customWidth="1"/>
    <col min="24" max="24" width="9" customWidth="1"/>
    <col min="25" max="25" width="9" customWidth="1"/>
    <col min="26" max="26" width="9" customWidth="1"/>
    <col min="27" max="27" width="9" customWidth="1"/>
    <col min="28" max="28" width="9" customWidth="1"/>
    <col min="29" max="29" width="30" customWidth="1"/>
    <col min="30" max="30" width="34" customWidth="1"/>
    <col min="31" max="31" width="34" customWidth="1"/>
    <col min="32" max="32" width="28" customWidth="1"/>
    <col min="33" max="33" width="28" customWidth="1"/>
    <col min="34" max="34" width="20" customWidth="1"/>
    <col min="35" max="35" width="30" customWidth="1"/>
    <col min="36" max="36" width="30" customWidth="1"/>
    <col min="37" max="37" width="40" customWidth="1"/>
    <col min="38" max="38" width="30" customWidth="1"/>
    <col min="39" max="39" width="28" customWidth="1"/>
    <col min="40" max="40" width="24" customWidth="1"/>
    <col min="41" max="41" width="24" customWidth="1"/>
    <col min="42" max="42" width="30" customWidth="1"/>
    <col min="43" max="43" width="16" customWidth="1"/>
    <col min="44" max="44" width="16" customWidth="1"/>
  </cols>
  <sheetData>
    <row r="1">
      <c r="A1" s="1" t="inlineStr">
        <is>
          <t xml:space="preserve">Trilha</t>
        </is>
      </c>
      <c r="B1" s="1" t="inlineStr">
        <is>
          <t xml:space="preserve">Macroprocesso</t>
        </is>
      </c>
      <c r="C1" s="1" t="inlineStr">
        <is>
          <t xml:space="preserve">Codigo</t>
        </is>
      </c>
      <c r="D1" s="1" t="inlineStr">
        <is>
          <t xml:space="preserve">Nome</t>
        </is>
      </c>
      <c r="E1" s="1" t="inlineStr">
        <is>
          <t xml:space="preserve">Descricao</t>
        </is>
      </c>
      <c r="F1" s="1" t="inlineStr">
        <is>
          <t xml:space="preserve">Objetivo</t>
        </is>
      </c>
      <c r="G1" s="1" t="inlineStr">
        <is>
          <t xml:space="preserve">Unidade_Organica_Responsavel</t>
        </is>
      </c>
      <c r="H1" s="1" t="inlineStr">
        <is>
          <t xml:space="preserve">Unidades_Organicas_Corresponsaveis</t>
        </is>
      </c>
      <c r="I1" s="1" t="inlineStr">
        <is>
          <t xml:space="preserve">Ponto_Focal_Nugep</t>
        </is>
      </c>
      <c r="J1" s="1" t="inlineStr">
        <is>
          <t xml:space="preserve">Prioridade</t>
        </is>
      </c>
      <c r="K1" s="1" t="inlineStr">
        <is>
          <t xml:space="preserve">Complexidade</t>
        </is>
      </c>
      <c r="L1" s="1" t="inlineStr">
        <is>
          <t xml:space="preserve">Maturidade</t>
        </is>
      </c>
      <c r="M1" s="1" t="inlineStr">
        <is>
          <t xml:space="preserve">Status_Mapeamento</t>
        </is>
      </c>
      <c r="N1" s="1" t="inlineStr">
        <is>
          <t xml:space="preserve">Percentual</t>
        </is>
      </c>
      <c r="O1" s="1" t="inlineStr">
        <is>
          <t xml:space="preserve">Inicio_Mapeamento</t>
        </is>
      </c>
      <c r="P1" s="1" t="inlineStr">
        <is>
          <t xml:space="preserve">Prazo_Previsto</t>
        </is>
      </c>
      <c r="Q1" s="1" t="inlineStr">
        <is>
          <t xml:space="preserve">Data_Conclusao</t>
        </is>
      </c>
      <c r="R1" s="1" t="inlineStr">
        <is>
          <t xml:space="preserve">Ultima_Atualizacao</t>
        </is>
      </c>
      <c r="S1" s="1" t="inlineStr">
        <is>
          <t xml:space="preserve">M1_Conhecer_Processo</t>
        </is>
      </c>
      <c r="T1" s="1" t="inlineStr">
        <is>
          <t xml:space="preserve">M2_Processo_Modelado</t>
        </is>
      </c>
      <c r="U1" s="1" t="inlineStr">
        <is>
          <t xml:space="preserve">M3_Subprocessos_Modelados</t>
        </is>
      </c>
      <c r="V1" s="1" t="inlineStr">
        <is>
          <t xml:space="preserve">M4_ASIS_Modelado</t>
        </is>
      </c>
      <c r="W1" s="1" t="inlineStr">
        <is>
          <t xml:space="preserve">M5_ASIS_Validado</t>
        </is>
      </c>
      <c r="X1" s="1" t="inlineStr">
        <is>
          <t xml:space="preserve">M6_Procedimento_Aprovado</t>
        </is>
      </c>
      <c r="Y1" s="1" t="inlineStr">
        <is>
          <t xml:space="preserve">M7_Processo_Publicado</t>
        </is>
      </c>
      <c r="Z1" s="1" t="inlineStr">
        <is>
          <t xml:space="preserve">M8_TOBE_Elaborado</t>
        </is>
      </c>
      <c r="AA1" s="1" t="inlineStr">
        <is>
          <t xml:space="preserve">M9_TOBE_Aprovado</t>
        </is>
      </c>
      <c r="AB1" s="1" t="inlineStr">
        <is>
          <t xml:space="preserve">M10_Processo_Transformado</t>
        </is>
      </c>
      <c r="AC1" s="1" t="inlineStr">
        <is>
          <t xml:space="preserve">Fornecedores</t>
        </is>
      </c>
      <c r="AD1" s="1" t="inlineStr">
        <is>
          <t xml:space="preserve">Entradas</t>
        </is>
      </c>
      <c r="AE1" s="1" t="inlineStr">
        <is>
          <t xml:space="preserve">Saidas</t>
        </is>
      </c>
      <c r="AF1" s="1" t="inlineStr">
        <is>
          <t xml:space="preserve">Beneficiarios</t>
        </is>
      </c>
      <c r="AG1" s="1" t="inlineStr">
        <is>
          <t xml:space="preserve">Sistemas</t>
        </is>
      </c>
      <c r="AH1" s="1" t="inlineStr">
        <is>
          <t xml:space="preserve">Processo_ECodevasf</t>
        </is>
      </c>
      <c r="AI1" s="1" t="inlineStr">
        <is>
          <t xml:space="preserve">Processo_ECodevasf_Link</t>
        </is>
      </c>
      <c r="AJ1" s="1" t="inlineStr">
        <is>
          <t xml:space="preserve">Imagem_Bizagi</t>
        </is>
      </c>
      <c r="AK1" s="1" t="inlineStr">
        <is>
          <t xml:space="preserve">Competencias_Necessarias</t>
        </is>
      </c>
      <c r="AL1" s="1" t="inlineStr">
        <is>
          <t xml:space="preserve">Fontes_Dados</t>
        </is>
      </c>
      <c r="AM1" s="1" t="inlineStr">
        <is>
          <t xml:space="preserve">Proxima_Acao</t>
        </is>
      </c>
      <c r="AN1" s="1" t="inlineStr">
        <is>
          <t xml:space="preserve">Pendencia</t>
        </is>
      </c>
      <c r="AO1" s="1" t="inlineStr">
        <is>
          <t xml:space="preserve">Gestor_Nome</t>
        </is>
      </c>
      <c r="AP1" s="1" t="inlineStr">
        <is>
          <t xml:space="preserve">Gestor_Email</t>
        </is>
      </c>
      <c r="AQ1" s="1" t="inlineStr">
        <is>
          <t xml:space="preserve">Gestor_Telefone</t>
        </is>
      </c>
      <c r="AR1" s="1" t="inlineStr">
        <is>
          <t xml:space="preserve">Gestor_Unidade_Organica</t>
        </is>
      </c>
    </row>
    <row r="2">
      <c r="A2" s="8" t="str">
        <f>=B2&amp;" › "&amp;C2</f>
        <v>MS-01 › PP-01</v>
      </c>
      <c r="B2" s="7" t="inlineStr">
        <is>
          <t xml:space="preserve">MS-01</t>
        </is>
      </c>
      <c r="C2" s="7" t="inlineStr">
        <is>
          <t xml:space="preserve">PP-01</t>
        </is>
      </c>
      <c r="D2" s="6" t="inlineStr">
        <is>
          <t xml:space="preserve">Planejamento da Contratação</t>
        </is>
      </c>
      <c r="E2" s="6" t="inlineStr">
        <is>
          <t xml:space="preserve">Da identificação da necessidade (DFD) até a aprovação do ETP, TR e pesquisa de preços que instruem o certame.</t>
        </is>
      </c>
      <c r="F2" s="6" t="inlineStr">
        <is>
          <t xml:space="preserve">Instruir as contratações com estudos e artefatos completos, reduzindo retrabalho e impugnações.</t>
        </is>
      </c>
      <c r="G2" s="7" t="inlineStr">
        <is>
          <t xml:space="preserve">AA/GLC</t>
        </is>
      </c>
      <c r="H2" s="7" t="inlineStr">
        <is>
          <t xml:space="preserve">AT/GTI</t>
        </is>
      </c>
      <c r="I2" s="6" t="inlineStr">
        <is>
          <t xml:space="preserve">Carlos Eduardo Lima (UNP)</t>
        </is>
      </c>
      <c r="J2" s="7" t="inlineStr">
        <is>
          <t xml:space="preserve">Alta</t>
        </is>
      </c>
      <c r="K2" s="7" t="inlineStr">
        <is>
          <t xml:space="preserve">Alta</t>
        </is>
      </c>
      <c r="L2" s="7" t="inlineStr">
        <is>
          <t xml:space="preserve">Definido</t>
        </is>
      </c>
      <c r="M2" s="7" t="inlineStr">
        <is>
          <t xml:space="preserve">Concluído</t>
        </is>
      </c>
      <c r="N2" s="9">
        <f>=IF(COUNTIF(S2:AB2,"Sim")+COUNTIF(S2:AB2,"Em andamento")+COUNTIF(S2:AB2,"Não")=0,0,(COUNTIF(S2:AB2,"Sim")+COUNTIF(S2:AB2,"Em andamento")*0.5)/(COUNTIF(S2:AB2,"Sim")+COUNTIF(S2:AB2,"Em andamento")+COUNTIF(S2:AB2,"Não")))</f>
        <v>1</v>
      </c>
      <c r="O2" s="7" t="inlineStr">
        <is>
          <t xml:space="preserve">05/01/2026</t>
        </is>
      </c>
      <c r="P2" s="7" t="inlineStr">
        <is>
          <t xml:space="preserve">29/05/2026</t>
        </is>
      </c>
      <c r="Q2" s="7" t="inlineStr">
        <is>
          <t xml:space="preserve">18/05/2026</t>
        </is>
      </c>
      <c r="R2" s="7" t="inlineStr">
        <is>
          <t xml:space="preserve">10/07/2026</t>
        </is>
      </c>
      <c r="S2" s="7" t="inlineStr">
        <is>
          <t xml:space="preserve">Sim</t>
        </is>
      </c>
      <c r="T2" s="7" t="inlineStr">
        <is>
          <t xml:space="preserve">Sim</t>
        </is>
      </c>
      <c r="U2" s="7" t="inlineStr">
        <is>
          <t xml:space="preserve">Sim</t>
        </is>
      </c>
      <c r="V2" s="7" t="inlineStr">
        <is>
          <t xml:space="preserve">Sim</t>
        </is>
      </c>
      <c r="W2" s="7" t="inlineStr">
        <is>
          <t xml:space="preserve">Sim</t>
        </is>
      </c>
      <c r="X2" s="7" t="inlineStr">
        <is>
          <t xml:space="preserve">Sim</t>
        </is>
      </c>
      <c r="Y2" s="7" t="inlineStr">
        <is>
          <t xml:space="preserve">Sim</t>
        </is>
      </c>
      <c r="Z2" s="7" t="inlineStr">
        <is>
          <t xml:space="preserve">Sim</t>
        </is>
      </c>
      <c r="AA2" s="7" t="inlineStr">
        <is>
          <t xml:space="preserve">Sim</t>
        </is>
      </c>
      <c r="AB2" s="7" t="inlineStr">
        <is>
          <t xml:space="preserve">Sim</t>
        </is>
      </c>
      <c r="AC2" s="6" t="inlineStr">
        <is>
          <t xml:space="preserve">Áreas demandantes; Painel de Preços; Fornecedores (cotações)</t>
        </is>
      </c>
      <c r="AD2" s="6" t="inlineStr">
        <is>
          <t xml:space="preserve">DFD; Plano de Contratações Anual; Requisitos da área</t>
        </is>
      </c>
      <c r="AE2" s="6" t="inlineStr">
        <is>
          <t xml:space="preserve">ETP aprovado; TR aprovado; Pesquisa de preços validada</t>
        </is>
      </c>
      <c r="AF2" s="6" t="inlineStr">
        <is>
          <t xml:space="preserve">AA/GLC (Seleção do Fornecedor); Assessoria Jurídica</t>
        </is>
      </c>
      <c r="AG2" s="6" t="inlineStr">
        <is>
          <t xml:space="preserve">e-Codevasf; Compras.gov.br; Painel de Preços</t>
        </is>
      </c>
      <c r="AH2" s="7" t="inlineStr">
        <is>
          <t xml:space="preserve">59500.000123/2026-11</t>
        </is>
      </c>
      <c r="AI2" s="6" t="inlineStr">
        <is>
          <t xml:space="preserve">https://e-processo.codevasf.gov.br/sei/controlador.php?acao=procedimento_visualizar&amp;id=59500000123202611</t>
        </is>
      </c>
      <c r="AJ2" s="6" t="inlineStr">
        <is>
          <t xml:space="preserve">https://fluxosti.codevasf.gov.br/incidentes/</t>
        </is>
      </c>
      <c r="AK2" s="6" t="inlineStr">
        <is>
          <t xml:space="preserve">Elaboração de estudos técnicos e termos de referência; Conhecimento da Lei nº 14.133/2021; Pesquisa e análise de preços de mercado</t>
        </is>
      </c>
      <c r="AL2" s="6" t="inlineStr">
        <is>
          <t xml:space="preserve">e-Codevasf; Painel de Preços; PNCP</t>
        </is>
      </c>
      <c r="AM2" s="6" t="inlineStr">
        <is>
          <t xml:space="preserve">Monitorar indicadores do processo e revisar o PRO em 12 meses.</t>
        </is>
      </c>
      <c r="AO2" s="6" t="inlineStr">
        <is>
          <t xml:space="preserve">Vanessa Torres Almeida</t>
        </is>
      </c>
      <c r="AP2" s="7" t="inlineStr">
        <is>
          <t xml:space="preserve">vanessa.almeida@codevasf.gov.br</t>
        </is>
      </c>
      <c r="AQ2" s="7" t="inlineStr">
        <is>
          <t xml:space="preserve">(61) 2028-4521</t>
        </is>
      </c>
      <c r="AR2" s="7" t="inlineStr">
        <is>
          <t xml:space="preserve">AA/GLC</t>
        </is>
      </c>
    </row>
    <row r="3">
      <c r="A3" s="8" t="str">
        <f>=B3&amp;" › "&amp;C3</f>
        <v>MS-01 › PP-02</v>
      </c>
      <c r="B3" s="4" t="inlineStr">
        <is>
          <t xml:space="preserve">MS-01</t>
        </is>
      </c>
      <c r="C3" s="4" t="inlineStr">
        <is>
          <t xml:space="preserve">PP-02</t>
        </is>
      </c>
      <c r="D3" s="3" t="inlineStr">
        <is>
          <t xml:space="preserve">Seleção do Fornecedor</t>
        </is>
      </c>
      <c r="E3" s="3" t="inlineStr">
        <is>
          <t xml:space="preserve">Da divulgação do edital à homologação do resultado, incluindo sessão pública, julgamento e recursos.</t>
        </is>
      </c>
      <c r="F3" s="3" t="inlineStr">
        <is>
          <t xml:space="preserve">Selecionar a proposta mais vantajosa com celeridade e segurança jurídica.</t>
        </is>
      </c>
      <c r="G3" s="4" t="inlineStr">
        <is>
          <t xml:space="preserve">AA/GLC</t>
        </is>
      </c>
      <c r="H3" s="4" t="inlineStr">
        <is>
          <t xml:space="preserve">AE/GAG</t>
        </is>
      </c>
      <c r="I3" s="3" t="inlineStr">
        <is>
          <t xml:space="preserve">Carlos Eduardo Lima (UNP)</t>
        </is>
      </c>
      <c r="J3" s="4" t="inlineStr">
        <is>
          <t xml:space="preserve">Alta</t>
        </is>
      </c>
      <c r="K3" s="4" t="inlineStr">
        <is>
          <t xml:space="preserve">Média</t>
        </is>
      </c>
      <c r="L3" s="4" t="inlineStr">
        <is>
          <t xml:space="preserve">Repetível</t>
        </is>
      </c>
      <c r="M3" s="4" t="inlineStr">
        <is>
          <t xml:space="preserve">Em andamento</t>
        </is>
      </c>
      <c r="N3" s="9">
        <f>=IF(COUNTIF(S3:AB3,"Sim")+COUNTIF(S3:AB3,"Em andamento")+COUNTIF(S3:AB3,"Não")=0,0,(COUNTIF(S3:AB3,"Sim")+COUNTIF(S3:AB3,"Em andamento")*0.5)/(COUNTIF(S3:AB3,"Sim")+COUNTIF(S3:AB3,"Em andamento")+COUNTIF(S3:AB3,"Não")))</f>
        <v>0.45</v>
      </c>
      <c r="O3" s="4" t="inlineStr">
        <is>
          <t xml:space="preserve">01/06/2026</t>
        </is>
      </c>
      <c r="P3" s="4" t="inlineStr">
        <is>
          <t xml:space="preserve">30/09/2026</t>
        </is>
      </c>
      <c r="R3" s="4" t="inlineStr">
        <is>
          <t xml:space="preserve">15/07/2026</t>
        </is>
      </c>
      <c r="S3" s="4" t="inlineStr">
        <is>
          <t xml:space="preserve">Sim</t>
        </is>
      </c>
      <c r="T3" s="4" t="inlineStr">
        <is>
          <t xml:space="preserve">Sim</t>
        </is>
      </c>
      <c r="U3" s="4" t="inlineStr">
        <is>
          <t xml:space="preserve">Sim</t>
        </is>
      </c>
      <c r="V3" s="4" t="inlineStr">
        <is>
          <t xml:space="preserve">Sim</t>
        </is>
      </c>
      <c r="W3" s="4" t="inlineStr">
        <is>
          <t xml:space="preserve">Em andamento</t>
        </is>
      </c>
      <c r="X3" s="4" t="inlineStr">
        <is>
          <t xml:space="preserve">Não</t>
        </is>
      </c>
      <c r="Y3" s="4" t="inlineStr">
        <is>
          <t xml:space="preserve">Não</t>
        </is>
      </c>
      <c r="Z3" s="4" t="inlineStr">
        <is>
          <t xml:space="preserve">Não</t>
        </is>
      </c>
      <c r="AA3" s="4" t="inlineStr">
        <is>
          <t xml:space="preserve">Não</t>
        </is>
      </c>
      <c r="AB3" s="4" t="inlineStr">
        <is>
          <t xml:space="preserve">Não</t>
        </is>
      </c>
      <c r="AC3" s="3" t="inlineStr">
        <is>
          <t xml:space="preserve">P-06.01 (artefatos); Compras.gov.br</t>
        </is>
      </c>
      <c r="AD3" s="3" t="inlineStr">
        <is>
          <t xml:space="preserve">Edital minutado; Parecer jurídico; ETP/TR</t>
        </is>
      </c>
      <c r="AE3" s="3" t="inlineStr">
        <is>
          <t xml:space="preserve">Resultado homologado; Contrato/ata para assinatura</t>
        </is>
      </c>
      <c r="AF3" s="3" t="inlineStr">
        <is>
          <t xml:space="preserve">Unidades demandantes; Fornecedores</t>
        </is>
      </c>
      <c r="AG3" s="3" t="inlineStr">
        <is>
          <t xml:space="preserve">Compras.gov.br; PNCP; e-Codevasf</t>
        </is>
      </c>
      <c r="AH3" s="4" t="inlineStr">
        <is>
          <t xml:space="preserve">59500.000456/2026-22</t>
        </is>
      </c>
      <c r="AI3" s="3" t="inlineStr">
        <is>
          <t xml:space="preserve">https://e-processo.codevasf.gov.br/sei/controlador.php?acao=procedimento_visualizar&amp;id=59500000456202622</t>
        </is>
      </c>
      <c r="AK3" s="3" t="inlineStr">
        <is>
          <t xml:space="preserve">Condução de sessões públicas de licitação; Julgamento de propostas e habilitação; Uso de plataformas de compras governamentais</t>
        </is>
      </c>
      <c r="AL3" s="3" t="inlineStr">
        <is>
          <t xml:space="preserve">Compras.gov.br</t>
        </is>
      </c>
      <c r="AM3" s="3" t="inlineStr">
        <is>
          <t xml:space="preserve">Validar AS-IS com o dono do processo (reunião marcada).</t>
        </is>
      </c>
      <c r="AN3" s="3" t="inlineStr">
        <is>
          <t xml:space="preserve">Pendente retorno da área sobre fluxo de recursos administrativos.</t>
        </is>
      </c>
      <c r="AO3" s="3" t="inlineStr">
        <is>
          <t xml:space="preserve">Vanessa Torres Almeida</t>
        </is>
      </c>
      <c r="AP3" s="4" t="inlineStr">
        <is>
          <t xml:space="preserve">vanessa.almeida@codevasf.gov.br</t>
        </is>
      </c>
      <c r="AQ3" s="4" t="inlineStr">
        <is>
          <t xml:space="preserve">(61) 2028-4521</t>
        </is>
      </c>
      <c r="AR3" s="4" t="inlineStr">
        <is>
          <t xml:space="preserve">AA/GLC</t>
        </is>
      </c>
    </row>
    <row r="4">
      <c r="A4" s="8" t="str">
        <f>=B4&amp;" › "&amp;C4</f>
        <v>MS-01 › PP-03</v>
      </c>
      <c r="B4" s="7" t="inlineStr">
        <is>
          <t xml:space="preserve">MS-01</t>
        </is>
      </c>
      <c r="C4" s="7" t="inlineStr">
        <is>
          <t xml:space="preserve">PP-03</t>
        </is>
      </c>
      <c r="D4" s="6" t="inlineStr">
        <is>
          <t xml:space="preserve">Gestão e Fiscalização Contratual</t>
        </is>
      </c>
      <c r="E4" s="6" t="inlineStr">
        <is>
          <t xml:space="preserve">Da assinatura do contrato ao encerramento, incluindo fiscalização, medições, pagamentos e sanções.</t>
        </is>
      </c>
      <c r="F4" s="6" t="inlineStr">
        <is>
          <t xml:space="preserve">Garantir a entrega do objeto contratado no prazo, custo e qualidade pactuados.</t>
        </is>
      </c>
      <c r="G4" s="7" t="inlineStr">
        <is>
          <t xml:space="preserve">AA/GLC</t>
        </is>
      </c>
      <c r="H4" s="7" t="inlineStr">
        <is>
          <t xml:space="preserve">AT/GTI</t>
        </is>
      </c>
      <c r="I4" s="6" t="inlineStr">
        <is>
          <t xml:space="preserve">Bruna Souza (UNP)</t>
        </is>
      </c>
      <c r="J4" s="7" t="inlineStr">
        <is>
          <t xml:space="preserve">Alta</t>
        </is>
      </c>
      <c r="K4" s="7" t="inlineStr">
        <is>
          <t xml:space="preserve">Alta</t>
        </is>
      </c>
      <c r="L4" s="7" t="inlineStr">
        <is>
          <t xml:space="preserve">Gerenciado</t>
        </is>
      </c>
      <c r="M4" s="7" t="inlineStr">
        <is>
          <t xml:space="preserve">Em andamento</t>
        </is>
      </c>
      <c r="N4" s="9">
        <f>=IF(COUNTIF(S4:AB4,"Sim")+COUNTIF(S4:AB4,"Em andamento")+COUNTIF(S4:AB4,"Não")=0,0,(COUNTIF(S4:AB4,"Sim")+COUNTIF(S4:AB4,"Em andamento")*0.5)/(COUNTIF(S4:AB4,"Sim")+COUNTIF(S4:AB4,"Em andamento")+COUNTIF(S4:AB4,"Não")))</f>
        <v>0.2</v>
      </c>
      <c r="O4" s="7" t="inlineStr">
        <is>
          <t xml:space="preserve">15/06/2026</t>
        </is>
      </c>
      <c r="P4" s="7" t="inlineStr">
        <is>
          <t xml:space="preserve">30/11/2026</t>
        </is>
      </c>
      <c r="R4" s="7" t="inlineStr">
        <is>
          <t xml:space="preserve">20/07/2026</t>
        </is>
      </c>
      <c r="S4" s="7" t="inlineStr">
        <is>
          <t xml:space="preserve">Sim</t>
        </is>
      </c>
      <c r="T4" s="7" t="inlineStr">
        <is>
          <t xml:space="preserve">Sim</t>
        </is>
      </c>
      <c r="U4" s="7" t="inlineStr">
        <is>
          <t xml:space="preserve">Não</t>
        </is>
      </c>
      <c r="V4" s="7" t="inlineStr">
        <is>
          <t xml:space="preserve">Não</t>
        </is>
      </c>
      <c r="W4" s="7" t="inlineStr">
        <is>
          <t xml:space="preserve">Não</t>
        </is>
      </c>
      <c r="X4" s="7" t="inlineStr">
        <is>
          <t xml:space="preserve">Não</t>
        </is>
      </c>
      <c r="Y4" s="7" t="inlineStr">
        <is>
          <t xml:space="preserve">Não</t>
        </is>
      </c>
      <c r="Z4" s="7" t="inlineStr">
        <is>
          <t xml:space="preserve">Não</t>
        </is>
      </c>
      <c r="AA4" s="7" t="inlineStr">
        <is>
          <t xml:space="preserve">Não</t>
        </is>
      </c>
      <c r="AB4" s="7" t="inlineStr">
        <is>
          <t xml:space="preserve">Não</t>
        </is>
      </c>
      <c r="AC4" s="6" t="inlineStr">
        <is>
          <t xml:space="preserve">P-06.02 (contrato); Fornecedores contratados</t>
        </is>
      </c>
      <c r="AD4" s="6" t="inlineStr">
        <is>
          <t xml:space="preserve">Contrato assinado; Cronograma; Garantias</t>
        </is>
      </c>
      <c r="AE4" s="6" t="inlineStr">
        <is>
          <t xml:space="preserve">Objeto recebido; Pagamentos efetuados; Termo de encerramento</t>
        </is>
      </c>
      <c r="AF4" s="6" t="inlineStr">
        <is>
          <t xml:space="preserve">Unidades demandantes; Fornecedores</t>
        </is>
      </c>
      <c r="AG4" s="6" t="inlineStr">
        <is>
          <t xml:space="preserve">e-Codevasf; Compras.gov.br</t>
        </is>
      </c>
      <c r="AH4" s="7" t="inlineStr">
        <is>
          <t xml:space="preserve">59500.000789/2026-33</t>
        </is>
      </c>
      <c r="AI4" s="6" t="inlineStr">
        <is>
          <t xml:space="preserve">https://e-processo.codevasf.gov.br/sei/controlador.php?acao=procedimento_visualizar&amp;id=59500000789202633</t>
        </is>
      </c>
      <c r="AK4" s="6" t="inlineStr">
        <is>
          <t xml:space="preserve">Fiscalização técnica e administrativa de contratos; Gestão de medições e pagamentos; Aplicação de sanções administrativas</t>
        </is>
      </c>
      <c r="AL4" s="6" t="inlineStr">
        <is>
          <t xml:space="preserve">e-Codevasf</t>
        </is>
      </c>
      <c r="AM4" s="6" t="inlineStr">
        <is>
          <t xml:space="preserve">Concluir modelagem AS-IS das medições e pagamentos.</t>
        </is>
      </c>
      <c r="AO4" s="6" t="inlineStr">
        <is>
          <t xml:space="preserve">Vanessa Torres Almeida</t>
        </is>
      </c>
      <c r="AP4" s="7" t="inlineStr">
        <is>
          <t xml:space="preserve">vanessa.almeida@codevasf.gov.br</t>
        </is>
      </c>
      <c r="AQ4" s="7" t="inlineStr">
        <is>
          <t xml:space="preserve">(61) 2028-4521</t>
        </is>
      </c>
      <c r="AR4" s="7" t="inlineStr">
        <is>
          <t xml:space="preserve">AA/GLC</t>
        </is>
      </c>
    </row>
    <row r="5">
      <c r="A5" s="8" t="str">
        <f>=B5&amp;" › "&amp;C5</f>
        <v>MF-02 › PP-01</v>
      </c>
      <c r="B5" s="4" t="inlineStr">
        <is>
          <t xml:space="preserve">MF-02</t>
        </is>
      </c>
      <c r="C5" s="4" t="inlineStr">
        <is>
          <t xml:space="preserve">PP-01</t>
        </is>
      </c>
      <c r="D5" s="3" t="inlineStr">
        <is>
          <t xml:space="preserve">Operação e Manutenção de Perímetros Irrigados</t>
        </is>
      </c>
      <c r="E5" s="3" t="inlineStr">
        <is>
          <t xml:space="preserve">Programação e distribuição de água, manutenção da infraestrutura de uso comum e relacionamento com irrigantes.</t>
        </is>
      </c>
      <c r="F5" s="3" t="inlineStr">
        <is>
          <t xml:space="preserve">Assegurar a distribuição hídrica confiável e a conservação dos ativos.</t>
        </is>
      </c>
      <c r="G5" s="4" t="inlineStr">
        <is>
          <t xml:space="preserve">AI/GOM</t>
        </is>
      </c>
      <c r="H5" s="4" t="inlineStr">
        <is>
          <t xml:space="preserve">AT/GTI</t>
        </is>
      </c>
      <c r="I5" s="3" t="inlineStr">
        <is>
          <t xml:space="preserve">Eduardo Martins (UNP)</t>
        </is>
      </c>
      <c r="J5" s="4" t="inlineStr">
        <is>
          <t xml:space="preserve">Média</t>
        </is>
      </c>
      <c r="K5" s="4" t="inlineStr">
        <is>
          <t xml:space="preserve">Alta</t>
        </is>
      </c>
      <c r="L5" s="4" t="inlineStr">
        <is>
          <t xml:space="preserve">Inicial</t>
        </is>
      </c>
      <c r="M5" s="4" t="inlineStr">
        <is>
          <t xml:space="preserve">Em andamento</t>
        </is>
      </c>
      <c r="N5" s="9">
        <f>=IF(COUNTIF(S5:AB5,"Sim")+COUNTIF(S5:AB5,"Em andamento")+COUNTIF(S5:AB5,"Não")=0,0,(COUNTIF(S5:AB5,"Sim")+COUNTIF(S5:AB5,"Em andamento")*0.5)/(COUNTIF(S5:AB5,"Sim")+COUNTIF(S5:AB5,"Em andamento")+COUNTIF(S5:AB5,"Não")))</f>
        <v>0.3</v>
      </c>
      <c r="O5" s="4" t="inlineStr">
        <is>
          <t xml:space="preserve">04/05/2026</t>
        </is>
      </c>
      <c r="P5" s="4" t="inlineStr">
        <is>
          <t xml:space="preserve">30/10/2026</t>
        </is>
      </c>
      <c r="R5" s="4" t="inlineStr">
        <is>
          <t xml:space="preserve">12/07/2026</t>
        </is>
      </c>
      <c r="S5" s="4" t="inlineStr">
        <is>
          <t xml:space="preserve">Sim</t>
        </is>
      </c>
      <c r="T5" s="4" t="inlineStr">
        <is>
          <t xml:space="preserve">Sim</t>
        </is>
      </c>
      <c r="U5" s="4" t="inlineStr">
        <is>
          <t xml:space="preserve">Sim</t>
        </is>
      </c>
      <c r="V5" s="4" t="inlineStr">
        <is>
          <t xml:space="preserve">Não</t>
        </is>
      </c>
      <c r="W5" s="4" t="inlineStr">
        <is>
          <t xml:space="preserve">Não</t>
        </is>
      </c>
      <c r="X5" s="4" t="inlineStr">
        <is>
          <t xml:space="preserve">Não</t>
        </is>
      </c>
      <c r="Y5" s="4" t="inlineStr">
        <is>
          <t xml:space="preserve">Não</t>
        </is>
      </c>
      <c r="Z5" s="4" t="inlineStr">
        <is>
          <t xml:space="preserve">Não</t>
        </is>
      </c>
      <c r="AA5" s="4" t="inlineStr">
        <is>
          <t xml:space="preserve">Não</t>
        </is>
      </c>
      <c r="AB5" s="4" t="inlineStr">
        <is>
          <t xml:space="preserve">Não</t>
        </is>
      </c>
      <c r="AC5" s="3" t="inlineStr">
        <is>
          <t xml:space="preserve">ANA (outorgas); Distritos de irrigação</t>
        </is>
      </c>
      <c r="AD5" s="3" t="inlineStr">
        <is>
          <t xml:space="preserve">Outorga de uso; Demanda de irrigação; Plano de cultivo</t>
        </is>
      </c>
      <c r="AE5" s="3" t="inlineStr">
        <is>
          <t xml:space="preserve">Água distribuída; Infraestrutura mantida; Relatórios de O&amp;M</t>
        </is>
      </c>
      <c r="AF5" s="3" t="inlineStr">
        <is>
          <t xml:space="preserve">Irrigantes; Distritos</t>
        </is>
      </c>
      <c r="AG5" s="3" t="inlineStr">
        <is>
          <t xml:space="preserve">SIG-Irrigação (fictício); e-Codevasf</t>
        </is>
      </c>
      <c r="AH5" s="4" t="inlineStr">
        <is>
          <t xml:space="preserve">59500.000901/2026-44</t>
        </is>
      </c>
      <c r="AI5" s="3" t="inlineStr">
        <is>
          <t xml:space="preserve">https://e-processo.codevasf.gov.br/sei/controlador.php?acao=procedimento_visualizar&amp;id=59500000901202644</t>
        </is>
      </c>
      <c r="AK5" s="3" t="inlineStr">
        <is>
          <t xml:space="preserve">Operação de sistemas hidráulicos; Manutenção de infraestrutura de irrigação; Relacionamento com associações de irrigantes</t>
        </is>
      </c>
      <c r="AL5" s="3" t="inlineStr">
        <is>
          <t xml:space="preserve">SIG-Irrigação (fictício)</t>
        </is>
      </c>
      <c r="AM5" s="3" t="inlineStr">
        <is>
          <t xml:space="preserve">Agendar oficina de validação do AS-IS com o distrito.</t>
        </is>
      </c>
      <c r="AO5" s="3" t="inlineStr">
        <is>
          <t xml:space="preserve">Marcelo Andrade Costa</t>
        </is>
      </c>
      <c r="AP5" s="4" t="inlineStr">
        <is>
          <t xml:space="preserve">marcelo.costa@codevasf.gov.br</t>
        </is>
      </c>
      <c r="AQ5" s="4" t="inlineStr">
        <is>
          <t xml:space="preserve">(61) 2028-4710</t>
        </is>
      </c>
      <c r="AR5" s="4" t="inlineStr">
        <is>
          <t xml:space="preserve">AI/GOM</t>
        </is>
      </c>
    </row>
    <row r="6">
      <c r="A6" s="8" t="str">
        <f>=B6&amp;" › "&amp;C6</f>
        <v>MF-03 › PP-01</v>
      </c>
      <c r="B6" s="7" t="inlineStr">
        <is>
          <t xml:space="preserve">MF-03</t>
        </is>
      </c>
      <c r="C6" s="7" t="inlineStr">
        <is>
          <t xml:space="preserve">PP-01</t>
        </is>
      </c>
      <c r="D6" s="6" t="inlineStr">
        <is>
          <t xml:space="preserve">Recuperação de Nascentes e Matas Ciliares</t>
        </is>
      </c>
      <c r="E6" s="6" t="inlineStr">
        <is>
          <t xml:space="preserve">Seleção de áreas, execução de cercamento e plantio, e monitoramento da regeneração.</t>
        </is>
      </c>
      <c r="F6" s="6" t="inlineStr">
        <is>
          <t xml:space="preserve">Recuperar áreas degradadas prioritárias das bacias.</t>
        </is>
      </c>
      <c r="G6" s="7" t="inlineStr">
        <is>
          <t xml:space="preserve">AR/GRB</t>
        </is>
      </c>
      <c r="H6" s="7" t="inlineStr">
        <is>
          <t xml:space="preserve">AR/GDT</t>
        </is>
      </c>
      <c r="I6" s="6" t="inlineStr">
        <is>
          <t xml:space="preserve">Eduardo Martins (UNP)</t>
        </is>
      </c>
      <c r="J6" s="7" t="inlineStr">
        <is>
          <t xml:space="preserve">Média</t>
        </is>
      </c>
      <c r="K6" s="7" t="inlineStr">
        <is>
          <t xml:space="preserve">Média</t>
        </is>
      </c>
      <c r="L6" s="7" t="inlineStr">
        <is>
          <t xml:space="preserve">Inicial</t>
        </is>
      </c>
      <c r="M6" s="7" t="inlineStr">
        <is>
          <t xml:space="preserve">Não iniciado</t>
        </is>
      </c>
      <c r="N6" s="9">
        <f>=IF(COUNTIF(S6:AB6,"Sim")+COUNTIF(S6:AB6,"Em andamento")+COUNTIF(S6:AB6,"Não")=0,0,(COUNTIF(S6:AB6,"Sim")+COUNTIF(S6:AB6,"Em andamento")*0.5)/(COUNTIF(S6:AB6,"Sim")+COUNTIF(S6:AB6,"Em andamento")+COUNTIF(S6:AB6,"Não")))</f>
        <v>0</v>
      </c>
      <c r="P6" s="7" t="inlineStr">
        <is>
          <t xml:space="preserve">31/03/2027</t>
        </is>
      </c>
      <c r="R6" s="7" t="inlineStr">
        <is>
          <t xml:space="preserve">01/07/2026</t>
        </is>
      </c>
      <c r="S6" s="7" t="inlineStr">
        <is>
          <t xml:space="preserve">Não</t>
        </is>
      </c>
      <c r="T6" s="7" t="inlineStr">
        <is>
          <t xml:space="preserve">Não</t>
        </is>
      </c>
      <c r="U6" s="7" t="inlineStr">
        <is>
          <t xml:space="preserve">Não</t>
        </is>
      </c>
      <c r="V6" s="7" t="inlineStr">
        <is>
          <t xml:space="preserve">Não</t>
        </is>
      </c>
      <c r="W6" s="7" t="inlineStr">
        <is>
          <t xml:space="preserve">Não</t>
        </is>
      </c>
      <c r="X6" s="7" t="inlineStr">
        <is>
          <t xml:space="preserve">Não</t>
        </is>
      </c>
      <c r="Y6" s="7" t="inlineStr">
        <is>
          <t xml:space="preserve">Não</t>
        </is>
      </c>
      <c r="Z6" s="7" t="inlineStr">
        <is>
          <t xml:space="preserve">Não</t>
        </is>
      </c>
      <c r="AA6" s="7" t="inlineStr">
        <is>
          <t xml:space="preserve">Não</t>
        </is>
      </c>
      <c r="AB6" s="7" t="inlineStr">
        <is>
          <t xml:space="preserve">Não</t>
        </is>
      </c>
      <c r="AC6" s="6" t="inlineStr">
        <is>
          <t xml:space="preserve">Municípios; Comitês de bacia</t>
        </is>
      </c>
      <c r="AD6" s="6" t="inlineStr">
        <is>
          <t xml:space="preserve">Diagnóstico hidroambiental; Termos de cooperação</t>
        </is>
      </c>
      <c r="AE6" s="6" t="inlineStr">
        <is>
          <t xml:space="preserve">Nascentes recuperadas; Relatórios de monitoramento</t>
        </is>
      </c>
      <c r="AF6" s="6" t="inlineStr">
        <is>
          <t xml:space="preserve">Comunidades; Órgãos ambientais</t>
        </is>
      </c>
      <c r="AG6" s="6" t="inlineStr">
        <is>
          <t xml:space="preserve">e-Codevasf; GeoPortal (fictício)</t>
        </is>
      </c>
      <c r="AK6" s="6" t="inlineStr">
        <is>
          <t xml:space="preserve">Diagnóstico e recuperação de áreas degradadas; Noções de engenharia ambiental; Articulação com comunidades e órgãos ambientais</t>
        </is>
      </c>
      <c r="AM6" s="6" t="inlineStr">
        <is>
          <t xml:space="preserve">Enviar formulário de levantamento à área (previsto ago/2026).</t>
        </is>
      </c>
      <c r="AO6" s="6" t="inlineStr">
        <is>
          <t xml:space="preserve">Luciana Ferreira Dias</t>
        </is>
      </c>
      <c r="AP6" s="7" t="inlineStr">
        <is>
          <t xml:space="preserve">luciana.dias@codevasf.gov.br</t>
        </is>
      </c>
      <c r="AQ6" s="7" t="inlineStr">
        <is>
          <t xml:space="preserve">(61) 2028-4820</t>
        </is>
      </c>
      <c r="AR6" s="7" t="inlineStr">
        <is>
          <t xml:space="preserve">AR/GRB</t>
        </is>
      </c>
    </row>
    <row r="7">
      <c r="A7" s="8" t="str">
        <f>=B7&amp;" › "&amp;C7</f>
        <v>MG-01 › PP-01</v>
      </c>
      <c r="B7" s="4" t="inlineStr">
        <is>
          <t xml:space="preserve">MG-01</t>
        </is>
      </c>
      <c r="C7" s="4" t="inlineStr">
        <is>
          <t xml:space="preserve">PP-01</t>
        </is>
      </c>
      <c r="D7" s="3" t="inlineStr">
        <is>
          <t xml:space="preserve">Formulação e Monitoramento do Planejamento Estratégico</t>
        </is>
      </c>
      <c r="E7" s="3" t="inlineStr">
        <is>
          <t xml:space="preserve">Construção do plano estratégico, desdobramento em planos de ação e monitoramento periódico de resultados.</t>
        </is>
      </c>
      <c r="F7" s="3" t="inlineStr">
        <is>
          <t xml:space="preserve">Manter a estratégia viva, monitorada e comunicada.</t>
        </is>
      </c>
      <c r="G7" s="4" t="inlineStr">
        <is>
          <t xml:space="preserve">AE/GPE</t>
        </is>
      </c>
      <c r="H7" s="4" t="inlineStr">
        <is>
          <t xml:space="preserve">AE/GAG</t>
        </is>
      </c>
      <c r="I7" s="3" t="inlineStr">
        <is>
          <t xml:space="preserve">Gustavo Pereira (UNP)</t>
        </is>
      </c>
      <c r="J7" s="4" t="inlineStr">
        <is>
          <t xml:space="preserve">Alta</t>
        </is>
      </c>
      <c r="K7" s="4" t="inlineStr">
        <is>
          <t xml:space="preserve">Média</t>
        </is>
      </c>
      <c r="L7" s="4" t="inlineStr">
        <is>
          <t xml:space="preserve">Otimizado</t>
        </is>
      </c>
      <c r="M7" s="4" t="inlineStr">
        <is>
          <t xml:space="preserve">Concluído</t>
        </is>
      </c>
      <c r="N7" s="9">
        <f>=IF(COUNTIF(S7:AB7,"Sim")+COUNTIF(S7:AB7,"Em andamento")+COUNTIF(S7:AB7,"Não")=0,0,(COUNTIF(S7:AB7,"Sim")+COUNTIF(S7:AB7,"Em andamento")*0.5)/(COUNTIF(S7:AB7,"Sim")+COUNTIF(S7:AB7,"Em andamento")+COUNTIF(S7:AB7,"Não")))</f>
        <v>1</v>
      </c>
      <c r="O7" s="4" t="inlineStr">
        <is>
          <t xml:space="preserve">01/09/2025</t>
        </is>
      </c>
      <c r="P7" s="4" t="inlineStr">
        <is>
          <t xml:space="preserve">27/02/2026</t>
        </is>
      </c>
      <c r="Q7" s="4" t="inlineStr">
        <is>
          <t xml:space="preserve">20/02/2026</t>
        </is>
      </c>
      <c r="R7" s="4" t="inlineStr">
        <is>
          <t xml:space="preserve">30/06/2026</t>
        </is>
      </c>
      <c r="S7" s="4" t="inlineStr">
        <is>
          <t xml:space="preserve">Sim</t>
        </is>
      </c>
      <c r="T7" s="4" t="inlineStr">
        <is>
          <t xml:space="preserve">Sim</t>
        </is>
      </c>
      <c r="U7" s="4" t="inlineStr">
        <is>
          <t xml:space="preserve">Sim</t>
        </is>
      </c>
      <c r="V7" s="4" t="inlineStr">
        <is>
          <t xml:space="preserve">Sim</t>
        </is>
      </c>
      <c r="W7" s="4" t="inlineStr">
        <is>
          <t xml:space="preserve">Sim</t>
        </is>
      </c>
      <c r="X7" s="4" t="inlineStr">
        <is>
          <t xml:space="preserve">Sim</t>
        </is>
      </c>
      <c r="Y7" s="4" t="inlineStr">
        <is>
          <t xml:space="preserve">Sim</t>
        </is>
      </c>
      <c r="Z7" s="4" t="inlineStr">
        <is>
          <t xml:space="preserve">Sim</t>
        </is>
      </c>
      <c r="AA7" s="4" t="inlineStr">
        <is>
          <t xml:space="preserve">Sim</t>
        </is>
      </c>
      <c r="AB7" s="4" t="inlineStr">
        <is>
          <t xml:space="preserve">Sim</t>
        </is>
      </c>
      <c r="AC7" s="3" t="inlineStr">
        <is>
          <t xml:space="preserve">Diretoria; Unidades</t>
        </is>
      </c>
      <c r="AD7" s="3" t="inlineStr">
        <is>
          <t xml:space="preserve">Diretrizes de governo; Diagnóstico institucional</t>
        </is>
      </c>
      <c r="AE7" s="3" t="inlineStr">
        <is>
          <t xml:space="preserve">Plano Estratégico; Painel de indicadores; RAG</t>
        </is>
      </c>
      <c r="AF7" s="3" t="inlineStr">
        <is>
          <t xml:space="preserve">Diretoria Executiva; Conselhos</t>
        </is>
      </c>
      <c r="AG7" s="3" t="inlineStr">
        <is>
          <t xml:space="preserve">e-Codevasf; Painéis de BI</t>
        </is>
      </c>
      <c r="AH7" s="4" t="inlineStr">
        <is>
          <t xml:space="preserve">59500.000015/2025-77</t>
        </is>
      </c>
      <c r="AI7" s="3" t="inlineStr">
        <is>
          <t xml:space="preserve">https://e-processo.codevasf.gov.br/sei/controlador.php?acao=procedimento_visualizar&amp;id=59500000015202577</t>
        </is>
      </c>
      <c r="AK7" s="3" t="inlineStr">
        <is>
          <t xml:space="preserve">Planejamento estratégico e gestão por indicadores; Facilitação de oficinas; Análise de dados institucionais</t>
        </is>
      </c>
      <c r="AM7" s="3" t="inlineStr">
        <is>
          <t xml:space="preserve">Ciclo de monitoramento trimestral (próximo: set/2026).</t>
        </is>
      </c>
      <c r="AO7" s="3" t="inlineStr">
        <is>
          <t xml:space="preserve">Patrícia Moreira Lopes</t>
        </is>
      </c>
      <c r="AP7" s="4" t="inlineStr">
        <is>
          <t xml:space="preserve">patricia.lopes@codevasf.gov.br</t>
        </is>
      </c>
      <c r="AQ7" s="4" t="inlineStr">
        <is>
          <t xml:space="preserve">(61) 2028-4430</t>
        </is>
      </c>
      <c r="AR7" s="4" t="inlineStr">
        <is>
          <t xml:space="preserve">AE/GPE</t>
        </is>
      </c>
    </row>
    <row r="8">
      <c r="A8" s="8" t="str">
        <f>=B8&amp;" › "&amp;C8</f>
        <v>MS-02 › PP-01</v>
      </c>
      <c r="B8" s="7" t="inlineStr">
        <is>
          <t xml:space="preserve">MS-02</t>
        </is>
      </c>
      <c r="C8" s="7" t="inlineStr">
        <is>
          <t xml:space="preserve">PP-01</t>
        </is>
      </c>
      <c r="D8" s="6" t="inlineStr">
        <is>
          <t xml:space="preserve">Admissão e Integração de Empregados</t>
        </is>
      </c>
      <c r="E8" s="6" t="inlineStr">
        <is>
          <t xml:space="preserve">Da homologação do concurso à integração do novo empregado, incluindo exames, posse e ambientação.</t>
        </is>
      </c>
      <c r="F8" s="6" t="inlineStr">
        <is>
          <t xml:space="preserve">Admitir e integrar novos empregados com agilidade e conformidade.</t>
        </is>
      </c>
      <c r="G8" s="7" t="inlineStr">
        <is>
          <t xml:space="preserve">AG/GGP</t>
        </is>
      </c>
      <c r="H8" s="7" t="inlineStr">
        <is>
          <t xml:space="preserve">AE/GAG</t>
        </is>
      </c>
      <c r="I8" s="6" t="inlineStr">
        <is>
          <t xml:space="preserve">Bruna Souza (UNP)</t>
        </is>
      </c>
      <c r="J8" s="7" t="inlineStr">
        <is>
          <t xml:space="preserve">Baixa</t>
        </is>
      </c>
      <c r="K8" s="7" t="inlineStr">
        <is>
          <t xml:space="preserve">Baixa</t>
        </is>
      </c>
      <c r="L8" s="7" t="inlineStr">
        <is>
          <t xml:space="preserve">Inicial</t>
        </is>
      </c>
      <c r="M8" s="7" t="inlineStr">
        <is>
          <t xml:space="preserve">Não iniciado</t>
        </is>
      </c>
      <c r="N8" s="9">
        <f>=IF(COUNTIF(S8:AB8,"Sim")+COUNTIF(S8:AB8,"Em andamento")+COUNTIF(S8:AB8,"Não")=0,0,(COUNTIF(S8:AB8,"Sim")+COUNTIF(S8:AB8,"Em andamento")*0.5)/(COUNTIF(S8:AB8,"Sim")+COUNTIF(S8:AB8,"Em andamento")+COUNTIF(S8:AB8,"Não")))</f>
        <v>0</v>
      </c>
      <c r="P8" s="7" t="inlineStr">
        <is>
          <t xml:space="preserve">30/06/2027</t>
        </is>
      </c>
      <c r="R8" s="7" t="inlineStr">
        <is>
          <t xml:space="preserve">15/06/2026</t>
        </is>
      </c>
      <c r="S8" s="7" t="inlineStr">
        <is>
          <t xml:space="preserve">Não</t>
        </is>
      </c>
      <c r="T8" s="7" t="inlineStr">
        <is>
          <t xml:space="preserve">Não</t>
        </is>
      </c>
      <c r="U8" s="7" t="inlineStr">
        <is>
          <t xml:space="preserve">Não</t>
        </is>
      </c>
      <c r="V8" s="7" t="inlineStr">
        <is>
          <t xml:space="preserve">Não</t>
        </is>
      </c>
      <c r="W8" s="7" t="inlineStr">
        <is>
          <t xml:space="preserve">Não</t>
        </is>
      </c>
      <c r="X8" s="7" t="inlineStr">
        <is>
          <t xml:space="preserve">Não</t>
        </is>
      </c>
      <c r="Y8" s="7" t="inlineStr">
        <is>
          <t xml:space="preserve">Não</t>
        </is>
      </c>
      <c r="Z8" s="7" t="inlineStr">
        <is>
          <t xml:space="preserve">Não</t>
        </is>
      </c>
      <c r="AA8" s="7" t="inlineStr">
        <is>
          <t xml:space="preserve">Não</t>
        </is>
      </c>
      <c r="AB8" s="7" t="inlineStr">
        <is>
          <t xml:space="preserve">Não</t>
        </is>
      </c>
      <c r="AC8" s="6" t="inlineStr">
        <is>
          <t xml:space="preserve">Banca do concurso; Candidatos</t>
        </is>
      </c>
      <c r="AD8" s="6" t="inlineStr">
        <is>
          <t xml:space="preserve">Resultado homologado; Documentação do candidato</t>
        </is>
      </c>
      <c r="AE8" s="6" t="inlineStr">
        <is>
          <t xml:space="preserve">Empregado admitido e integrado</t>
        </is>
      </c>
      <c r="AF8" s="6" t="inlineStr">
        <is>
          <t xml:space="preserve">Novos empregados; Unidades de lotação</t>
        </is>
      </c>
      <c r="AG8" s="6" t="inlineStr">
        <is>
          <t xml:space="preserve">SIGEP (fictício); e-Codevasf</t>
        </is>
      </c>
      <c r="AK8" s="6" t="inlineStr">
        <is>
          <t xml:space="preserve">Rotinas de admissão e legislação trabalhista (CLT); Condução de processos de integração; Uso de sistemas de gestão de pessoas</t>
        </is>
      </c>
      <c r="AM8" s="6" t="inlineStr">
        <is>
          <t xml:space="preserve">Aguardando priorização no ciclo 2027.</t>
        </is>
      </c>
      <c r="AO8" s="6" t="inlineStr">
        <is>
          <t xml:space="preserve">Rodrigo Nascimento Farias</t>
        </is>
      </c>
      <c r="AP8" s="7" t="inlineStr">
        <is>
          <t xml:space="preserve">rodrigo.farias@codevasf.gov.br</t>
        </is>
      </c>
      <c r="AQ8" s="7" t="inlineStr">
        <is>
          <t xml:space="preserve">(61) 2028-4900</t>
        </is>
      </c>
      <c r="AR8" s="7" t="inlineStr">
        <is>
          <t xml:space="preserve">AG/GGP</t>
        </is>
      </c>
    </row>
  </sheetData>
  <autoFilter ref="A1:AR1"/>
  <dataValidations count="18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300">
      <formula1>Macroprocessos!$A$2:$A$9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G2:G300">
      <formula1>Siglas!$A$2:$A$421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I2:I300">
      <formula1>NUGEP!$B$2:$B$13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J2:J300">
      <formula1>Listas!$C$2:$C$4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K2:K300">
      <formula1>Listas!$D$2:$D$4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L2:L300">
      <formula1>Listas!$E$2:$E$6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M2:M300">
      <formula1>Listas!$B$2:$B$5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S2:S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T2:T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U2:U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V2:V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W2:W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X2:X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Y2:Y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Z2:Z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AA2:AA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AB2:AB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AR2:AR300">
      <formula1>Siglas!$A$2:$A$421</formula1>
    </dataValidation>
  </dataValidations>
</worksheet>
</file>

<file path=xl/worksheets/sheet5.xml><?xml version="1.0" encoding="utf-8"?>
<worksheet xmlns="http://schemas.openxmlformats.org/spreadsheetml/2006/main">
  <sheetPr>
    <tabColor rgb="FF0040B4"/>
  </sheetPr>
  <dimension ref="A1:R7"/>
  <sheetViews>
    <sheetView workbookViewId="0" zoomScale="90">
      <pane ySplit="1" topLeftCell="A2" activePane="bottomLeft" state="frozen"/>
      <selection pane="bottomLeft"/>
    </sheetView>
  </sheetViews>
  <cols>
    <col min="1" max="1" width="26" customWidth="1"/>
    <col min="2" max="2" width="13" customWidth="1"/>
    <col min="3" max="3" width="10" customWidth="1"/>
    <col min="4" max="4" width="9" customWidth="1"/>
    <col min="5" max="5" width="32" customWidth="1"/>
    <col min="6" max="6" width="12" customWidth="1"/>
    <col min="7" max="7" width="7" customWidth="1"/>
    <col min="8" max="8" width="44" customWidth="1"/>
    <col min="9" max="9" width="38" customWidth="1"/>
    <col min="10" max="10" width="16" customWidth="1"/>
    <col min="11" max="11" width="30" customWidth="1"/>
    <col min="12" max="12" width="12" customWidth="1"/>
    <col min="13" max="13" width="30" customWidth="1"/>
    <col min="14" max="14" width="36" customWidth="1"/>
    <col min="15" max="15" width="36" customWidth="1"/>
    <col min="16" max="16" width="26" customWidth="1"/>
    <col min="17" max="17" width="26" customWidth="1"/>
    <col min="18" max="18" width="28" customWidth="1"/>
  </cols>
  <sheetData>
    <row r="1">
      <c r="A1" s="1" t="inlineStr">
        <is>
          <t xml:space="preserve">Trilha</t>
        </is>
      </c>
      <c r="B1" s="1" t="inlineStr">
        <is>
          <t xml:space="preserve">Macroprocesso</t>
        </is>
      </c>
      <c r="C1" s="1" t="inlineStr">
        <is>
          <t xml:space="preserve">Processo</t>
        </is>
      </c>
      <c r="D1" s="1" t="inlineStr">
        <is>
          <t xml:space="preserve">Codigo</t>
        </is>
      </c>
      <c r="E1" s="1" t="inlineStr">
        <is>
          <t xml:space="preserve">Nome</t>
        </is>
      </c>
      <c r="F1" s="1" t="inlineStr">
        <is>
          <t xml:space="preserve">Vinculo_Pai</t>
        </is>
      </c>
      <c r="G1" s="1" t="inlineStr">
        <is>
          <t xml:space="preserve">Ordem</t>
        </is>
      </c>
      <c r="H1" s="1" t="inlineStr">
        <is>
          <t xml:space="preserve">Descricao</t>
        </is>
      </c>
      <c r="I1" s="1" t="inlineStr">
        <is>
          <t xml:space="preserve">Objetivo</t>
        </is>
      </c>
      <c r="J1" s="1" t="inlineStr">
        <is>
          <t xml:space="preserve">Unidade_Organica_Responsavel</t>
        </is>
      </c>
      <c r="K1" s="1" t="inlineStr">
        <is>
          <t xml:space="preserve">Unidades_Organicas_Corresponsaveis</t>
        </is>
      </c>
      <c r="L1" s="1" t="inlineStr">
        <is>
          <t xml:space="preserve">Reutilizavel</t>
        </is>
      </c>
      <c r="M1" s="1" t="inlineStr">
        <is>
          <t xml:space="preserve">Reutilizado_Em</t>
        </is>
      </c>
      <c r="N1" s="1" t="inlineStr">
        <is>
          <t xml:space="preserve">Entradas</t>
        </is>
      </c>
      <c r="O1" s="1" t="inlineStr">
        <is>
          <t xml:space="preserve">Saidas</t>
        </is>
      </c>
      <c r="P1" s="1" t="inlineStr">
        <is>
          <t xml:space="preserve">Sistemas</t>
        </is>
      </c>
      <c r="Q1" s="1" t="inlineStr">
        <is>
          <t xml:space="preserve">Fontes_Dados</t>
        </is>
      </c>
      <c r="R1" s="1" t="inlineStr">
        <is>
          <t xml:space="preserve">Imagem_Bizagi</t>
        </is>
      </c>
    </row>
    <row r="2">
      <c r="A2" s="8" t="str">
        <f>=B2&amp;" › "&amp;C2&amp;" › "&amp;D2</f>
        <v>MS-01 › PP-01 › SP-01</v>
      </c>
      <c r="B2" s="7" t="inlineStr">
        <is>
          <t xml:space="preserve">MS-01</t>
        </is>
      </c>
      <c r="C2" s="7" t="inlineStr">
        <is>
          <t xml:space="preserve">PP-01</t>
        </is>
      </c>
      <c r="D2" s="7" t="inlineStr">
        <is>
          <t xml:space="preserve">SP-01</t>
        </is>
      </c>
      <c r="E2" s="6" t="inlineStr">
        <is>
          <t xml:space="preserve">Estudo Técnico Preliminar (ETP)</t>
        </is>
      </c>
      <c r="F2" s="7" t="inlineStr">
        <is>
          <t xml:space="preserve">PP-01</t>
        </is>
      </c>
      <c r="G2" s="7">
        <v>1</v>
      </c>
      <c r="H2" s="6" t="inlineStr">
        <is>
          <t xml:space="preserve">Caracterização da necessidade, análise de soluções de mercado e demonstração da viabilidade da contratação.</t>
        </is>
      </c>
      <c r="I2" s="6" t="inlineStr">
        <is>
          <t xml:space="preserve">Fundamentar tecnicamente a melhor solução para a necessidade.</t>
        </is>
      </c>
      <c r="J2" s="7" t="inlineStr">
        <is>
          <t xml:space="preserve">AA/GLC</t>
        </is>
      </c>
      <c r="K2" s="7" t="inlineStr">
        <is>
          <t xml:space="preserve">AE/GAG</t>
        </is>
      </c>
      <c r="N2" s="6" t="inlineStr">
        <is>
          <t xml:space="preserve">DFD; Levantamento de soluções de mercado</t>
        </is>
      </c>
      <c r="O2" s="6" t="inlineStr">
        <is>
          <t xml:space="preserve">ETP aprovado no e-Codevasf</t>
        </is>
      </c>
      <c r="P2" s="6" t="inlineStr">
        <is>
          <t xml:space="preserve">e-Codevasf; Compras.gov.br</t>
        </is>
      </c>
      <c r="Q2" s="6" t="inlineStr">
        <is>
          <t xml:space="preserve">e-Codevasf</t>
        </is>
      </c>
    </row>
    <row r="3">
      <c r="A3" s="8" t="str">
        <f>=B3&amp;" › "&amp;C3&amp;" › "&amp;D3</f>
        <v>MS-01 › PP-01 › SP-02</v>
      </c>
      <c r="B3" s="4" t="inlineStr">
        <is>
          <t xml:space="preserve">MS-01</t>
        </is>
      </c>
      <c r="C3" s="4" t="inlineStr">
        <is>
          <t xml:space="preserve">PP-01</t>
        </is>
      </c>
      <c r="D3" s="4" t="inlineStr">
        <is>
          <t xml:space="preserve">SP-02</t>
        </is>
      </c>
      <c r="E3" s="3" t="inlineStr">
        <is>
          <t xml:space="preserve">Termo de Referência (TR)</t>
        </is>
      </c>
      <c r="F3" s="4" t="inlineStr">
        <is>
          <t xml:space="preserve">PP-01</t>
        </is>
      </c>
      <c r="G3" s="4">
        <v>2</v>
      </c>
      <c r="H3" s="3" t="inlineStr">
        <is>
          <t xml:space="preserve">Definição do objeto, requisitos, modelo de execução e gestão contratual, e critérios de julgamento.</t>
        </is>
      </c>
      <c r="I3" s="3" t="inlineStr">
        <is>
          <t xml:space="preserve">Especificar com precisão o objeto e as condições da contratação.</t>
        </is>
      </c>
      <c r="J3" s="4" t="inlineStr">
        <is>
          <t xml:space="preserve">AA/GLC</t>
        </is>
      </c>
      <c r="K3" s="4" t="inlineStr">
        <is>
          <t xml:space="preserve">AE/GAG</t>
        </is>
      </c>
      <c r="N3" s="3" t="inlineStr">
        <is>
          <t xml:space="preserve">ETP aprovado; Modelos padronizados de TR</t>
        </is>
      </c>
      <c r="O3" s="3" t="inlineStr">
        <is>
          <t xml:space="preserve">TR aprovado e validado juridicamente</t>
        </is>
      </c>
      <c r="P3" s="3" t="inlineStr">
        <is>
          <t xml:space="preserve">e-Codevasf</t>
        </is>
      </c>
    </row>
    <row r="4">
      <c r="A4" s="8" t="str">
        <f>=B4&amp;" › "&amp;C4&amp;" › "&amp;D4</f>
        <v>MS-01 › PP-01 › SP-03</v>
      </c>
      <c r="B4" s="7" t="inlineStr">
        <is>
          <t xml:space="preserve">MS-01</t>
        </is>
      </c>
      <c r="C4" s="7" t="inlineStr">
        <is>
          <t xml:space="preserve">PP-01</t>
        </is>
      </c>
      <c r="D4" s="7" t="inlineStr">
        <is>
          <t xml:space="preserve">SP-03</t>
        </is>
      </c>
      <c r="E4" s="6" t="inlineStr">
        <is>
          <t xml:space="preserve">Pesquisa de Preços</t>
        </is>
      </c>
      <c r="F4" s="7" t="inlineStr">
        <is>
          <t xml:space="preserve">PP-01</t>
        </is>
      </c>
      <c r="G4" s="7">
        <v>3</v>
      </c>
      <c r="H4" s="6" t="inlineStr">
        <is>
          <t xml:space="preserve">Levantamento de preços em fontes admitidas (Painel de Preços, PNCP, cotações) e consolidação do valor estimado.</t>
        </is>
      </c>
      <c r="I4" s="6" t="inlineStr">
        <is>
          <t xml:space="preserve">Estimar o valor da contratação conforme a IN SEGES nº 65/2021.</t>
        </is>
      </c>
      <c r="J4" s="7" t="inlineStr">
        <is>
          <t xml:space="preserve">AA/GLC</t>
        </is>
      </c>
      <c r="K4" s="7" t="inlineStr">
        <is>
          <t xml:space="preserve">AT/GTI</t>
        </is>
      </c>
      <c r="N4" s="6" t="inlineStr">
        <is>
          <t xml:space="preserve">TR validado; Fontes de preços admitidas</t>
        </is>
      </c>
      <c r="O4" s="6" t="inlineStr">
        <is>
          <t xml:space="preserve">Relatório de pesquisa de preços; Mapa comparativo</t>
        </is>
      </c>
      <c r="P4" s="6" t="inlineStr">
        <is>
          <t xml:space="preserve">Painel de Preços; PNCP; e-Codevasf</t>
        </is>
      </c>
      <c r="Q4" s="6" t="inlineStr">
        <is>
          <t xml:space="preserve">Painel de Preços; PNCP</t>
        </is>
      </c>
    </row>
    <row r="5">
      <c r="A5" s="8" t="str">
        <f>=B5&amp;" › "&amp;C5&amp;" › "&amp;D5</f>
        <v>MS-01 › PP-01 › SP-03 › SP-03.01</v>
      </c>
      <c r="B5" s="4" t="inlineStr">
        <is>
          <t xml:space="preserve">MS-01</t>
        </is>
      </c>
      <c r="C5" s="4" t="inlineStr">
        <is>
          <t xml:space="preserve">PP-01</t>
        </is>
      </c>
      <c r="D5" s="4" t="inlineStr">
        <is>
          <t xml:space="preserve">SP-03.01</t>
        </is>
      </c>
      <c r="E5" s="3" t="inlineStr">
        <is>
          <t xml:space="preserve">Tratamento de Preços Inexequíveis ou Excessivos</t>
        </is>
      </c>
      <c r="F5" s="4" t="inlineStr">
        <is>
          <t xml:space="preserve">SP-03</t>
        </is>
      </c>
      <c r="G5" s="4">
        <v>1</v>
      </c>
      <c r="H5" s="3" t="inlineStr">
        <is>
          <t xml:space="preserve">Identificação e exclusão de valores discrepantes coletados na pesquisa, com justificativa técnica registrada.</t>
        </is>
      </c>
      <c r="I5" s="3" t="inlineStr">
        <is>
          <t xml:space="preserve">Evitar que outliers de preço distorçam o valor estimado da contratação.</t>
        </is>
      </c>
      <c r="J5" s="4" t="inlineStr">
        <is>
          <t xml:space="preserve">AA/GLC</t>
        </is>
      </c>
      <c r="K5" s="4" t="inlineStr">
        <is>
          <t xml:space="preserve">AT/GTI</t>
        </is>
      </c>
      <c r="L5" s="4" t="inlineStr">
        <is>
          <t xml:space="preserve">Sim</t>
        </is>
      </c>
      <c r="M5" s="3" t="inlineStr">
        <is>
          <t xml:space="preserve">MS-01 › PP-02; MF-02 › PP-01</t>
        </is>
      </c>
      <c r="N5" s="3" t="inlineStr">
        <is>
          <t xml:space="preserve">Amostra de preços coletados na pesquisa</t>
        </is>
      </c>
      <c r="O5" s="3" t="inlineStr">
        <is>
          <t xml:space="preserve">Valores discrepantes identificados e justificados</t>
        </is>
      </c>
      <c r="P5" s="3" t="inlineStr">
        <is>
          <t xml:space="preserve">Planilha padrão; e-Codevasf</t>
        </is>
      </c>
    </row>
    <row r="6">
      <c r="A6" s="8" t="str">
        <f>=B6&amp;" › "&amp;C6&amp;" › "&amp;D6</f>
        <v>MS-01 › PP-02 › SP-01</v>
      </c>
      <c r="B6" s="7" t="inlineStr">
        <is>
          <t xml:space="preserve">MS-01</t>
        </is>
      </c>
      <c r="C6" s="7" t="inlineStr">
        <is>
          <t xml:space="preserve">PP-02</t>
        </is>
      </c>
      <c r="D6" s="7" t="inlineStr">
        <is>
          <t xml:space="preserve">SP-01</t>
        </is>
      </c>
      <c r="E6" s="6" t="inlineStr">
        <is>
          <t xml:space="preserve">Condução da Sessão Pública</t>
        </is>
      </c>
      <c r="F6" s="7" t="inlineStr">
        <is>
          <t xml:space="preserve">PP-02</t>
        </is>
      </c>
      <c r="G6" s="7">
        <v>1</v>
      </c>
      <c r="H6" s="6" t="inlineStr">
        <is>
          <t xml:space="preserve">Abertura da sessão no sistema, fase de lances, julgamento, habilitação e registro em ata.</t>
        </is>
      </c>
      <c r="I6" s="6" t="inlineStr">
        <is>
          <t xml:space="preserve">Conduzir o certame com transparência e celeridade.</t>
        </is>
      </c>
      <c r="J6" s="7" t="inlineStr">
        <is>
          <t xml:space="preserve">AA/GLC</t>
        </is>
      </c>
      <c r="K6" s="7" t="inlineStr">
        <is>
          <t xml:space="preserve">AE/GAG</t>
        </is>
      </c>
      <c r="N6" s="6" t="inlineStr">
        <is>
          <t xml:space="preserve">Edital publicado; Propostas dos licitantes</t>
        </is>
      </c>
      <c r="O6" s="6" t="inlineStr">
        <is>
          <t xml:space="preserve">Ata da sessão; Resultado por item</t>
        </is>
      </c>
      <c r="P6" s="6" t="inlineStr">
        <is>
          <t xml:space="preserve">Compras.gov.br</t>
        </is>
      </c>
    </row>
    <row r="7">
      <c r="A7" s="8" t="str">
        <f>=B7&amp;" › "&amp;C7&amp;" › "&amp;D7</f>
        <v>MF-02 › PP-01 › SP-01</v>
      </c>
      <c r="B7" s="4" t="inlineStr">
        <is>
          <t xml:space="preserve">MF-02</t>
        </is>
      </c>
      <c r="C7" s="4" t="inlineStr">
        <is>
          <t xml:space="preserve">PP-01</t>
        </is>
      </c>
      <c r="D7" s="4" t="inlineStr">
        <is>
          <t xml:space="preserve">SP-01</t>
        </is>
      </c>
      <c r="E7" s="3" t="inlineStr">
        <is>
          <t xml:space="preserve">Distribuição de Água aos Irrigantes</t>
        </is>
      </c>
      <c r="F7" s="4" t="inlineStr">
        <is>
          <t xml:space="preserve">PP-01</t>
        </is>
      </c>
      <c r="G7" s="4">
        <v>1</v>
      </c>
      <c r="H7" s="3" t="inlineStr">
        <is>
          <t xml:space="preserve">Programação semanal, operação de comportas e bombas, e registro de volumes distribuídos.</t>
        </is>
      </c>
      <c r="I7" s="3" t="inlineStr">
        <is>
          <t xml:space="preserve">Entregar a água programada com eficiência e equidade.</t>
        </is>
      </c>
      <c r="J7" s="4" t="inlineStr">
        <is>
          <t xml:space="preserve">AI/GOM</t>
        </is>
      </c>
      <c r="K7" s="4" t="inlineStr">
        <is>
          <t xml:space="preserve">AT/GTI</t>
        </is>
      </c>
      <c r="N7" s="3" t="inlineStr">
        <is>
          <t xml:space="preserve">Outorga de uso; Demanda de irrigação</t>
        </is>
      </c>
      <c r="O7" s="3" t="inlineStr">
        <is>
          <t xml:space="preserve">Programação hídrica executada; Registros de volume</t>
        </is>
      </c>
      <c r="P7" s="3" t="inlineStr">
        <is>
          <t xml:space="preserve">SIG-Irrigação (fictício)</t>
        </is>
      </c>
    </row>
  </sheetData>
  <autoFilter ref="A1:R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J2:J300">
      <formula1>Siglas!$A$2:$A$421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L2:L300">
      <formula1>Listas!$F$2:$F$4</formula1>
    </dataValidation>
  </dataValidations>
</worksheet>
</file>

<file path=xl/worksheets/sheet6.xml><?xml version="1.0" encoding="utf-8"?>
<worksheet xmlns="http://schemas.openxmlformats.org/spreadsheetml/2006/main">
  <sheetPr>
    <tabColor rgb="FF0040B4"/>
  </sheetPr>
  <dimension ref="A1:M16"/>
  <sheetViews>
    <sheetView workbookViewId="0" zoomScale="90">
      <pane ySplit="1" topLeftCell="A2" activePane="bottomLeft" state="frozen"/>
      <selection pane="bottomLeft"/>
    </sheetView>
  </sheetViews>
  <cols>
    <col min="1" max="1" width="32" customWidth="1"/>
    <col min="2" max="2" width="13" customWidth="1"/>
    <col min="3" max="3" width="10" customWidth="1"/>
    <col min="4" max="4" width="10" customWidth="1"/>
    <col min="5" max="5" width="9" customWidth="1"/>
    <col min="6" max="6" width="34" customWidth="1"/>
    <col min="7" max="7" width="11" customWidth="1"/>
    <col min="8" max="8" width="7" customWidth="1"/>
    <col min="9" max="9" width="17" customWidth="1"/>
    <col min="10" max="10" width="44" customWidth="1"/>
    <col min="11" max="11" width="34" customWidth="1"/>
    <col min="12" max="12" width="34" customWidth="1"/>
    <col min="13" max="13" width="22" customWidth="1"/>
  </cols>
  <sheetData>
    <row r="1">
      <c r="A1" s="1" t="inlineStr">
        <is>
          <t xml:space="preserve">Trilha</t>
        </is>
      </c>
      <c r="B1" s="1" t="inlineStr">
        <is>
          <t xml:space="preserve">Macroprocesso</t>
        </is>
      </c>
      <c r="C1" s="1" t="inlineStr">
        <is>
          <t xml:space="preserve">Processo</t>
        </is>
      </c>
      <c r="D1" s="1" t="inlineStr">
        <is>
          <t xml:space="preserve">Subprocesso</t>
        </is>
      </c>
      <c r="E1" s="1" t="inlineStr">
        <is>
          <t xml:space="preserve">Codigo</t>
        </is>
      </c>
      <c r="F1" s="1" t="inlineStr">
        <is>
          <t xml:space="preserve">Nome</t>
        </is>
      </c>
      <c r="G1" s="1" t="inlineStr">
        <is>
          <t xml:space="preserve">Vinculo_Pai</t>
        </is>
      </c>
      <c r="H1" s="1" t="inlineStr">
        <is>
          <t xml:space="preserve">Ordem</t>
        </is>
      </c>
      <c r="I1" s="1" t="inlineStr">
        <is>
          <t xml:space="preserve">Tipo_Atividade</t>
        </is>
      </c>
      <c r="J1" s="1" t="inlineStr">
        <is>
          <t xml:space="preserve">Descricao</t>
        </is>
      </c>
      <c r="K1" s="1" t="inlineStr">
        <is>
          <t xml:space="preserve">Entradas</t>
        </is>
      </c>
      <c r="L1" s="1" t="inlineStr">
        <is>
          <t xml:space="preserve">Saidas</t>
        </is>
      </c>
      <c r="M1" s="1" t="inlineStr">
        <is>
          <t xml:space="preserve">Sistemas</t>
        </is>
      </c>
    </row>
    <row r="2">
      <c r="A2" s="8" t="str">
        <f>=B2&amp;" › "&amp;C2&amp;IF(D2="","","  › "&amp;D2)&amp;" › "&amp;E2</f>
        <v>MS-01 › PP-01 › SP-01 › AT-01</v>
      </c>
      <c r="B2" s="7" t="inlineStr">
        <is>
          <t xml:space="preserve">MS-01</t>
        </is>
      </c>
      <c r="C2" s="7" t="inlineStr">
        <is>
          <t xml:space="preserve">PP-01</t>
        </is>
      </c>
      <c r="D2" s="7" t="inlineStr">
        <is>
          <t xml:space="preserve">SP-01</t>
        </is>
      </c>
      <c r="E2" s="7" t="inlineStr">
        <is>
          <t xml:space="preserve">AT-01</t>
        </is>
      </c>
      <c r="F2" s="6" t="inlineStr">
        <is>
          <t xml:space="preserve">Formalizar a necessidade (DFD)</t>
        </is>
      </c>
      <c r="G2" s="7" t="inlineStr">
        <is>
          <t xml:space="preserve">SP-01</t>
        </is>
      </c>
      <c r="H2" s="7">
        <v>1</v>
      </c>
      <c r="I2" s="7" t="inlineStr">
        <is>
          <t xml:space="preserve">Agregação de Valor</t>
        </is>
      </c>
      <c r="J2" s="6" t="inlineStr">
        <is>
          <t xml:space="preserve">A área demandante registra a necessidade de contratação no Documento de Formalização da Demanda (DFD), justificando o objeto e vinculando-o ao Plano de Contratações Anual.</t>
        </is>
      </c>
      <c r="K2" s="6" t="inlineStr">
        <is>
          <t xml:space="preserve">Necessidade identificada; Plano de Contratações Anual</t>
        </is>
      </c>
      <c r="L2" s="6" t="inlineStr">
        <is>
          <t xml:space="preserve">DFD assinado no e-Codevasf</t>
        </is>
      </c>
      <c r="M2" s="6" t="inlineStr">
        <is>
          <t xml:space="preserve">e-Codevasf</t>
        </is>
      </c>
    </row>
    <row r="3">
      <c r="A3" s="8" t="str">
        <f>=B3&amp;" › "&amp;C3&amp;IF(D3="","","  › "&amp;D3)&amp;" › "&amp;E3</f>
        <v>MS-01 › PP-01 › SP-01 › AT-02</v>
      </c>
      <c r="B3" s="4" t="inlineStr">
        <is>
          <t xml:space="preserve">MS-01</t>
        </is>
      </c>
      <c r="C3" s="4" t="inlineStr">
        <is>
          <t xml:space="preserve">PP-01</t>
        </is>
      </c>
      <c r="D3" s="4" t="inlineStr">
        <is>
          <t xml:space="preserve">SP-01</t>
        </is>
      </c>
      <c r="E3" s="4" t="inlineStr">
        <is>
          <t xml:space="preserve">AT-02</t>
        </is>
      </c>
      <c r="F3" s="3" t="inlineStr">
        <is>
          <t xml:space="preserve">Levantar soluções de mercado</t>
        </is>
      </c>
      <c r="G3" s="4" t="inlineStr">
        <is>
          <t xml:space="preserve">SP-01</t>
        </is>
      </c>
      <c r="H3" s="4">
        <v>2</v>
      </c>
      <c r="J3" s="3" t="inlineStr">
        <is>
          <t xml:space="preserve">A equipe de planejamento pesquisa catálogos, contratações similares no PNCP e alternativas de mercado que atendam à necessidade formalizada no DFD.</t>
        </is>
      </c>
      <c r="K3" s="3" t="inlineStr">
        <is>
          <t xml:space="preserve">DFD; Catálogos; Contratações similares (PNCP)</t>
        </is>
      </c>
      <c r="L3" s="3" t="inlineStr">
        <is>
          <t xml:space="preserve">Levantamento de soluções documentado</t>
        </is>
      </c>
      <c r="M3" s="3" t="inlineStr">
        <is>
          <t xml:space="preserve">PNCP; Compras.gov.br</t>
        </is>
      </c>
    </row>
    <row r="4">
      <c r="A4" s="8" t="str">
        <f>=B4&amp;" › "&amp;C4&amp;IF(D4="","","  › "&amp;D4)&amp;" › "&amp;E4</f>
        <v>MS-01 › PP-01 › SP-01 › AT-03</v>
      </c>
      <c r="B4" s="7" t="inlineStr">
        <is>
          <t xml:space="preserve">MS-01</t>
        </is>
      </c>
      <c r="C4" s="7" t="inlineStr">
        <is>
          <t xml:space="preserve">PP-01</t>
        </is>
      </c>
      <c r="D4" s="7" t="inlineStr">
        <is>
          <t xml:space="preserve">SP-01</t>
        </is>
      </c>
      <c r="E4" s="7" t="inlineStr">
        <is>
          <t xml:space="preserve">AT-03</t>
        </is>
      </c>
      <c r="F4" s="6" t="inlineStr">
        <is>
          <t xml:space="preserve">Estimar quantidades e resultados</t>
        </is>
      </c>
      <c r="G4" s="7" t="inlineStr">
        <is>
          <t xml:space="preserve">SP-01</t>
        </is>
      </c>
      <c r="H4" s="7">
        <v>3</v>
      </c>
      <c r="J4" s="6" t="inlineStr">
        <is>
          <t xml:space="preserve">A equipe de planejamento estima quantitativos e resultados pretendidos com base no levantamento de soluções e em séries históricas de consumo.</t>
        </is>
      </c>
      <c r="K4" s="6" t="inlineStr">
        <is>
          <t xml:space="preserve">Levantamento de soluções; Séries históricas</t>
        </is>
      </c>
      <c r="L4" s="6" t="inlineStr">
        <is>
          <t xml:space="preserve">Memória de cálculo de quantitativos</t>
        </is>
      </c>
      <c r="M4" s="6" t="inlineStr">
        <is>
          <t xml:space="preserve">e-Codevasf</t>
        </is>
      </c>
    </row>
    <row r="5">
      <c r="A5" s="8" t="str">
        <f>=B5&amp;" › "&amp;C5&amp;IF(D5="","","  › "&amp;D5)&amp;" › "&amp;E5</f>
        <v>MS-01 › PP-01 › SP-01 › AT-04</v>
      </c>
      <c r="B5" s="4" t="inlineStr">
        <is>
          <t xml:space="preserve">MS-01</t>
        </is>
      </c>
      <c r="C5" s="4" t="inlineStr">
        <is>
          <t xml:space="preserve">PP-01</t>
        </is>
      </c>
      <c r="D5" s="4" t="inlineStr">
        <is>
          <t xml:space="preserve">SP-01</t>
        </is>
      </c>
      <c r="E5" s="4" t="inlineStr">
        <is>
          <t xml:space="preserve">AT-04</t>
        </is>
      </c>
      <c r="F5" s="3" t="inlineStr">
        <is>
          <t xml:space="preserve">Elaborar e aprovar o ETP</t>
        </is>
      </c>
      <c r="G5" s="4" t="inlineStr">
        <is>
          <t xml:space="preserve">SP-01</t>
        </is>
      </c>
      <c r="H5" s="4">
        <v>4</v>
      </c>
      <c r="I5" s="4" t="inlineStr">
        <is>
          <t xml:space="preserve">Controle</t>
        </is>
      </c>
      <c r="J5" s="3" t="inlineStr">
        <is>
          <t xml:space="preserve">A equipe de planejamento consolida os levantamentos no Estudo Técnico Preliminar (ETP) e o submete à aprovação da autoridade competente.</t>
        </is>
      </c>
      <c r="K5" s="3" t="inlineStr">
        <is>
          <t xml:space="preserve">Levantamentos e memórias anteriores</t>
        </is>
      </c>
      <c r="L5" s="3" t="inlineStr">
        <is>
          <t xml:space="preserve">ETP aprovado</t>
        </is>
      </c>
      <c r="M5" s="3" t="inlineStr">
        <is>
          <t xml:space="preserve">e-Codevasf; Compras.gov.br</t>
        </is>
      </c>
    </row>
    <row r="6">
      <c r="A6" s="8" t="str">
        <f>=B6&amp;" › "&amp;C6&amp;IF(D6="","","  › "&amp;D6)&amp;" › "&amp;E6</f>
        <v>MS-01 › PP-01 › SP-02 › AT-01</v>
      </c>
      <c r="B6" s="7" t="inlineStr">
        <is>
          <t xml:space="preserve">MS-01</t>
        </is>
      </c>
      <c r="C6" s="7" t="inlineStr">
        <is>
          <t xml:space="preserve">PP-01</t>
        </is>
      </c>
      <c r="D6" s="7" t="inlineStr">
        <is>
          <t xml:space="preserve">SP-02</t>
        </is>
      </c>
      <c r="E6" s="7" t="inlineStr">
        <is>
          <t xml:space="preserve">AT-01</t>
        </is>
      </c>
      <c r="F6" s="6" t="inlineStr">
        <is>
          <t xml:space="preserve">Redigir o Termo de Referência</t>
        </is>
      </c>
      <c r="G6" s="7" t="inlineStr">
        <is>
          <t xml:space="preserve">SP-02</t>
        </is>
      </c>
      <c r="H6" s="7">
        <v>1</v>
      </c>
      <c r="J6" s="6" t="inlineStr">
        <is>
          <t xml:space="preserve">A equipe de planejamento redige a minuta do Termo de Referência a partir do ETP aprovado, utilizando os modelos padronizados da Empresa.</t>
        </is>
      </c>
      <c r="K6" s="6" t="inlineStr">
        <is>
          <t xml:space="preserve">ETP aprovado; Modelos padronizados</t>
        </is>
      </c>
      <c r="L6" s="6" t="inlineStr">
        <is>
          <t xml:space="preserve">Minuta de TR</t>
        </is>
      </c>
      <c r="M6" s="6" t="inlineStr">
        <is>
          <t xml:space="preserve">e-Codevasf</t>
        </is>
      </c>
    </row>
    <row r="7">
      <c r="A7" s="8" t="str">
        <f>=B7&amp;" › "&amp;C7&amp;IF(D7="","","  › "&amp;D7)&amp;" › "&amp;E7</f>
        <v>MS-01 › PP-01 › SP-02 › AT-02</v>
      </c>
      <c r="B7" s="4" t="inlineStr">
        <is>
          <t xml:space="preserve">MS-01</t>
        </is>
      </c>
      <c r="C7" s="4" t="inlineStr">
        <is>
          <t xml:space="preserve">PP-01</t>
        </is>
      </c>
      <c r="D7" s="4" t="inlineStr">
        <is>
          <t xml:space="preserve">SP-02</t>
        </is>
      </c>
      <c r="E7" s="4" t="inlineStr">
        <is>
          <t xml:space="preserve">AT-02</t>
        </is>
      </c>
      <c r="F7" s="3" t="inlineStr">
        <is>
          <t xml:space="preserve">Validar o TR com a Assessoria Jurídica</t>
        </is>
      </c>
      <c r="G7" s="4" t="inlineStr">
        <is>
          <t xml:space="preserve">SP-02</t>
        </is>
      </c>
      <c r="H7" s="4">
        <v>2</v>
      </c>
      <c r="I7" s="4" t="inlineStr">
        <is>
          <t xml:space="preserve">Controle</t>
        </is>
      </c>
      <c r="J7" s="3" t="inlineStr">
        <is>
          <t xml:space="preserve">A Assessoria Jurídica analisa a minuta do Termo de Referência e emite parecer sobre sua conformidade legal antes da publicação do edital.</t>
        </is>
      </c>
      <c r="K7" s="3" t="inlineStr">
        <is>
          <t xml:space="preserve">Minuta de TR</t>
        </is>
      </c>
      <c r="L7" s="3" t="inlineStr">
        <is>
          <t xml:space="preserve">TR validado; Parecer jurídico</t>
        </is>
      </c>
      <c r="M7" s="3" t="inlineStr">
        <is>
          <t xml:space="preserve">e-Codevasf</t>
        </is>
      </c>
    </row>
    <row r="8">
      <c r="A8" s="8" t="str">
        <f>=B8&amp;" › "&amp;C8&amp;IF(D8="","","  › "&amp;D8)&amp;" › "&amp;E8</f>
        <v>MS-01 › PP-01 › SP-03 › AT-01</v>
      </c>
      <c r="B8" s="7" t="inlineStr">
        <is>
          <t xml:space="preserve">MS-01</t>
        </is>
      </c>
      <c r="C8" s="7" t="inlineStr">
        <is>
          <t xml:space="preserve">PP-01</t>
        </is>
      </c>
      <c r="D8" s="7" t="inlineStr">
        <is>
          <t xml:space="preserve">SP-03</t>
        </is>
      </c>
      <c r="E8" s="7" t="inlineStr">
        <is>
          <t xml:space="preserve">AT-01</t>
        </is>
      </c>
      <c r="F8" s="6" t="inlineStr">
        <is>
          <t xml:space="preserve">Realizar a pesquisa de preços</t>
        </is>
      </c>
      <c r="G8" s="7" t="inlineStr">
        <is>
          <t xml:space="preserve">SP-03</t>
        </is>
      </c>
      <c r="H8" s="7">
        <v>1</v>
      </c>
      <c r="I8" s="7" t="inlineStr">
        <is>
          <t xml:space="preserve">Agregação de Valor</t>
        </is>
      </c>
      <c r="J8" s="6" t="inlineStr">
        <is>
          <t xml:space="preserve">A equipe de planejamento coleta preços em ao menos três fontes distintas (Painel de Preços, PNCP e contratações similares) para compor a estimativa de valor.</t>
        </is>
      </c>
      <c r="K8" s="6" t="inlineStr">
        <is>
          <t xml:space="preserve">TR validado; Fontes de preços</t>
        </is>
      </c>
      <c r="L8" s="6" t="inlineStr">
        <is>
          <t xml:space="preserve">Relatório de pesquisa de preços</t>
        </is>
      </c>
      <c r="M8" s="6" t="inlineStr">
        <is>
          <t xml:space="preserve">Painel de Preços; PNCP</t>
        </is>
      </c>
    </row>
    <row r="9">
      <c r="A9" s="8" t="str">
        <f>=B9&amp;" › "&amp;C9&amp;IF(D9="","","  › "&amp;D9)&amp;" › "&amp;E9</f>
        <v>MS-01 › PP-01 › SP-03 › AT-02</v>
      </c>
      <c r="B9" s="4" t="inlineStr">
        <is>
          <t xml:space="preserve">MS-01</t>
        </is>
      </c>
      <c r="C9" s="4" t="inlineStr">
        <is>
          <t xml:space="preserve">PP-01</t>
        </is>
      </c>
      <c r="D9" s="4" t="inlineStr">
        <is>
          <t xml:space="preserve">SP-03</t>
        </is>
      </c>
      <c r="E9" s="4" t="inlineStr">
        <is>
          <t xml:space="preserve">AT-02</t>
        </is>
      </c>
      <c r="F9" s="3" t="inlineStr">
        <is>
          <t xml:space="preserve">Consolidar o valor estimado</t>
        </is>
      </c>
      <c r="G9" s="4" t="inlineStr">
        <is>
          <t xml:space="preserve">SP-03</t>
        </is>
      </c>
      <c r="H9" s="4">
        <v>2</v>
      </c>
      <c r="J9" s="3" t="inlineStr">
        <is>
          <t xml:space="preserve">A equipe de planejamento consolida os preços coletados e tratados estatisticamente em um valor estimado único para a contratação.</t>
        </is>
      </c>
      <c r="K9" s="3" t="inlineStr">
        <is>
          <t xml:space="preserve">Relatório de pesquisa</t>
        </is>
      </c>
      <c r="L9" s="3" t="inlineStr">
        <is>
          <t xml:space="preserve">Valor estimado consolidado</t>
        </is>
      </c>
      <c r="M9" s="3" t="inlineStr">
        <is>
          <t xml:space="preserve">e-Codevasf</t>
        </is>
      </c>
    </row>
    <row r="10">
      <c r="A10" s="8" t="str">
        <f>=B10&amp;" › "&amp;C10&amp;IF(D10="","","  › "&amp;D10)&amp;" › "&amp;E10</f>
        <v>MS-01 › PP-01 › SP-03 › SP-03.01 › AT-01</v>
      </c>
      <c r="B10" s="7" t="inlineStr">
        <is>
          <t xml:space="preserve">MS-01</t>
        </is>
      </c>
      <c r="C10" s="7" t="inlineStr">
        <is>
          <t xml:space="preserve">PP-01</t>
        </is>
      </c>
      <c r="D10" s="7" t="inlineStr">
        <is>
          <t xml:space="preserve">SP-03.01</t>
        </is>
      </c>
      <c r="E10" s="7" t="inlineStr">
        <is>
          <t xml:space="preserve">AT-01</t>
        </is>
      </c>
      <c r="F10" s="6" t="inlineStr">
        <is>
          <t xml:space="preserve">Aplicar critério de exclusão de valores discrepantes</t>
        </is>
      </c>
      <c r="G10" s="7" t="inlineStr">
        <is>
          <t xml:space="preserve">SP-03.01</t>
        </is>
      </c>
      <c r="H10" s="7">
        <v>1</v>
      </c>
      <c r="J10" s="6" t="inlineStr">
        <is>
          <t xml:space="preserve">A equipe de planejamento aplica o critério estatístico definido para excluir da amostra valores inexequíveis ou excessivamente discrepantes, registrando a justificativa.</t>
        </is>
      </c>
      <c r="K10" s="6" t="inlineStr">
        <is>
          <t xml:space="preserve">Amostra de preços coletados</t>
        </is>
      </c>
      <c r="L10" s="6" t="inlineStr">
        <is>
          <t xml:space="preserve">Amostra tratada; Justificativa de exclusão</t>
        </is>
      </c>
      <c r="M10" s="6" t="inlineStr">
        <is>
          <t xml:space="preserve">Planilha padrão</t>
        </is>
      </c>
    </row>
    <row r="11">
      <c r="A11" s="8" t="str">
        <f>=B11&amp;" › "&amp;C11&amp;IF(D11="","","  › "&amp;D11)&amp;" › "&amp;E11</f>
        <v>MS-01 › PP-02 › SP-01 › AT-01</v>
      </c>
      <c r="B11" s="4" t="inlineStr">
        <is>
          <t xml:space="preserve">MS-01</t>
        </is>
      </c>
      <c r="C11" s="4" t="inlineStr">
        <is>
          <t xml:space="preserve">PP-02</t>
        </is>
      </c>
      <c r="D11" s="4" t="inlineStr">
        <is>
          <t xml:space="preserve">SP-01</t>
        </is>
      </c>
      <c r="E11" s="4" t="inlineStr">
        <is>
          <t xml:space="preserve">AT-01</t>
        </is>
      </c>
      <c r="F11" s="3" t="inlineStr">
        <is>
          <t xml:space="preserve">Publicar o edital</t>
        </is>
      </c>
      <c r="G11" s="4" t="inlineStr">
        <is>
          <t xml:space="preserve">SP-01</t>
        </is>
      </c>
      <c r="H11" s="4">
        <v>1</v>
      </c>
      <c r="I11" s="4" t="inlineStr">
        <is>
          <t xml:space="preserve">Transferência</t>
        </is>
      </c>
      <c r="J11" s="3" t="inlineStr">
        <is>
          <t xml:space="preserve">A área responsável publica o edital aprovado e o parecer jurídico no Compras.gov.br e no PNCP, abrindo o certame.</t>
        </is>
      </c>
      <c r="K11" s="3" t="inlineStr">
        <is>
          <t xml:space="preserve">Edital aprovado; Parecer jurídico</t>
        </is>
      </c>
      <c r="L11" s="3" t="inlineStr">
        <is>
          <t xml:space="preserve">Edital publicado (PNCP)</t>
        </is>
      </c>
      <c r="M11" s="3" t="inlineStr">
        <is>
          <t xml:space="preserve">Compras.gov.br; PNCP</t>
        </is>
      </c>
    </row>
    <row r="12">
      <c r="A12" s="8" t="str">
        <f>=B12&amp;" › "&amp;C12&amp;IF(D12="","","  › "&amp;D12)&amp;" › "&amp;E12</f>
        <v>MS-01 › PP-02 › SP-01 › AT-02</v>
      </c>
      <c r="B12" s="7" t="inlineStr">
        <is>
          <t xml:space="preserve">MS-01</t>
        </is>
      </c>
      <c r="C12" s="7" t="inlineStr">
        <is>
          <t xml:space="preserve">PP-02</t>
        </is>
      </c>
      <c r="D12" s="7" t="inlineStr">
        <is>
          <t xml:space="preserve">SP-01</t>
        </is>
      </c>
      <c r="E12" s="7" t="inlineStr">
        <is>
          <t xml:space="preserve">AT-02</t>
        </is>
      </c>
      <c r="F12" s="6" t="inlineStr">
        <is>
          <t xml:space="preserve">Conduzir a sessão e julgar propostas</t>
        </is>
      </c>
      <c r="G12" s="7" t="inlineStr">
        <is>
          <t xml:space="preserve">SP-01</t>
        </is>
      </c>
      <c r="H12" s="7">
        <v>2</v>
      </c>
      <c r="J12" s="6" t="inlineStr">
        <is>
          <t xml:space="preserve">O agente de contratação conduz a sessão pública, analisa as propostas recebidas e registra o resultado do julgamento em ata.</t>
        </is>
      </c>
      <c r="K12" s="6" t="inlineStr">
        <is>
          <t xml:space="preserve">Edital publicado; Propostas</t>
        </is>
      </c>
      <c r="L12" s="6" t="inlineStr">
        <is>
          <t xml:space="preserve">Ata da sessão; Resultado do julgamento</t>
        </is>
      </c>
      <c r="M12" s="6" t="inlineStr">
        <is>
          <t xml:space="preserve">Compras.gov.br</t>
        </is>
      </c>
    </row>
    <row r="13">
      <c r="A13" s="8" t="str">
        <f>=B13&amp;" › "&amp;C13&amp;IF(D13="","","  › "&amp;D13)&amp;" › "&amp;E13</f>
        <v>MF-02 › PP-01 › SP-01 › AT-01</v>
      </c>
      <c r="B13" s="4" t="inlineStr">
        <is>
          <t xml:space="preserve">MF-02</t>
        </is>
      </c>
      <c r="C13" s="4" t="inlineStr">
        <is>
          <t xml:space="preserve">PP-01</t>
        </is>
      </c>
      <c r="D13" s="4" t="inlineStr">
        <is>
          <t xml:space="preserve">SP-01</t>
        </is>
      </c>
      <c r="E13" s="4" t="inlineStr">
        <is>
          <t xml:space="preserve">AT-01</t>
        </is>
      </c>
      <c r="F13" s="3" t="inlineStr">
        <is>
          <t xml:space="preserve">Programar a distribuição hídrica</t>
        </is>
      </c>
      <c r="G13" s="4" t="inlineStr">
        <is>
          <t xml:space="preserve">SP-01</t>
        </is>
      </c>
      <c r="H13" s="4">
        <v>1</v>
      </c>
      <c r="I13" s="4" t="inlineStr">
        <is>
          <t xml:space="preserve">Agregação de Valor</t>
        </is>
      </c>
      <c r="J13" s="3" t="inlineStr">
        <is>
          <t xml:space="preserve">A equipe de operação do perímetro programa semanalmente a distribuição de água com base no plano de cultivo e na disponibilidade hídrica.</t>
        </is>
      </c>
      <c r="K13" s="3" t="inlineStr">
        <is>
          <t xml:space="preserve">Plano de cultivo; Disponibilidade hídrica</t>
        </is>
      </c>
      <c r="L13" s="3" t="inlineStr">
        <is>
          <t xml:space="preserve">Programação semanal aprovada</t>
        </is>
      </c>
      <c r="M13" s="3" t="inlineStr">
        <is>
          <t xml:space="preserve">SIG-Irrigação (fictício)</t>
        </is>
      </c>
    </row>
    <row r="14">
      <c r="A14" s="8" t="str">
        <f>=B14&amp;" › "&amp;C14&amp;IF(D14="","","  › "&amp;D14)&amp;" › "&amp;E14</f>
        <v>MF-02 › PP-01 › SP-01 › AT-02</v>
      </c>
      <c r="B14" s="7" t="inlineStr">
        <is>
          <t xml:space="preserve">MF-02</t>
        </is>
      </c>
      <c r="C14" s="7" t="inlineStr">
        <is>
          <t xml:space="preserve">PP-01</t>
        </is>
      </c>
      <c r="D14" s="7" t="inlineStr">
        <is>
          <t xml:space="preserve">SP-01</t>
        </is>
      </c>
      <c r="E14" s="7" t="inlineStr">
        <is>
          <t xml:space="preserve">AT-02</t>
        </is>
      </c>
      <c r="F14" s="6" t="inlineStr">
        <is>
          <t xml:space="preserve">Operar e registrar a distribuição</t>
        </is>
      </c>
      <c r="G14" s="7" t="inlineStr">
        <is>
          <t xml:space="preserve">SP-01</t>
        </is>
      </c>
      <c r="H14" s="7">
        <v>2</v>
      </c>
      <c r="I14" s="7" t="inlineStr">
        <is>
          <t xml:space="preserve">Agregação de Valor</t>
        </is>
      </c>
      <c r="J14" s="6" t="inlineStr">
        <is>
          <t xml:space="preserve">A equipe de operação executa a distribuição programada e registra volumes e ocorrências no sistema de gestão da irrigação.</t>
        </is>
      </c>
      <c r="K14" s="6" t="inlineStr">
        <is>
          <t xml:space="preserve">Programação semanal</t>
        </is>
      </c>
      <c r="L14" s="6" t="inlineStr">
        <is>
          <t xml:space="preserve">Volumes registrados; Ocorrências</t>
        </is>
      </c>
      <c r="M14" s="6" t="inlineStr">
        <is>
          <t xml:space="preserve">SIG-Irrigação (fictício)</t>
        </is>
      </c>
    </row>
    <row r="15">
      <c r="A15" s="8" t="str">
        <f>=B15&amp;" › "&amp;C15&amp;IF(D15="","","  › "&amp;D15)&amp;" › "&amp;E15</f>
        <v>MS-01 › PP-03 › AT-01</v>
      </c>
      <c r="B15" s="4" t="inlineStr">
        <is>
          <t xml:space="preserve">MS-01</t>
        </is>
      </c>
      <c r="C15" s="4" t="inlineStr">
        <is>
          <t xml:space="preserve">PP-03</t>
        </is>
      </c>
      <c r="E15" s="4" t="inlineStr">
        <is>
          <t xml:space="preserve">AT-01</t>
        </is>
      </c>
      <c r="F15" s="3" t="inlineStr">
        <is>
          <t xml:space="preserve">Designar fiscais e gestor do contrato</t>
        </is>
      </c>
      <c r="G15" s="4" t="inlineStr">
        <is>
          <t xml:space="preserve">PP-03</t>
        </is>
      </c>
      <c r="H15" s="4">
        <v>1</v>
      </c>
      <c r="I15" s="4" t="inlineStr">
        <is>
          <t xml:space="preserve">Controle</t>
        </is>
      </c>
      <c r="J15" s="3" t="inlineStr">
        <is>
          <t xml:space="preserve">Formalizar a designação do fiscal técnico, do fiscal administrativo e do gestor do contrato, com ciência dos designados.</t>
        </is>
      </c>
      <c r="K15" s="3" t="inlineStr">
        <is>
          <t xml:space="preserve">Contrato assinado; Minuta de portaria de designação</t>
        </is>
      </c>
      <c r="L15" s="3" t="inlineStr">
        <is>
          <t xml:space="preserve">Portaria de designação publicada</t>
        </is>
      </c>
      <c r="M15" s="3" t="inlineStr">
        <is>
          <t xml:space="preserve">e-Codevasf</t>
        </is>
      </c>
    </row>
    <row r="16">
      <c r="A16" s="8" t="str">
        <f>=B16&amp;" › "&amp;C16&amp;IF(D16="","","  › "&amp;D16)&amp;" › "&amp;E16</f>
        <v>MS-01 › PP-03 › AT-02</v>
      </c>
      <c r="B16" s="7" t="inlineStr">
        <is>
          <t xml:space="preserve">MS-01</t>
        </is>
      </c>
      <c r="C16" s="7" t="inlineStr">
        <is>
          <t xml:space="preserve">PP-03</t>
        </is>
      </c>
      <c r="E16" s="7" t="inlineStr">
        <is>
          <t xml:space="preserve">AT-02</t>
        </is>
      </c>
      <c r="F16" s="6" t="inlineStr">
        <is>
          <t xml:space="preserve">Registrar medição e atestar a execução</t>
        </is>
      </c>
      <c r="G16" s="7" t="inlineStr">
        <is>
          <t xml:space="preserve">PP-03</t>
        </is>
      </c>
      <c r="H16" s="7">
        <v>2</v>
      </c>
      <c r="I16" s="7" t="inlineStr">
        <is>
          <t xml:space="preserve">Agregação de Valor</t>
        </is>
      </c>
      <c r="J16" s="6" t="inlineStr">
        <is>
          <t xml:space="preserve">Conferir o objeto entregue no período, registrar a medição e atestar a nota fiscal para pagamento.</t>
        </is>
      </c>
      <c r="K16" s="6" t="inlineStr">
        <is>
          <t xml:space="preserve">Relatório de execução; Nota fiscal</t>
        </is>
      </c>
      <c r="L16" s="6" t="inlineStr">
        <is>
          <t xml:space="preserve">Medição registrada; Nota fiscal atestada</t>
        </is>
      </c>
      <c r="M16" s="6" t="inlineStr">
        <is>
          <t xml:space="preserve">e-Codevasf</t>
        </is>
      </c>
    </row>
  </sheetData>
  <autoFilter ref="A1:M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I2:I300">
      <formula1>Listas!$I$2:$I$4</formula1>
    </dataValidation>
  </dataValidations>
</worksheet>
</file>

<file path=xl/worksheets/sheet7.xml><?xml version="1.0" encoding="utf-8"?>
<worksheet xmlns="http://schemas.openxmlformats.org/spreadsheetml/2006/main">
  <sheetPr>
    <tabColor rgb="FF0040B4"/>
  </sheetPr>
  <dimension ref="A1:K14"/>
  <sheetViews>
    <sheetView workbookViewId="0" zoomScale="90">
      <pane ySplit="1" topLeftCell="A2" activePane="bottomLeft" state="frozen"/>
      <selection pane="bottomLeft"/>
    </sheetView>
  </sheetViews>
  <cols>
    <col min="1" max="1" width="40" customWidth="1"/>
    <col min="2" max="2" width="13" customWidth="1"/>
    <col min="3" max="3" width="10" customWidth="1"/>
    <col min="4" max="4" width="10" customWidth="1"/>
    <col min="5" max="5" width="9" customWidth="1"/>
    <col min="6" max="6" width="9" customWidth="1"/>
    <col min="7" max="7" width="34" customWidth="1"/>
    <col min="8" max="8" width="7" customWidth="1"/>
    <col min="9" max="9" width="15" customWidth="1"/>
    <col min="10" max="10" width="13" customWidth="1"/>
    <col min="11" max="11" width="26" customWidth="1"/>
  </cols>
  <sheetData>
    <row r="1">
      <c r="A1" s="1" t="inlineStr">
        <is>
          <t xml:space="preserve">Trilha</t>
        </is>
      </c>
      <c r="B1" s="1" t="inlineStr">
        <is>
          <t xml:space="preserve">Macroprocesso</t>
        </is>
      </c>
      <c r="C1" s="1" t="inlineStr">
        <is>
          <t xml:space="preserve">Processo</t>
        </is>
      </c>
      <c r="D1" s="1" t="inlineStr">
        <is>
          <t xml:space="preserve">Subprocesso</t>
        </is>
      </c>
      <c r="E1" s="1" t="inlineStr">
        <is>
          <t xml:space="preserve">Atividade</t>
        </is>
      </c>
      <c r="F1" s="1" t="inlineStr">
        <is>
          <t xml:space="preserve">Codigo</t>
        </is>
      </c>
      <c r="G1" s="1" t="inlineStr">
        <is>
          <t xml:space="preserve">Nome</t>
        </is>
      </c>
      <c r="H1" s="1" t="inlineStr">
        <is>
          <t xml:space="preserve">Ordem</t>
        </is>
      </c>
      <c r="I1" s="1" t="inlineStr">
        <is>
          <t xml:space="preserve">Tipo_Tarefa</t>
        </is>
      </c>
      <c r="J1" s="1" t="inlineStr">
        <is>
          <t xml:space="preserve">Duracao_Estimada</t>
        </is>
      </c>
      <c r="K1" s="1" t="inlineStr">
        <is>
          <t xml:space="preserve">Observacoes</t>
        </is>
      </c>
    </row>
    <row r="2">
      <c r="A2" s="8" t="str">
        <f>=B2&amp;" › "&amp;C2&amp;IF(D2="","","  › "&amp;D2)&amp;" › "&amp;E2&amp;" › "&amp;F2</f>
        <v>MS-01 › PP-01 › SP-01 › AT-01 › TR-01</v>
      </c>
      <c r="B2" s="7" t="inlineStr">
        <is>
          <t xml:space="preserve">MS-01</t>
        </is>
      </c>
      <c r="C2" s="7" t="inlineStr">
        <is>
          <t xml:space="preserve">PP-01</t>
        </is>
      </c>
      <c r="D2" s="7" t="inlineStr">
        <is>
          <t xml:space="preserve">SP-01</t>
        </is>
      </c>
      <c r="E2" s="7" t="inlineStr">
        <is>
          <t xml:space="preserve">AT-01</t>
        </is>
      </c>
      <c r="F2" s="7" t="inlineStr">
        <is>
          <t xml:space="preserve">TR-01</t>
        </is>
      </c>
      <c r="G2" s="6" t="inlineStr">
        <is>
          <t xml:space="preserve">Reunir informações da demanda</t>
        </is>
      </c>
      <c r="H2" s="7">
        <v>1</v>
      </c>
      <c r="I2" s="7" t="inlineStr">
        <is>
          <t xml:space="preserve">Manual</t>
        </is>
      </c>
      <c r="J2" s="7">
        <v>4</v>
      </c>
    </row>
    <row r="3">
      <c r="A3" s="8" t="str">
        <f>=B3&amp;" › "&amp;C3&amp;IF(D3="","","  › "&amp;D3)&amp;" › "&amp;E3&amp;" › "&amp;F3</f>
        <v>MS-01 › PP-01 › SP-01 › AT-01 › TR-02</v>
      </c>
      <c r="B3" s="4" t="inlineStr">
        <is>
          <t xml:space="preserve">MS-01</t>
        </is>
      </c>
      <c r="C3" s="4" t="inlineStr">
        <is>
          <t xml:space="preserve">PP-01</t>
        </is>
      </c>
      <c r="D3" s="4" t="inlineStr">
        <is>
          <t xml:space="preserve">SP-01</t>
        </is>
      </c>
      <c r="E3" s="4" t="inlineStr">
        <is>
          <t xml:space="preserve">AT-01</t>
        </is>
      </c>
      <c r="F3" s="4" t="inlineStr">
        <is>
          <t xml:space="preserve">TR-02</t>
        </is>
      </c>
      <c r="G3" s="3" t="inlineStr">
        <is>
          <t xml:space="preserve">Preencher o formulário DFD no e-Codevasf</t>
        </is>
      </c>
      <c r="H3" s="4">
        <v>2</v>
      </c>
      <c r="I3" s="4" t="inlineStr">
        <is>
          <t xml:space="preserve">Manual</t>
        </is>
      </c>
      <c r="J3" s="4">
        <v>4</v>
      </c>
      <c r="K3" s="3" t="inlineStr">
        <is>
          <t xml:space="preserve">Modelo DOC-006/DOC-012.</t>
        </is>
      </c>
    </row>
    <row r="4">
      <c r="A4" s="8" t="str">
        <f>=B4&amp;" › "&amp;C4&amp;IF(D4="","","  › "&amp;D4)&amp;" › "&amp;E4&amp;" › "&amp;F4</f>
        <v>MS-01 › PP-01 › SP-01 › AT-01 › TR-03</v>
      </c>
      <c r="B4" s="7" t="inlineStr">
        <is>
          <t xml:space="preserve">MS-01</t>
        </is>
      </c>
      <c r="C4" s="7" t="inlineStr">
        <is>
          <t xml:space="preserve">PP-01</t>
        </is>
      </c>
      <c r="D4" s="7" t="inlineStr">
        <is>
          <t xml:space="preserve">SP-01</t>
        </is>
      </c>
      <c r="E4" s="7" t="inlineStr">
        <is>
          <t xml:space="preserve">AT-01</t>
        </is>
      </c>
      <c r="F4" s="7" t="inlineStr">
        <is>
          <t xml:space="preserve">TR-03</t>
        </is>
      </c>
      <c r="G4" s="6" t="inlineStr">
        <is>
          <t xml:space="preserve">Colher assinatura eletrônica do gestor</t>
        </is>
      </c>
      <c r="H4" s="7">
        <v>3</v>
      </c>
      <c r="I4" s="7" t="inlineStr">
        <is>
          <t xml:space="preserve">Manual</t>
        </is>
      </c>
      <c r="J4" s="7">
        <v>8</v>
      </c>
    </row>
    <row r="5">
      <c r="A5" s="8" t="str">
        <f>=B5&amp;" › "&amp;C5&amp;IF(D5="","","  › "&amp;D5)&amp;" › "&amp;E5&amp;" › "&amp;F5</f>
        <v>MS-01 › PP-01 › SP-03 › AT-01 › TR-01</v>
      </c>
      <c r="B5" s="4" t="inlineStr">
        <is>
          <t xml:space="preserve">MS-01</t>
        </is>
      </c>
      <c r="C5" s="4" t="inlineStr">
        <is>
          <t xml:space="preserve">PP-01</t>
        </is>
      </c>
      <c r="D5" s="4" t="inlineStr">
        <is>
          <t xml:space="preserve">SP-03</t>
        </is>
      </c>
      <c r="E5" s="4" t="inlineStr">
        <is>
          <t xml:space="preserve">AT-01</t>
        </is>
      </c>
      <c r="F5" s="4" t="inlineStr">
        <is>
          <t xml:space="preserve">TR-01</t>
        </is>
      </c>
      <c r="G5" s="3" t="inlineStr">
        <is>
          <t xml:space="preserve">Consultar o Painel de Preços</t>
        </is>
      </c>
      <c r="H5" s="4">
        <v>1</v>
      </c>
      <c r="I5" s="4" t="inlineStr">
        <is>
          <t xml:space="preserve">Manual</t>
        </is>
      </c>
      <c r="J5" s="4">
        <v>4</v>
      </c>
    </row>
    <row r="6">
      <c r="A6" s="8" t="str">
        <f>=B6&amp;" › "&amp;C6&amp;IF(D6="","","  › "&amp;D6)&amp;" › "&amp;E6&amp;" › "&amp;F6</f>
        <v>MS-01 › PP-01 › SP-03 › AT-01 › TR-02</v>
      </c>
      <c r="B6" s="7" t="inlineStr">
        <is>
          <t xml:space="preserve">MS-01</t>
        </is>
      </c>
      <c r="C6" s="7" t="inlineStr">
        <is>
          <t xml:space="preserve">PP-01</t>
        </is>
      </c>
      <c r="D6" s="7" t="inlineStr">
        <is>
          <t xml:space="preserve">SP-03</t>
        </is>
      </c>
      <c r="E6" s="7" t="inlineStr">
        <is>
          <t xml:space="preserve">AT-01</t>
        </is>
      </c>
      <c r="F6" s="7" t="inlineStr">
        <is>
          <t xml:space="preserve">TR-02</t>
        </is>
      </c>
      <c r="G6" s="6" t="inlineStr">
        <is>
          <t xml:space="preserve">Consultar contratações no PNCP</t>
        </is>
      </c>
      <c r="H6" s="7">
        <v>2</v>
      </c>
      <c r="I6" s="7" t="inlineStr">
        <is>
          <t xml:space="preserve">Manual</t>
        </is>
      </c>
      <c r="J6" s="7">
        <v>4</v>
      </c>
    </row>
    <row r="7">
      <c r="A7" s="8" t="str">
        <f>=B7&amp;" › "&amp;C7&amp;IF(D7="","","  › "&amp;D7)&amp;" › "&amp;E7&amp;" › "&amp;F7</f>
        <v>MS-01 › PP-01 › SP-03 › AT-01 › TR-03</v>
      </c>
      <c r="B7" s="4" t="inlineStr">
        <is>
          <t xml:space="preserve">MS-01</t>
        </is>
      </c>
      <c r="C7" s="4" t="inlineStr">
        <is>
          <t xml:space="preserve">PP-01</t>
        </is>
      </c>
      <c r="D7" s="4" t="inlineStr">
        <is>
          <t xml:space="preserve">SP-03</t>
        </is>
      </c>
      <c r="E7" s="4" t="inlineStr">
        <is>
          <t xml:space="preserve">AT-01</t>
        </is>
      </c>
      <c r="F7" s="4" t="inlineStr">
        <is>
          <t xml:space="preserve">TR-03</t>
        </is>
      </c>
      <c r="G7" s="3" t="inlineStr">
        <is>
          <t xml:space="preserve">Registrar cotações de fornecedores</t>
        </is>
      </c>
      <c r="H7" s="4">
        <v>3</v>
      </c>
      <c r="I7" s="4" t="inlineStr">
        <is>
          <t xml:space="preserve">Manual</t>
        </is>
      </c>
      <c r="J7" s="4">
        <v>24</v>
      </c>
      <c r="K7" s="3" t="inlineStr">
        <is>
          <t xml:space="preserve">Mínimo de 3 fontes (IN 65/2021).</t>
        </is>
      </c>
    </row>
    <row r="8">
      <c r="A8" s="8" t="str">
        <f>=B8&amp;" › "&amp;C8&amp;IF(D8="","","  › "&amp;D8)&amp;" › "&amp;E8&amp;" › "&amp;F8</f>
        <v>MS-01 › PP-01 › SP-03 › AT-01 › TR-04</v>
      </c>
      <c r="B8" s="7" t="inlineStr">
        <is>
          <t xml:space="preserve">MS-01</t>
        </is>
      </c>
      <c r="C8" s="7" t="inlineStr">
        <is>
          <t xml:space="preserve">PP-01</t>
        </is>
      </c>
      <c r="D8" s="7" t="inlineStr">
        <is>
          <t xml:space="preserve">SP-03</t>
        </is>
      </c>
      <c r="E8" s="7" t="inlineStr">
        <is>
          <t xml:space="preserve">AT-01</t>
        </is>
      </c>
      <c r="F8" s="7" t="inlineStr">
        <is>
          <t xml:space="preserve">TR-04</t>
        </is>
      </c>
      <c r="G8" s="6" t="inlineStr">
        <is>
          <t xml:space="preserve">Aplicar tratamento estatístico</t>
        </is>
      </c>
      <c r="H8" s="7">
        <v>4</v>
      </c>
      <c r="I8" s="7" t="inlineStr">
        <is>
          <t xml:space="preserve">Regra de negócio</t>
        </is>
      </c>
      <c r="J8" s="7">
        <v>4</v>
      </c>
    </row>
    <row r="9">
      <c r="A9" s="8" t="str">
        <f>=B9&amp;" › "&amp;C9&amp;IF(D9="","","  › "&amp;D9)&amp;" › "&amp;E9&amp;" › "&amp;F9</f>
        <v>MS-01 › PP-02 › SP-01 › AT-01 › TR-01</v>
      </c>
      <c r="B9" s="4" t="inlineStr">
        <is>
          <t xml:space="preserve">MS-01</t>
        </is>
      </c>
      <c r="C9" s="4" t="inlineStr">
        <is>
          <t xml:space="preserve">PP-02</t>
        </is>
      </c>
      <c r="D9" s="4" t="inlineStr">
        <is>
          <t xml:space="preserve">SP-01</t>
        </is>
      </c>
      <c r="E9" s="4" t="inlineStr">
        <is>
          <t xml:space="preserve">AT-01</t>
        </is>
      </c>
      <c r="F9" s="4" t="inlineStr">
        <is>
          <t xml:space="preserve">TR-01</t>
        </is>
      </c>
      <c r="G9" s="3" t="inlineStr">
        <is>
          <t xml:space="preserve">Cadastrar o edital no Compras.gov.br</t>
        </is>
      </c>
      <c r="H9" s="4">
        <v>1</v>
      </c>
      <c r="I9" s="4" t="inlineStr">
        <is>
          <t xml:space="preserve">Manual</t>
        </is>
      </c>
      <c r="J9" s="4">
        <v>4</v>
      </c>
    </row>
    <row r="10">
      <c r="A10" s="8" t="str">
        <f>=B10&amp;" › "&amp;C10&amp;IF(D10="","","  › "&amp;D10)&amp;" › "&amp;E10&amp;" › "&amp;F10</f>
        <v>MS-01 › PP-02 › SP-01 › AT-01 › TR-02</v>
      </c>
      <c r="B10" s="7" t="inlineStr">
        <is>
          <t xml:space="preserve">MS-01</t>
        </is>
      </c>
      <c r="C10" s="7" t="inlineStr">
        <is>
          <t xml:space="preserve">PP-02</t>
        </is>
      </c>
      <c r="D10" s="7" t="inlineStr">
        <is>
          <t xml:space="preserve">SP-01</t>
        </is>
      </c>
      <c r="E10" s="7" t="inlineStr">
        <is>
          <t xml:space="preserve">AT-01</t>
        </is>
      </c>
      <c r="F10" s="7" t="inlineStr">
        <is>
          <t xml:space="preserve">TR-02</t>
        </is>
      </c>
      <c r="G10" s="6" t="inlineStr">
        <is>
          <t xml:space="preserve">Publicar o aviso no PNCP</t>
        </is>
      </c>
      <c r="H10" s="7">
        <v>2</v>
      </c>
      <c r="I10" s="7" t="inlineStr">
        <is>
          <t xml:space="preserve">Automatizada</t>
        </is>
      </c>
      <c r="J10" s="7">
        <v>0</v>
      </c>
    </row>
    <row r="11">
      <c r="A11" s="8" t="str">
        <f>=B11&amp;" › "&amp;C11&amp;IF(D11="","","  › "&amp;D11)&amp;" › "&amp;E11&amp;" › "&amp;F11</f>
        <v>MF-02 › PP-01 › SP-01 › AT-01 › TR-01</v>
      </c>
      <c r="B11" s="4" t="inlineStr">
        <is>
          <t xml:space="preserve">MF-02</t>
        </is>
      </c>
      <c r="C11" s="4" t="inlineStr">
        <is>
          <t xml:space="preserve">PP-01</t>
        </is>
      </c>
      <c r="D11" s="4" t="inlineStr">
        <is>
          <t xml:space="preserve">SP-01</t>
        </is>
      </c>
      <c r="E11" s="4" t="inlineStr">
        <is>
          <t xml:space="preserve">AT-01</t>
        </is>
      </c>
      <c r="F11" s="4" t="inlineStr">
        <is>
          <t xml:space="preserve">TR-01</t>
        </is>
      </c>
      <c r="G11" s="3" t="inlineStr">
        <is>
          <t xml:space="preserve">Consolidar demandas semanais dos lotes</t>
        </is>
      </c>
      <c r="H11" s="4">
        <v>1</v>
      </c>
      <c r="I11" s="4" t="inlineStr">
        <is>
          <t xml:space="preserve">Manual</t>
        </is>
      </c>
      <c r="J11" s="4">
        <v>8</v>
      </c>
    </row>
    <row r="12">
      <c r="A12" s="8" t="str">
        <f>=B12&amp;" › "&amp;C12&amp;IF(D12="","","  › "&amp;D12)&amp;" › "&amp;E12&amp;" › "&amp;F12</f>
        <v>MS-01 › PP-03 › AT-02 › TR-01</v>
      </c>
      <c r="B12" s="7" t="inlineStr">
        <is>
          <t xml:space="preserve">MS-01</t>
        </is>
      </c>
      <c r="C12" s="7" t="inlineStr">
        <is>
          <t xml:space="preserve">PP-03</t>
        </is>
      </c>
      <c r="E12" s="7" t="inlineStr">
        <is>
          <t xml:space="preserve">AT-02</t>
        </is>
      </c>
      <c r="F12" s="7" t="inlineStr">
        <is>
          <t xml:space="preserve">TR-01</t>
        </is>
      </c>
      <c r="G12" s="6" t="inlineStr">
        <is>
          <t xml:space="preserve">Conferir o objeto entregue</t>
        </is>
      </c>
      <c r="H12" s="7">
        <v>1</v>
      </c>
      <c r="I12" s="7" t="inlineStr">
        <is>
          <t xml:space="preserve">Manual</t>
        </is>
      </c>
      <c r="J12" s="7">
        <v>8</v>
      </c>
    </row>
    <row r="13">
      <c r="A13" s="8" t="str">
        <f>=B13&amp;" › "&amp;C13&amp;IF(D13="","","  › "&amp;D13)&amp;" › "&amp;E13&amp;" › "&amp;F13</f>
        <v>MS-01 › PP-03 › AT-02 › TR-02</v>
      </c>
      <c r="B13" s="4" t="inlineStr">
        <is>
          <t xml:space="preserve">MS-01</t>
        </is>
      </c>
      <c r="C13" s="4" t="inlineStr">
        <is>
          <t xml:space="preserve">PP-03</t>
        </is>
      </c>
      <c r="E13" s="4" t="inlineStr">
        <is>
          <t xml:space="preserve">AT-02</t>
        </is>
      </c>
      <c r="F13" s="4" t="inlineStr">
        <is>
          <t xml:space="preserve">TR-02</t>
        </is>
      </c>
      <c r="G13" s="3" t="inlineStr">
        <is>
          <t xml:space="preserve">Registrar a medição no processo</t>
        </is>
      </c>
      <c r="H13" s="4">
        <v>2</v>
      </c>
      <c r="I13" s="4" t="inlineStr">
        <is>
          <t xml:space="preserve">Manual</t>
        </is>
      </c>
      <c r="J13" s="4">
        <v>4</v>
      </c>
    </row>
    <row r="14">
      <c r="A14" s="8" t="str">
        <f>=B14&amp;" › "&amp;C14&amp;IF(D14="","","  › "&amp;D14)&amp;" › "&amp;E14&amp;" › "&amp;F14</f>
        <v>MS-01 › PP-03 › AT-02 › TR-03</v>
      </c>
      <c r="B14" s="7" t="inlineStr">
        <is>
          <t xml:space="preserve">MS-01</t>
        </is>
      </c>
      <c r="C14" s="7" t="inlineStr">
        <is>
          <t xml:space="preserve">PP-03</t>
        </is>
      </c>
      <c r="E14" s="7" t="inlineStr">
        <is>
          <t xml:space="preserve">AT-02</t>
        </is>
      </c>
      <c r="F14" s="7" t="inlineStr">
        <is>
          <t xml:space="preserve">TR-03</t>
        </is>
      </c>
      <c r="G14" s="6" t="inlineStr">
        <is>
          <t xml:space="preserve">Atestar a nota fiscal</t>
        </is>
      </c>
      <c r="H14" s="7">
        <v>3</v>
      </c>
      <c r="I14" s="7" t="inlineStr">
        <is>
          <t xml:space="preserve">Manual</t>
        </is>
      </c>
      <c r="J14" s="7">
        <v>4</v>
      </c>
      <c r="K14" s="6" t="inlineStr">
        <is>
          <t xml:space="preserve">O prazo de pagamento conta a partir do ateste.</t>
        </is>
      </c>
    </row>
  </sheetData>
  <autoFilter ref="A1:K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I2:I300">
      <formula1>Listas!$J$2:$J$4</formula1>
    </dataValidation>
  </dataValidations>
</worksheet>
</file>

<file path=xl/worksheets/sheet8.xml><?xml version="1.0" encoding="utf-8"?>
<worksheet xmlns="http://schemas.openxmlformats.org/spreadsheetml/2006/main">
  <sheetPr>
    <tabColor rgb="FF168821"/>
  </sheetPr>
  <dimension ref="A1:K23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48" customWidth="1"/>
    <col min="3" max="3" width="22" customWidth="1"/>
    <col min="4" max="4" width="14" customWidth="1"/>
    <col min="5" max="5" width="20" customWidth="1"/>
    <col min="6" max="6" width="8" customWidth="1"/>
    <col min="7" max="7" width="12" customWidth="1"/>
    <col min="8" max="8" width="14" customWidth="1"/>
    <col min="9" max="9" width="30" customWidth="1"/>
    <col min="10" max="10" width="44" customWidth="1"/>
    <col min="11" max="11" width="28" customWidth="1"/>
  </cols>
  <sheetData>
    <row r="1">
      <c r="A1" s="1" t="inlineStr">
        <is>
          <t xml:space="preserve">ID</t>
        </is>
      </c>
      <c r="B1" s="1" t="inlineStr">
        <is>
          <t xml:space="preserve">Titulo</t>
        </is>
      </c>
      <c r="C1" s="1" t="inlineStr">
        <is>
          <t xml:space="preserve">Tipo_Documento</t>
        </is>
      </c>
      <c r="D1" s="1" t="inlineStr">
        <is>
          <t xml:space="preserve">Vinculo_Nivel</t>
        </is>
      </c>
      <c r="E1" s="1" t="inlineStr">
        <is>
          <t xml:space="preserve">Vinculo_Codigo</t>
        </is>
      </c>
      <c r="F1" s="1" t="inlineStr">
        <is>
          <t xml:space="preserve">Versao</t>
        </is>
      </c>
      <c r="G1" s="1" t="inlineStr">
        <is>
          <t xml:space="preserve">Data</t>
        </is>
      </c>
      <c r="H1" s="1" t="inlineStr">
        <is>
          <t xml:space="preserve">Situacao</t>
        </is>
      </c>
      <c r="I1" s="1" t="inlineStr">
        <is>
          <t xml:space="preserve">Ato_Aprovacao</t>
        </is>
      </c>
      <c r="J1" s="1" t="inlineStr">
        <is>
          <t xml:space="preserve">Link</t>
        </is>
      </c>
      <c r="K1" s="1" t="inlineStr">
        <is>
          <t xml:space="preserve">Observacoes</t>
        </is>
      </c>
    </row>
    <row r="2">
      <c r="A2" s="7" t="inlineStr">
        <is>
          <t xml:space="preserve">DOC-001</t>
        </is>
      </c>
      <c r="B2" s="6" t="inlineStr">
        <is>
          <t xml:space="preserve">PRO 06.01 — Planejamento da Contratação</t>
        </is>
      </c>
      <c r="C2" s="7" t="inlineStr">
        <is>
          <t xml:space="preserve">Procedimento (PRO)</t>
        </is>
      </c>
      <c r="D2" s="8" t="str">
        <f>=IF(ISNUMBER(SEARCH("TR-",E2)),"Tarefa",IF(ISNUMBER(SEARCH("AT-",E2)),"Atividade",IF(ISNUMBER(SEARCH("SP-",E2)),"Subprocesso",IF(ISNUMBER(SEARCH("PP-",E2)),"Processo",IF(OR(LEFT(E2,2)="MG",LEFT(E2,2)="MF",LEFT(E2,2)="MS"),"Macroprocesso","")))))</f>
        <v>Processo</v>
      </c>
      <c r="E2" s="6" t="inlineStr">
        <is>
          <t xml:space="preserve">MS-01 › PP-01</t>
        </is>
      </c>
      <c r="F2" s="7">
        <v>2</v>
      </c>
      <c r="G2" s="7" t="inlineStr">
        <is>
          <t xml:space="preserve">18/05/2026</t>
        </is>
      </c>
      <c r="H2" s="7" t="inlineStr">
        <is>
          <t xml:space="preserve">Vigente</t>
        </is>
      </c>
      <c r="I2" s="6" t="inlineStr">
        <is>
          <t xml:space="preserve">Resolução nº 812, de 18/05/2026 (Diretoria Executiva)</t>
        </is>
      </c>
      <c r="J2" s="6" t="inlineStr">
        <is>
          <t xml:space="preserve">https://exemplo.codevasf.gov.br/repositorio/pop-06-01.pdf</t>
        </is>
      </c>
      <c r="K2" s="6" t="inlineStr">
        <is>
          <t xml:space="preserve">Publicado após validação do TO-BE.</t>
        </is>
      </c>
    </row>
    <row r="3">
      <c r="A3" s="4" t="inlineStr">
        <is>
          <t xml:space="preserve">DOC-002</t>
        </is>
      </c>
      <c r="B3" s="3" t="inlineStr">
        <is>
          <t xml:space="preserve">Diagrama AS-IS — Planejamento da Contratação (Bizagi)</t>
        </is>
      </c>
      <c r="C3" s="4" t="inlineStr">
        <is>
          <t xml:space="preserve">Diagrama BPMN</t>
        </is>
      </c>
      <c r="D3" s="8" t="str">
        <f>=IF(ISNUMBER(SEARCH("TR-",E3)),"Tarefa",IF(ISNUMBER(SEARCH("AT-",E3)),"Atividade",IF(ISNUMBER(SEARCH("SP-",E3)),"Subprocesso",IF(ISNUMBER(SEARCH("PP-",E3)),"Processo",IF(OR(LEFT(E3,2)="MG",LEFT(E3,2)="MF",LEFT(E3,2)="MS"),"Macroprocesso","")))))</f>
        <v>Processo</v>
      </c>
      <c r="E3" s="3" t="inlineStr">
        <is>
          <t xml:space="preserve">MS-01 › PP-01</t>
        </is>
      </c>
      <c r="F3" s="4">
        <v>1</v>
      </c>
      <c r="G3" s="4" t="inlineStr">
        <is>
          <t xml:space="preserve">02/03/2026</t>
        </is>
      </c>
      <c r="H3" s="4" t="inlineStr">
        <is>
          <t xml:space="preserve">Vigente</t>
        </is>
      </c>
      <c r="J3" s="3" t="inlineStr">
        <is>
          <t xml:space="preserve">https://fluxosti.codevasf.gov.br/incidentes/</t>
        </is>
      </c>
      <c r="K3" s="3" t="inlineStr">
        <is>
          <t xml:space="preserve">Exportado do Bizagi Modeler. Mesmo link da ficha do processo (P-06.01).</t>
        </is>
      </c>
    </row>
    <row r="4">
      <c r="A4" s="7" t="inlineStr">
        <is>
          <t xml:space="preserve">DOC-003</t>
        </is>
      </c>
      <c r="B4" s="6" t="inlineStr">
        <is>
          <t xml:space="preserve">Diagrama TO-BE — Planejamento da Contratação (Bizagi)</t>
        </is>
      </c>
      <c r="C4" s="7" t="inlineStr">
        <is>
          <t xml:space="preserve">Diagrama BPMN</t>
        </is>
      </c>
      <c r="D4" s="8" t="str">
        <f>=IF(ISNUMBER(SEARCH("TR-",E4)),"Tarefa",IF(ISNUMBER(SEARCH("AT-",E4)),"Atividade",IF(ISNUMBER(SEARCH("SP-",E4)),"Subprocesso",IF(ISNUMBER(SEARCH("PP-",E4)),"Processo",IF(OR(LEFT(E4,2)="MG",LEFT(E4,2)="MF",LEFT(E4,2)="MS"),"Macroprocesso","")))))</f>
        <v>Processo</v>
      </c>
      <c r="E4" s="6" t="inlineStr">
        <is>
          <t xml:space="preserve">MS-01 › PP-01</t>
        </is>
      </c>
      <c r="F4" s="7">
        <v>1</v>
      </c>
      <c r="G4" s="7" t="inlineStr">
        <is>
          <t xml:space="preserve">04/05/2026</t>
        </is>
      </c>
      <c r="H4" s="7" t="inlineStr">
        <is>
          <t xml:space="preserve">Vigente</t>
        </is>
      </c>
      <c r="J4" s="6" t="inlineStr">
        <is>
          <t xml:space="preserve">https://exemplo.codevasf.gov.br/repositorio/p-06-01-tobe.pdf</t>
        </is>
      </c>
    </row>
    <row r="5">
      <c r="A5" s="4" t="inlineStr">
        <is>
          <t xml:space="preserve">DOC-004</t>
        </is>
      </c>
      <c r="B5" s="3" t="inlineStr">
        <is>
          <t xml:space="preserve">Ata — Reunião de contextualização com a GLC</t>
        </is>
      </c>
      <c r="C5" s="4" t="inlineStr">
        <is>
          <t xml:space="preserve">Ata de reunião</t>
        </is>
      </c>
      <c r="D5" s="8" t="str">
        <f>=IF(ISNUMBER(SEARCH("TR-",E5)),"Tarefa",IF(ISNUMBER(SEARCH("AT-",E5)),"Atividade",IF(ISNUMBER(SEARCH("SP-",E5)),"Subprocesso",IF(ISNUMBER(SEARCH("PP-",E5)),"Processo",IF(OR(LEFT(E5,2)="MG",LEFT(E5,2)="MF",LEFT(E5,2)="MS"),"Macroprocesso","")))))</f>
        <v>Processo</v>
      </c>
      <c r="E5" s="3" t="inlineStr">
        <is>
          <t xml:space="preserve">MS-01 › PP-01</t>
        </is>
      </c>
      <c r="F5" s="4">
        <v>1</v>
      </c>
      <c r="G5" s="4" t="inlineStr">
        <is>
          <t xml:space="preserve">12/01/2026</t>
        </is>
      </c>
      <c r="H5" s="4" t="inlineStr">
        <is>
          <t xml:space="preserve">Vigente</t>
        </is>
      </c>
      <c r="J5" s="3" t="inlineStr">
        <is>
          <t xml:space="preserve">https://exemplo.codevasf.gov.br/sei/ata-contextualizacao-p0601</t>
        </is>
      </c>
      <c r="K5" s="3" t="inlineStr">
        <is>
          <t xml:space="preserve">e-Codevasf 59500.000123/2026-11.</t>
        </is>
      </c>
    </row>
    <row r="6">
      <c r="A6" s="7" t="inlineStr">
        <is>
          <t xml:space="preserve">DOC-005</t>
        </is>
      </c>
      <c r="B6" s="6" t="inlineStr">
        <is>
          <t xml:space="preserve">Relatório de oportunidades de melhoria (AS-IS → TO-BE)</t>
        </is>
      </c>
      <c r="C6" s="7" t="inlineStr">
        <is>
          <t xml:space="preserve">Relatório</t>
        </is>
      </c>
      <c r="D6" s="8" t="str">
        <f>=IF(ISNUMBER(SEARCH("TR-",E6)),"Tarefa",IF(ISNUMBER(SEARCH("AT-",E6)),"Atividade",IF(ISNUMBER(SEARCH("SP-",E6)),"Subprocesso",IF(ISNUMBER(SEARCH("PP-",E6)),"Processo",IF(OR(LEFT(E6,2)="MG",LEFT(E6,2)="MF",LEFT(E6,2)="MS"),"Macroprocesso","")))))</f>
        <v>Subprocesso</v>
      </c>
      <c r="E6" s="6" t="inlineStr">
        <is>
          <t xml:space="preserve">MS-01 › PP-01; MS-01 › PP-01 › SP-03</t>
        </is>
      </c>
      <c r="F6" s="7">
        <v>1</v>
      </c>
      <c r="G6" s="7" t="inlineStr">
        <is>
          <t xml:space="preserve">13/04/2026</t>
        </is>
      </c>
      <c r="H6" s="7" t="inlineStr">
        <is>
          <t xml:space="preserve">Vigente</t>
        </is>
      </c>
      <c r="J6" s="6" t="inlineStr">
        <is>
          <t xml:space="preserve">https://exemplo.codevasf.gov.br/repositorio/rel-melhorias-p0601.pdf</t>
        </is>
      </c>
    </row>
    <row r="7">
      <c r="A7" s="4" t="inlineStr">
        <is>
          <t xml:space="preserve">DOC-006</t>
        </is>
      </c>
      <c r="B7" s="3" t="inlineStr">
        <is>
          <t xml:space="preserve">Modelo de DFD — Documento de Formalização da Demanda</t>
        </is>
      </c>
      <c r="C7" s="4" t="inlineStr">
        <is>
          <t xml:space="preserve">Formulário/Modelo</t>
        </is>
      </c>
      <c r="D7" s="8" t="str">
        <f>=IF(ISNUMBER(SEARCH("TR-",E7)),"Tarefa",IF(ISNUMBER(SEARCH("AT-",E7)),"Atividade",IF(ISNUMBER(SEARCH("SP-",E7)),"Subprocesso",IF(ISNUMBER(SEARCH("PP-",E7)),"Processo",IF(OR(LEFT(E7,2)="MG",LEFT(E7,2)="MF",LEFT(E7,2)="MS"),"Macroprocesso","")))))</f>
        <v>Subprocesso</v>
      </c>
      <c r="E7" s="3" t="inlineStr">
        <is>
          <t xml:space="preserve">MS-01 › PP-01 › SP-01</t>
        </is>
      </c>
      <c r="F7" s="4">
        <v>3.1</v>
      </c>
      <c r="G7" s="4" t="inlineStr">
        <is>
          <t xml:space="preserve">10/02/2026</t>
        </is>
      </c>
      <c r="H7" s="4" t="inlineStr">
        <is>
          <t xml:space="preserve">Vigente</t>
        </is>
      </c>
      <c r="J7" s="3" t="inlineStr">
        <is>
          <t xml:space="preserve">https://exemplo.codevasf.gov.br/modelos/dfd.docx</t>
        </is>
      </c>
    </row>
    <row r="8">
      <c r="A8" s="7" t="inlineStr">
        <is>
          <t xml:space="preserve">DOC-007</t>
        </is>
      </c>
      <c r="B8" s="6" t="inlineStr">
        <is>
          <t xml:space="preserve">Roteiro de pesquisa de preços (IN SEGES nº 65/2021)</t>
        </is>
      </c>
      <c r="C8" s="7" t="inlineStr">
        <is>
          <t xml:space="preserve">Procedimento (PRO)</t>
        </is>
      </c>
      <c r="D8" s="8" t="str">
        <f>=IF(ISNUMBER(SEARCH("TR-",E8)),"Tarefa",IF(ISNUMBER(SEARCH("AT-",E8)),"Atividade",IF(ISNUMBER(SEARCH("SP-",E8)),"Subprocesso",IF(ISNUMBER(SEARCH("PP-",E8)),"Processo",IF(OR(LEFT(E8,2)="MG",LEFT(E8,2)="MF",LEFT(E8,2)="MS"),"Macroprocesso","")))))</f>
        <v>Subprocesso</v>
      </c>
      <c r="E8" s="6" t="inlineStr">
        <is>
          <t xml:space="preserve">MS-01 › PP-01 › SP-03; MS-01 › PP-01 › SP-01</t>
        </is>
      </c>
      <c r="F8" s="7">
        <v>1.2</v>
      </c>
      <c r="G8" s="7" t="inlineStr">
        <is>
          <t xml:space="preserve">27/04/2026</t>
        </is>
      </c>
      <c r="H8" s="7" t="inlineStr">
        <is>
          <t xml:space="preserve">Vigente</t>
        </is>
      </c>
      <c r="I8" s="6" t="inlineStr">
        <is>
          <t xml:space="preserve">Resolução nº 845, de 27/04/2026 (Diretor da Área de Aquisições)</t>
        </is>
      </c>
      <c r="J8" s="6" t="inlineStr">
        <is>
          <t xml:space="preserve">https://exemplo.codevasf.gov.br/repositorio/roteiro-precos.pdf</t>
        </is>
      </c>
    </row>
    <row r="9">
      <c r="A9" s="4" t="inlineStr">
        <is>
          <t xml:space="preserve">DOC-008</t>
        </is>
      </c>
      <c r="B9" s="3" t="inlineStr">
        <is>
          <t xml:space="preserve">NI-027/2024 — Norma de Licitações e Contratos (fictícia)</t>
        </is>
      </c>
      <c r="C9" s="4" t="inlineStr">
        <is>
          <t xml:space="preserve">Norma interna</t>
        </is>
      </c>
      <c r="D9" s="8" t="str">
        <f>=IF(ISNUMBER(SEARCH("TR-",E9)),"Tarefa",IF(ISNUMBER(SEARCH("AT-",E9)),"Atividade",IF(ISNUMBER(SEARCH("SP-",E9)),"Subprocesso",IF(ISNUMBER(SEARCH("PP-",E9)),"Processo",IF(OR(LEFT(E9,2)="MG",LEFT(E9,2)="MF",LEFT(E9,2)="MS"),"Macroprocesso","")))))</f>
        <v>Macroprocesso</v>
      </c>
      <c r="E9" s="3" t="inlineStr">
        <is>
          <t xml:space="preserve">MS-01</t>
        </is>
      </c>
      <c r="F9" s="4">
        <v>4</v>
      </c>
      <c r="G9" s="4" t="inlineStr">
        <is>
          <t xml:space="preserve">20/11/2024</t>
        </is>
      </c>
      <c r="H9" s="4" t="inlineStr">
        <is>
          <t xml:space="preserve">Vigente</t>
        </is>
      </c>
      <c r="I9" s="3" t="inlineStr">
        <is>
          <t xml:space="preserve">Resolução nº 621, de 20/11/2024 (Diretoria Executiva)</t>
        </is>
      </c>
      <c r="J9" s="3" t="inlineStr">
        <is>
          <t xml:space="preserve">https://exemplo.codevasf.gov.br/normativos/ni-027</t>
        </is>
      </c>
    </row>
    <row r="10">
      <c r="A10" s="7" t="inlineStr">
        <is>
          <t xml:space="preserve">DOC-009</t>
        </is>
      </c>
      <c r="B10" s="6" t="inlineStr">
        <is>
          <t xml:space="preserve">Manual de Gestão e Fiscalização de Contratos (fictício)</t>
        </is>
      </c>
      <c r="C10" s="7" t="inlineStr">
        <is>
          <t xml:space="preserve">Manual</t>
        </is>
      </c>
      <c r="D10" s="8" t="str">
        <f>=IF(ISNUMBER(SEARCH("TR-",E10)),"Tarefa",IF(ISNUMBER(SEARCH("AT-",E10)),"Atividade",IF(ISNUMBER(SEARCH("SP-",E10)),"Subprocesso",IF(ISNUMBER(SEARCH("PP-",E10)),"Processo",IF(OR(LEFT(E10,2)="MG",LEFT(E10,2)="MF",LEFT(E10,2)="MS"),"Macroprocesso","")))))</f>
        <v>Processo</v>
      </c>
      <c r="E10" s="6" t="inlineStr">
        <is>
          <t xml:space="preserve">MS-01 › PP-01; MS-01 › PP-03</t>
        </is>
      </c>
      <c r="F10" s="7">
        <v>2.3</v>
      </c>
      <c r="G10" s="7" t="inlineStr">
        <is>
          <t xml:space="preserve">14/08/2025</t>
        </is>
      </c>
      <c r="H10" s="7" t="inlineStr">
        <is>
          <t xml:space="preserve">Em revisão</t>
        </is>
      </c>
      <c r="I10" s="6" t="inlineStr">
        <is>
          <t xml:space="preserve">Resolução nº 703, de 14/08/2025 (Diretoria Executiva)</t>
        </is>
      </c>
      <c r="J10" s="6" t="inlineStr">
        <is>
          <t xml:space="preserve">https://exemplo.codevasf.gov.br/normativos/manual-fiscalizacao</t>
        </is>
      </c>
    </row>
    <row r="11">
      <c r="A11" s="4" t="inlineStr">
        <is>
          <t xml:space="preserve">DOC-010</t>
        </is>
      </c>
      <c r="B11" s="3" t="inlineStr">
        <is>
          <t xml:space="preserve">Ata — Contextualização do processo Seleção do Fornecedor</t>
        </is>
      </c>
      <c r="C11" s="4" t="inlineStr">
        <is>
          <t xml:space="preserve">Ata de reunião</t>
        </is>
      </c>
      <c r="D11" s="8" t="str">
        <f>=IF(ISNUMBER(SEARCH("TR-",E11)),"Tarefa",IF(ISNUMBER(SEARCH("AT-",E11)),"Atividade",IF(ISNUMBER(SEARCH("SP-",E11)),"Subprocesso",IF(ISNUMBER(SEARCH("PP-",E11)),"Processo",IF(OR(LEFT(E11,2)="MG",LEFT(E11,2)="MF",LEFT(E11,2)="MS"),"Macroprocesso","")))))</f>
        <v>Processo</v>
      </c>
      <c r="E11" s="3" t="inlineStr">
        <is>
          <t xml:space="preserve">MS-01 › PP-02</t>
        </is>
      </c>
      <c r="F11" s="4">
        <v>1</v>
      </c>
      <c r="G11" s="4" t="inlineStr">
        <is>
          <t xml:space="preserve">02/06/2026</t>
        </is>
      </c>
      <c r="H11" s="4" t="inlineStr">
        <is>
          <t xml:space="preserve">Vigente</t>
        </is>
      </c>
      <c r="J11" s="3" t="inlineStr">
        <is>
          <t xml:space="preserve">https://exemplo.codevasf.gov.br/sei/ata-contextualizacao-p0602</t>
        </is>
      </c>
    </row>
    <row r="12">
      <c r="A12" s="7" t="inlineStr">
        <is>
          <t xml:space="preserve">DOC-011</t>
        </is>
      </c>
      <c r="B12" s="6" t="inlineStr">
        <is>
          <t xml:space="preserve">Diagrama AS-IS parcial — O&amp;M de Perímetros (Bizagi)</t>
        </is>
      </c>
      <c r="C12" s="7" t="inlineStr">
        <is>
          <t xml:space="preserve">Diagrama BPMN</t>
        </is>
      </c>
      <c r="D12" s="8" t="str">
        <f>=IF(ISNUMBER(SEARCH("TR-",E12)),"Tarefa",IF(ISNUMBER(SEARCH("AT-",E12)),"Atividade",IF(ISNUMBER(SEARCH("SP-",E12)),"Subprocesso",IF(ISNUMBER(SEARCH("PP-",E12)),"Processo",IF(OR(LEFT(E12,2)="MG",LEFT(E12,2)="MF",LEFT(E12,2)="MS"),"Macroprocesso","")))))</f>
        <v>Processo</v>
      </c>
      <c r="E12" s="6" t="inlineStr">
        <is>
          <t xml:space="preserve">MS-01 › PP-01</t>
        </is>
      </c>
      <c r="F12" s="7">
        <v>0.3</v>
      </c>
      <c r="G12" s="7" t="inlineStr">
        <is>
          <t xml:space="preserve">08/07/2026</t>
        </is>
      </c>
      <c r="H12" s="7" t="inlineStr">
        <is>
          <t xml:space="preserve">Em elaboração</t>
        </is>
      </c>
      <c r="K12" s="6" t="inlineStr">
        <is>
          <t xml:space="preserve">Modelagem em curso.</t>
        </is>
      </c>
    </row>
    <row r="13">
      <c r="A13" s="4" t="inlineStr">
        <is>
          <t xml:space="preserve">DOC-012</t>
        </is>
      </c>
      <c r="B13" s="3" t="inlineStr">
        <is>
          <t xml:space="preserve">Passo a passo do DFD no e-Codevasf</t>
        </is>
      </c>
      <c r="C13" s="4" t="inlineStr">
        <is>
          <t xml:space="preserve">Formulário/Modelo</t>
        </is>
      </c>
      <c r="D13" s="8" t="str">
        <f>=IF(ISNUMBER(SEARCH("TR-",E13)),"Tarefa",IF(ISNUMBER(SEARCH("AT-",E13)),"Atividade",IF(ISNUMBER(SEARCH("SP-",E13)),"Subprocesso",IF(ISNUMBER(SEARCH("PP-",E13)),"Processo",IF(OR(LEFT(E13,2)="MG",LEFT(E13,2)="MF",LEFT(E13,2)="MS"),"Macroprocesso","")))))</f>
        <v>Atividade</v>
      </c>
      <c r="E13" s="3" t="inlineStr">
        <is>
          <t xml:space="preserve">MS-01 › PP-01 › SP-01 › AT-01</t>
        </is>
      </c>
      <c r="F13" s="4">
        <v>1</v>
      </c>
      <c r="G13" s="4" t="inlineStr">
        <is>
          <t xml:space="preserve">12/02/2026</t>
        </is>
      </c>
      <c r="H13" s="4" t="inlineStr">
        <is>
          <t xml:space="preserve">Vigente</t>
        </is>
      </c>
      <c r="J13" s="3" t="inlineStr">
        <is>
          <t xml:space="preserve">https://exemplo.codevasf.gov.br/modelos/dfd-sei-passoapasso.pdf</t>
        </is>
      </c>
    </row>
    <row r="14">
      <c r="A14" s="7" t="inlineStr">
        <is>
          <t xml:space="preserve">DOC-013</t>
        </is>
      </c>
      <c r="B14" s="6" t="inlineStr">
        <is>
          <t xml:space="preserve">Caderno de Indicadores Estratégicos 2026</t>
        </is>
      </c>
      <c r="C14" s="7" t="inlineStr">
        <is>
          <t xml:space="preserve">Relatório</t>
        </is>
      </c>
      <c r="D14" s="8" t="str">
        <f>=IF(ISNUMBER(SEARCH("TR-",E14)),"Tarefa",IF(ISNUMBER(SEARCH("AT-",E14)),"Atividade",IF(ISNUMBER(SEARCH("SP-",E14)),"Subprocesso",IF(ISNUMBER(SEARCH("PP-",E14)),"Processo",IF(OR(LEFT(E14,2)="MG",LEFT(E14,2)="MF",LEFT(E14,2)="MS"),"Macroprocesso","")))))</f>
        <v>Processo</v>
      </c>
      <c r="E14" s="6" t="inlineStr">
        <is>
          <t xml:space="preserve">MS-01 › PP-01</t>
        </is>
      </c>
      <c r="F14" s="7">
        <v>1</v>
      </c>
      <c r="G14" s="7" t="inlineStr">
        <is>
          <t xml:space="preserve">31/03/2026</t>
        </is>
      </c>
      <c r="H14" s="7" t="inlineStr">
        <is>
          <t xml:space="preserve">Vigente</t>
        </is>
      </c>
      <c r="J14" s="6" t="inlineStr">
        <is>
          <t xml:space="preserve">https://exemplo.codevasf.gov.br/estrategia/caderno-2026.pdf</t>
        </is>
      </c>
    </row>
    <row r="15">
      <c r="A15" s="4" t="inlineStr">
        <is>
          <t xml:space="preserve">DOC-014</t>
        </is>
      </c>
      <c r="B15" s="3" t="inlineStr">
        <is>
          <t xml:space="preserve">Plano de implantação do TO-BE (PMBOK — plano do projeto)</t>
        </is>
      </c>
      <c r="C15" s="4" t="inlineStr">
        <is>
          <t xml:space="preserve">Plano</t>
        </is>
      </c>
      <c r="D15" s="8" t="str">
        <f>=IF(ISNUMBER(SEARCH("TR-",E15)),"Tarefa",IF(ISNUMBER(SEARCH("AT-",E15)),"Atividade",IF(ISNUMBER(SEARCH("SP-",E15)),"Subprocesso",IF(ISNUMBER(SEARCH("PP-",E15)),"Processo",IF(OR(LEFT(E15,2)="MG",LEFT(E15,2)="MF",LEFT(E15,2)="MS"),"Macroprocesso","")))))</f>
        <v>Processo</v>
      </c>
      <c r="E15" s="3" t="inlineStr">
        <is>
          <t xml:space="preserve">MS-01 › PP-01</t>
        </is>
      </c>
      <c r="F15" s="4">
        <v>1</v>
      </c>
      <c r="G15" s="4" t="inlineStr">
        <is>
          <t xml:space="preserve">06/05/2026</t>
        </is>
      </c>
      <c r="H15" s="4" t="inlineStr">
        <is>
          <t xml:space="preserve">Vigente</t>
        </is>
      </c>
      <c r="J15" s="3" t="inlineStr">
        <is>
          <t xml:space="preserve">https://exemplo.codevasf.gov.br/repositorio/plano-tobe-p0601.pdf</t>
        </is>
      </c>
    </row>
    <row r="16">
      <c r="A16" s="7" t="inlineStr">
        <is>
          <t xml:space="preserve">DOC-015</t>
        </is>
      </c>
      <c r="B16" s="6" t="inlineStr">
        <is>
          <t xml:space="preserve">Checklist de Conformidade — Planejamento da Contratação</t>
        </is>
      </c>
      <c r="C16" s="7" t="inlineStr">
        <is>
          <t xml:space="preserve">Checklist</t>
        </is>
      </c>
      <c r="D16" s="8" t="str">
        <f>=IF(ISNUMBER(SEARCH("TR-",E16)),"Tarefa",IF(ISNUMBER(SEARCH("AT-",E16)),"Atividade",IF(ISNUMBER(SEARCH("SP-",E16)),"Subprocesso",IF(ISNUMBER(SEARCH("PP-",E16)),"Processo",IF(OR(LEFT(E16,2)="MG",LEFT(E16,2)="MF",LEFT(E16,2)="MS"),"Macroprocesso","")))))</f>
        <v>Processo</v>
      </c>
      <c r="E16" s="6" t="inlineStr">
        <is>
          <t xml:space="preserve">MS-01 › PP-01</t>
        </is>
      </c>
      <c r="F16" s="7">
        <v>1</v>
      </c>
      <c r="G16" s="7" t="inlineStr">
        <is>
          <t xml:space="preserve">18/05/2026</t>
        </is>
      </c>
      <c r="H16" s="7" t="inlineStr">
        <is>
          <t xml:space="preserve">Vigente</t>
        </is>
      </c>
      <c r="J16" s="6" t="inlineStr">
        <is>
          <t xml:space="preserve">https://exemplo.codevasf.gov.br/repositorio/checklist-p0601.pdf</t>
        </is>
      </c>
      <c r="K16" s="6" t="inlineStr">
        <is>
          <t xml:space="preserve">Exemplo — checklist ainda não padronizado para os demais processos da carteira.</t>
        </is>
      </c>
    </row>
    <row r="17">
      <c r="A17" s="4" t="inlineStr">
        <is>
          <t xml:space="preserve">DOC-016</t>
        </is>
      </c>
      <c r="B17" s="3" t="inlineStr">
        <is>
          <t xml:space="preserve">NI-014/2019 — Norma de Administração de Pessoal (fictícia)</t>
        </is>
      </c>
      <c r="C17" s="4" t="inlineStr">
        <is>
          <t xml:space="preserve">Norma interna</t>
        </is>
      </c>
      <c r="D17" s="8" t="str">
        <f>=IF(ISNUMBER(SEARCH("TR-",E17)),"Tarefa",IF(ISNUMBER(SEARCH("AT-",E17)),"Atividade",IF(ISNUMBER(SEARCH("SP-",E17)),"Subprocesso",IF(ISNUMBER(SEARCH("PP-",E17)),"Processo",IF(OR(LEFT(E17,2)="MG",LEFT(E17,2)="MF",LEFT(E17,2)="MS"),"Macroprocesso","")))))</f>
        <v>Macroprocesso</v>
      </c>
      <c r="E17" s="3" t="inlineStr">
        <is>
          <t xml:space="preserve">MS-02</t>
        </is>
      </c>
      <c r="F17" s="4">
        <v>3</v>
      </c>
      <c r="G17" s="4" t="inlineStr">
        <is>
          <t xml:space="preserve">10/06/2019</t>
        </is>
      </c>
      <c r="H17" s="4" t="inlineStr">
        <is>
          <t xml:space="preserve">Vigente</t>
        </is>
      </c>
      <c r="I17" s="3" t="inlineStr">
        <is>
          <t xml:space="preserve">Resolução nº 512, de 10/06/2019 (Diretoria Executiva)</t>
        </is>
      </c>
      <c r="J17" s="3" t="inlineStr">
        <is>
          <t xml:space="preserve">https://exemplo.codevasf.gov.br/normativos/ni-014</t>
        </is>
      </c>
      <c r="K17" s="3" t="inlineStr">
        <is>
          <t xml:space="preserve">Exemplo — norma com revisão trienal vencida (N-000, item 4.2.3), ainda não atualizada.</t>
        </is>
      </c>
    </row>
    <row r="18">
      <c r="A18" s="7" t="inlineStr">
        <is>
          <t xml:space="preserve">DOC-017</t>
        </is>
      </c>
      <c r="B18" s="6" t="inlineStr">
        <is>
          <t xml:space="preserve">Lei nº 13.303/2016 — Estatuto Jurídico das Estatais</t>
        </is>
      </c>
      <c r="C18" s="7" t="inlineStr">
        <is>
          <t xml:space="preserve">Legislação externa</t>
        </is>
      </c>
      <c r="D18" s="8" t="str">
        <f>=IF(ISNUMBER(SEARCH("TR-",E18)),"Tarefa",IF(ISNUMBER(SEARCH("AT-",E18)),"Atividade",IF(ISNUMBER(SEARCH("SP-",E18)),"Subprocesso",IF(ISNUMBER(SEARCH("PP-",E18)),"Processo",IF(OR(LEFT(E18,2)="MG",LEFT(E18,2)="MF",LEFT(E18,2)="MS"),"Macroprocesso","")))))</f>
        <v>Macroprocesso</v>
      </c>
      <c r="E18" s="6" t="inlineStr">
        <is>
          <t xml:space="preserve">MG-01</t>
        </is>
      </c>
      <c r="F18" s="7" t="inlineStr">
        <is>
          <t xml:space="preserve">—</t>
        </is>
      </c>
      <c r="G18" s="7" t="inlineStr">
        <is>
          <t xml:space="preserve">30/06/2016</t>
        </is>
      </c>
      <c r="H18" s="7" t="inlineStr">
        <is>
          <t xml:space="preserve">Vigente</t>
        </is>
      </c>
      <c r="J18" s="6" t="inlineStr">
        <is>
          <t xml:space="preserve">http://www.planalto.gov.br/ccivil_03/_ato2015-2018/2016/lei/l13303.htm</t>
        </is>
      </c>
      <c r="K18" s="6" t="inlineStr">
        <is>
          <t xml:space="preserve">Migrado da coluna Normativos_Aplicaveis do macroprocesso.</t>
        </is>
      </c>
    </row>
    <row r="19">
      <c r="A19" s="4" t="inlineStr">
        <is>
          <t xml:space="preserve">DOC-018</t>
        </is>
      </c>
      <c r="B19" s="3" t="inlineStr">
        <is>
          <t xml:space="preserve">Lei nº 14.133/2021 — Nova Lei de Licitações e Contratos</t>
        </is>
      </c>
      <c r="C19" s="4" t="inlineStr">
        <is>
          <t xml:space="preserve">Legislação externa</t>
        </is>
      </c>
      <c r="D19" s="8" t="str">
        <f>=IF(ISNUMBER(SEARCH("TR-",E19)),"Tarefa",IF(ISNUMBER(SEARCH("AT-",E19)),"Atividade",IF(ISNUMBER(SEARCH("SP-",E19)),"Subprocesso",IF(ISNUMBER(SEARCH("PP-",E19)),"Processo",IF(OR(LEFT(E19,2)="MG",LEFT(E19,2)="MF",LEFT(E19,2)="MS"),"Macroprocesso","")))))</f>
        <v>Macroprocesso</v>
      </c>
      <c r="E19" s="3" t="inlineStr">
        <is>
          <t xml:space="preserve">MS-01</t>
        </is>
      </c>
      <c r="F19" s="4" t="inlineStr">
        <is>
          <t xml:space="preserve">—</t>
        </is>
      </c>
      <c r="G19" s="4" t="inlineStr">
        <is>
          <t xml:space="preserve">01/04/2021</t>
        </is>
      </c>
      <c r="H19" s="4" t="inlineStr">
        <is>
          <t xml:space="preserve">Vigente</t>
        </is>
      </c>
      <c r="J19" s="3" t="inlineStr">
        <is>
          <t xml:space="preserve">http://www.planalto.gov.br/ccivil_03/_ato2019-2022/2021/lei/L14133.htm</t>
        </is>
      </c>
      <c r="K19" s="3" t="inlineStr">
        <is>
          <t xml:space="preserve">Migrado da coluna Normativos_Aplicaveis/Normativos_Relacionados.</t>
        </is>
      </c>
    </row>
    <row r="20">
      <c r="A20" s="7" t="inlineStr">
        <is>
          <t xml:space="preserve">DOC-019</t>
        </is>
      </c>
      <c r="B20" s="6" t="inlineStr">
        <is>
          <t xml:space="preserve">Lei nº 12.787/2013 — Política Nacional de Irrigação</t>
        </is>
      </c>
      <c r="C20" s="7" t="inlineStr">
        <is>
          <t xml:space="preserve">Legislação externa</t>
        </is>
      </c>
      <c r="D20" s="8" t="str">
        <f>=IF(ISNUMBER(SEARCH("TR-",E20)),"Tarefa",IF(ISNUMBER(SEARCH("AT-",E20)),"Atividade",IF(ISNUMBER(SEARCH("SP-",E20)),"Subprocesso",IF(ISNUMBER(SEARCH("PP-",E20)),"Processo",IF(OR(LEFT(E20,2)="MG",LEFT(E20,2)="MF",LEFT(E20,2)="MS"),"Macroprocesso","")))))</f>
        <v>Macroprocesso</v>
      </c>
      <c r="E20" s="6" t="inlineStr">
        <is>
          <t xml:space="preserve">MF-02</t>
        </is>
      </c>
      <c r="F20" s="7" t="inlineStr">
        <is>
          <t xml:space="preserve">—</t>
        </is>
      </c>
      <c r="G20" s="7" t="inlineStr">
        <is>
          <t xml:space="preserve">11/01/2013</t>
        </is>
      </c>
      <c r="H20" s="7" t="inlineStr">
        <is>
          <t xml:space="preserve">Vigente</t>
        </is>
      </c>
      <c r="J20" s="6" t="inlineStr">
        <is>
          <t xml:space="preserve">http://www.planalto.gov.br/ccivil_03/_ato2011-2014/2013/lei/l12787.htm</t>
        </is>
      </c>
      <c r="K20" s="6" t="inlineStr">
        <is>
          <t xml:space="preserve">Migrado da coluna Normativos_Aplicaveis do macroprocesso.</t>
        </is>
      </c>
    </row>
    <row r="21">
      <c r="A21" s="4" t="inlineStr">
        <is>
          <t xml:space="preserve">DOC-020</t>
        </is>
      </c>
      <c r="B21" s="3" t="inlineStr">
        <is>
          <t xml:space="preserve">CLT — Consolidação das Leis do Trabalho</t>
        </is>
      </c>
      <c r="C21" s="4" t="inlineStr">
        <is>
          <t xml:space="preserve">Legislação externa</t>
        </is>
      </c>
      <c r="D21" s="8" t="str">
        <f>=IF(ISNUMBER(SEARCH("TR-",E21)),"Tarefa",IF(ISNUMBER(SEARCH("AT-",E21)),"Atividade",IF(ISNUMBER(SEARCH("SP-",E21)),"Subprocesso",IF(ISNUMBER(SEARCH("PP-",E21)),"Processo",IF(OR(LEFT(E21,2)="MG",LEFT(E21,2)="MF",LEFT(E21,2)="MS"),"Macroprocesso","")))))</f>
        <v>Macroprocesso</v>
      </c>
      <c r="E21" s="3" t="inlineStr">
        <is>
          <t xml:space="preserve">MS-02</t>
        </is>
      </c>
      <c r="F21" s="4" t="inlineStr">
        <is>
          <t xml:space="preserve">—</t>
        </is>
      </c>
      <c r="G21" s="4" t="inlineStr">
        <is>
          <t xml:space="preserve">01/05/1943</t>
        </is>
      </c>
      <c r="H21" s="4" t="inlineStr">
        <is>
          <t xml:space="preserve">Vigente</t>
        </is>
      </c>
      <c r="J21" s="3" t="inlineStr">
        <is>
          <t xml:space="preserve">http://www.planalto.gov.br/ccivil_03/decreto-lei/del5452.htm</t>
        </is>
      </c>
      <c r="K21" s="3" t="inlineStr">
        <is>
          <t xml:space="preserve">Migrado da coluna Normativos_Aplicaveis do macroprocesso.</t>
        </is>
      </c>
    </row>
    <row r="22">
      <c r="A22" s="7" t="inlineStr">
        <is>
          <t xml:space="preserve">DOC-021</t>
        </is>
      </c>
      <c r="B22" s="6" t="inlineStr">
        <is>
          <t xml:space="preserve">Estatuto Social da Codevasf</t>
        </is>
      </c>
      <c r="C22" s="7" t="inlineStr">
        <is>
          <t xml:space="preserve">Norma interna</t>
        </is>
      </c>
      <c r="D22" s="8" t="str">
        <f>=IF(ISNUMBER(SEARCH("TR-",E22)),"Tarefa",IF(ISNUMBER(SEARCH("AT-",E22)),"Atividade",IF(ISNUMBER(SEARCH("SP-",E22)),"Subprocesso",IF(ISNUMBER(SEARCH("PP-",E22)),"Processo",IF(OR(LEFT(E22,2)="MG",LEFT(E22,2)="MF",LEFT(E22,2)="MS"),"Macroprocesso","")))))</f>
        <v>Macroprocesso</v>
      </c>
      <c r="E22" s="6" t="inlineStr">
        <is>
          <t xml:space="preserve">MG-01</t>
        </is>
      </c>
      <c r="F22" s="7" t="inlineStr">
        <is>
          <t xml:space="preserve">—</t>
        </is>
      </c>
      <c r="H22" s="7" t="inlineStr">
        <is>
          <t xml:space="preserve">Vigente</t>
        </is>
      </c>
      <c r="J22" s="6" t="inlineStr">
        <is>
          <t xml:space="preserve">https://exemplo.codevasf.gov.br/normativos/estatuto-social</t>
        </is>
      </c>
      <c r="K22" s="6" t="inlineStr">
        <is>
          <t xml:space="preserve">Migrado da coluna Normativos_Aplicaveis do macroprocesso.</t>
        </is>
      </c>
    </row>
    <row r="23">
      <c r="A23" s="4" t="inlineStr">
        <is>
          <t xml:space="preserve">DOC-022</t>
        </is>
      </c>
      <c r="B23" s="3" t="inlineStr">
        <is>
          <t xml:space="preserve">Regimento Interno da Codevasf</t>
        </is>
      </c>
      <c r="C23" s="4" t="inlineStr">
        <is>
          <t xml:space="preserve">Norma interna</t>
        </is>
      </c>
      <c r="D23" s="8" t="str">
        <f>=IF(ISNUMBER(SEARCH("TR-",E23)),"Tarefa",IF(ISNUMBER(SEARCH("AT-",E23)),"Atividade",IF(ISNUMBER(SEARCH("SP-",E23)),"Subprocesso",IF(ISNUMBER(SEARCH("PP-",E23)),"Processo",IF(OR(LEFT(E23,2)="MG",LEFT(E23,2)="MF",LEFT(E23,2)="MS"),"Macroprocesso","")))))</f>
        <v>Macroprocesso</v>
      </c>
      <c r="E23" s="3" t="inlineStr">
        <is>
          <t xml:space="preserve">MG-01</t>
        </is>
      </c>
      <c r="F23" s="4" t="inlineStr">
        <is>
          <t xml:space="preserve">—</t>
        </is>
      </c>
      <c r="H23" s="4" t="inlineStr">
        <is>
          <t xml:space="preserve">Vigente</t>
        </is>
      </c>
      <c r="J23" s="3" t="inlineStr">
        <is>
          <t xml:space="preserve">https://exemplo.codevasf.gov.br/normativos/regimento-interno</t>
        </is>
      </c>
      <c r="K23" s="3" t="inlineStr">
        <is>
          <t xml:space="preserve">Migrado da coluna Normativos_Aplicaveis do macroprocesso.</t>
        </is>
      </c>
    </row>
  </sheetData>
  <autoFilter ref="A1:K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300">
      <formula1>Listas!$K$2:$K$12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H2:H300">
      <formula1>Listas!$L$2:$L$5</formula1>
    </dataValidation>
  </dataValidations>
</worksheet>
</file>

<file path=xl/worksheets/sheet9.xml><?xml version="1.0" encoding="utf-8"?>
<worksheet xmlns="http://schemas.openxmlformats.org/spreadsheetml/2006/main">
  <sheetPr>
    <tabColor rgb="FF168821"/>
  </sheetPr>
  <dimension ref="A1:Q10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4" customWidth="1"/>
    <col min="3" max="3" width="20" customWidth="1"/>
    <col min="4" max="4" width="46" customWidth="1"/>
    <col min="5" max="5" width="20" customWidth="1"/>
    <col min="6" max="6" width="34" customWidth="1"/>
    <col min="7" max="7" width="24" customWidth="1"/>
    <col min="8" max="8" width="13" customWidth="1"/>
    <col min="9" max="9" width="9" customWidth="1"/>
    <col min="10" max="10" width="8" customWidth="1"/>
    <col min="11" max="11" width="8" customWidth="1"/>
    <col min="12" max="12" width="12" customWidth="1"/>
    <col min="13" max="13" width="11" customWidth="1"/>
    <col min="14" max="14" width="40" customWidth="1"/>
    <col min="15" max="15" width="13" customWidth="1"/>
    <col min="16" max="16" width="20" customWidth="1"/>
    <col min="17" max="17" width="13" customWidth="1"/>
  </cols>
  <sheetData>
    <row r="1">
      <c r="A1" s="1" t="inlineStr">
        <is>
          <t xml:space="preserve">ID</t>
        </is>
      </c>
      <c r="B1" s="1" t="inlineStr">
        <is>
          <t xml:space="preserve">Vinculo_Nivel</t>
        </is>
      </c>
      <c r="C1" s="1" t="inlineStr">
        <is>
          <t xml:space="preserve">Vinculo_Codigo</t>
        </is>
      </c>
      <c r="D1" s="1" t="inlineStr">
        <is>
          <t xml:space="preserve">Descricao_Risco</t>
        </is>
      </c>
      <c r="E1" s="1" t="inlineStr">
        <is>
          <t xml:space="preserve">Categoria</t>
        </is>
      </c>
      <c r="F1" s="1" t="inlineStr">
        <is>
          <t xml:space="preserve">Fatores</t>
        </is>
      </c>
      <c r="G1" s="1" t="inlineStr">
        <is>
          <t xml:space="preserve">Cronograma_Risco</t>
        </is>
      </c>
      <c r="H1" s="1" t="inlineStr">
        <is>
          <t xml:space="preserve">Data_Identificacao</t>
        </is>
      </c>
      <c r="I1" s="1" t="inlineStr">
        <is>
          <t xml:space="preserve">Probabilidade_1a5</t>
        </is>
      </c>
      <c r="J1" s="1" t="inlineStr">
        <is>
          <t xml:space="preserve">Impacto_1a5</t>
        </is>
      </c>
      <c r="K1" s="1" t="inlineStr">
        <is>
          <t xml:space="preserve">Nivel_PxI</t>
        </is>
      </c>
      <c r="L1" s="1" t="inlineStr">
        <is>
          <t xml:space="preserve">Classificacao</t>
        </is>
      </c>
      <c r="M1" s="1" t="inlineStr">
        <is>
          <t xml:space="preserve">Resposta</t>
        </is>
      </c>
      <c r="N1" s="1" t="inlineStr">
        <is>
          <t xml:space="preserve">Controles_Tratamento</t>
        </is>
      </c>
      <c r="O1" s="1" t="inlineStr">
        <is>
          <t xml:space="preserve">Prazo_Tratamento</t>
        </is>
      </c>
      <c r="P1" s="1" t="inlineStr">
        <is>
          <t xml:space="preserve">Responsavel</t>
        </is>
      </c>
      <c r="Q1" s="1" t="inlineStr">
        <is>
          <t xml:space="preserve">Status</t>
        </is>
      </c>
    </row>
    <row r="2">
      <c r="A2" s="7" t="inlineStr">
        <is>
          <t xml:space="preserve">RIS-001</t>
        </is>
      </c>
      <c r="B2" s="8" t="str">
        <f>=IF(ISNUMBER(SEARCH("TR-",C2)),"Tarefa",IF(ISNUMBER(SEARCH("AT-",C2)),"Atividade",IF(ISNUMBER(SEARCH("SP-",C2)),"Subprocesso",IF(ISNUMBER(SEARCH("PP-",C2)),"Processo",IF(OR(LEFT(C2,2)="MG",LEFT(C2,2)="MF",LEFT(C2,2)="MS"),"Macroprocesso","")))))</f>
        <v>Processo</v>
      </c>
      <c r="C2" s="6" t="inlineStr">
        <is>
          <t xml:space="preserve">MS-01 › PP-01</t>
        </is>
      </c>
      <c r="D2" s="6" t="inlineStr">
        <is>
          <t xml:space="preserve">Estimativas de preço defasadas gerando sobrepreço ou licitação deserta.</t>
        </is>
      </c>
      <c r="E2" s="7" t="inlineStr">
        <is>
          <t xml:space="preserve">Operacional</t>
        </is>
      </c>
      <c r="H2" s="7" t="inlineStr">
        <is>
          <t xml:space="preserve">05/01/2026</t>
        </is>
      </c>
      <c r="I2" s="7">
        <v>4</v>
      </c>
      <c r="J2" s="7">
        <v>4</v>
      </c>
      <c r="K2" s="8">
        <f>=I2*J2</f>
        <v>16</v>
      </c>
      <c r="L2" s="8" t="str">
        <f>=IF(K2&gt;=20,"Extremo",IF(K2&gt;=12,"Alto",IF(K2&gt;=5,"Moderado","Baixo")))</f>
        <v>Alto</v>
      </c>
      <c r="M2" s="7" t="inlineStr">
        <is>
          <t xml:space="preserve">Mitigar</t>
        </is>
      </c>
      <c r="N2" s="6" t="inlineStr">
        <is>
          <t xml:space="preserve">Roteiro de pesquisa com múltiplas fontes (Painel de Preços, PNCP) e revisão pela UNP.</t>
        </is>
      </c>
      <c r="O2" s="7" t="inlineStr">
        <is>
          <t xml:space="preserve">30/09/2026</t>
        </is>
      </c>
      <c r="P2" s="6" t="inlineStr">
        <is>
          <t xml:space="preserve">Ricardo Nogueira</t>
        </is>
      </c>
      <c r="Q2" s="7" t="inlineStr">
        <is>
          <t xml:space="preserve">Em tratamento</t>
        </is>
      </c>
    </row>
    <row r="3">
      <c r="A3" s="4" t="inlineStr">
        <is>
          <t xml:space="preserve">RIS-002</t>
        </is>
      </c>
      <c r="B3" s="8" t="str">
        <f>=IF(ISNUMBER(SEARCH("TR-",C3)),"Tarefa",IF(ISNUMBER(SEARCH("AT-",C3)),"Atividade",IF(ISNUMBER(SEARCH("SP-",C3)),"Subprocesso",IF(ISNUMBER(SEARCH("PP-",C3)),"Processo",IF(OR(LEFT(C3,2)="MG",LEFT(C3,2)="MF",LEFT(C3,2)="MS"),"Macroprocesso","")))))</f>
        <v>Processo</v>
      </c>
      <c r="C3" s="3" t="inlineStr">
        <is>
          <t xml:space="preserve">MS-01 › PP-01</t>
        </is>
      </c>
      <c r="D3" s="3" t="inlineStr">
        <is>
          <t xml:space="preserve">TR genérico ou restritivo provocando impugnações e atrasos no certame.</t>
        </is>
      </c>
      <c r="E3" s="4" t="inlineStr">
        <is>
          <t xml:space="preserve">Legal/Conformidade</t>
        </is>
      </c>
      <c r="H3" s="4" t="inlineStr">
        <is>
          <t xml:space="preserve">05/01/2026</t>
        </is>
      </c>
      <c r="I3" s="4">
        <v>3</v>
      </c>
      <c r="J3" s="4">
        <v>4</v>
      </c>
      <c r="K3" s="8">
        <f>=I3*J3</f>
        <v>12</v>
      </c>
      <c r="L3" s="8" t="str">
        <f>=IF(K3&gt;=20,"Extremo",IF(K3&gt;=12,"Alto",IF(K3&gt;=5,"Moderado","Baixo")))</f>
        <v>Alto</v>
      </c>
      <c r="M3" s="4" t="inlineStr">
        <is>
          <t xml:space="preserve">Mitigar</t>
        </is>
      </c>
      <c r="N3" s="3" t="inlineStr">
        <is>
          <t xml:space="preserve">Checklist de revisão e validação obrigatória pela Assessoria Jurídica.</t>
        </is>
      </c>
      <c r="O3" s="4" t="inlineStr">
        <is>
          <t xml:space="preserve">30/09/2026</t>
        </is>
      </c>
      <c r="P3" s="3" t="inlineStr">
        <is>
          <t xml:space="preserve">Ricardo Nogueira</t>
        </is>
      </c>
      <c r="Q3" s="4" t="inlineStr">
        <is>
          <t xml:space="preserve">Em tratamento</t>
        </is>
      </c>
    </row>
    <row r="4">
      <c r="A4" s="7" t="inlineStr">
        <is>
          <t xml:space="preserve">RIS-003</t>
        </is>
      </c>
      <c r="B4" s="8" t="str">
        <f>=IF(ISNUMBER(SEARCH("TR-",C4)),"Tarefa",IF(ISNUMBER(SEARCH("AT-",C4)),"Atividade",IF(ISNUMBER(SEARCH("SP-",C4)),"Subprocesso",IF(ISNUMBER(SEARCH("PP-",C4)),"Processo",IF(OR(LEFT(C4,2)="MG",LEFT(C4,2)="MF",LEFT(C4,2)="MS"),"Macroprocesso","")))))</f>
        <v>Processo</v>
      </c>
      <c r="C4" s="6" t="inlineStr">
        <is>
          <t xml:space="preserve">MS-01 › PP-03</t>
        </is>
      </c>
      <c r="D4" s="6" t="inlineStr">
        <is>
          <t xml:space="preserve">Fiscalização intempestiva de contratos, com medições e pagamentos atrasados.</t>
        </is>
      </c>
      <c r="E4" s="7" t="inlineStr">
        <is>
          <t xml:space="preserve">Operacional</t>
        </is>
      </c>
      <c r="H4" s="7" t="inlineStr">
        <is>
          <t xml:space="preserve">15/06/2026</t>
        </is>
      </c>
      <c r="I4" s="7">
        <v>3</v>
      </c>
      <c r="J4" s="7">
        <v>5</v>
      </c>
      <c r="K4" s="8">
        <f>=I4*J4</f>
        <v>15</v>
      </c>
      <c r="L4" s="8" t="str">
        <f>=IF(K4&gt;=20,"Extremo",IF(K4&gt;=12,"Alto",IF(K4&gt;=5,"Moderado","Baixo")))</f>
        <v>Alto</v>
      </c>
      <c r="M4" s="7" t="inlineStr">
        <is>
          <t xml:space="preserve">Mitigar</t>
        </is>
      </c>
      <c r="N4" s="6" t="inlineStr">
        <is>
          <t xml:space="preserve">Designação formal de fiscais, agenda de medições e alertas no e-Codevasf.</t>
        </is>
      </c>
      <c r="O4" s="7" t="inlineStr">
        <is>
          <t xml:space="preserve">30/11/2026</t>
        </is>
      </c>
      <c r="P4" s="6" t="inlineStr">
        <is>
          <t xml:space="preserve">Ricardo Nogueira</t>
        </is>
      </c>
      <c r="Q4" s="7" t="inlineStr">
        <is>
          <t xml:space="preserve">Aberto</t>
        </is>
      </c>
    </row>
    <row r="5">
      <c r="A5" s="4" t="inlineStr">
        <is>
          <t xml:space="preserve">RIS-004</t>
        </is>
      </c>
      <c r="B5" s="8" t="str">
        <f>=IF(ISNUMBER(SEARCH("TR-",C5)),"Tarefa",IF(ISNUMBER(SEARCH("AT-",C5)),"Atividade",IF(ISNUMBER(SEARCH("SP-",C5)),"Subprocesso",IF(ISNUMBER(SEARCH("PP-",C5)),"Processo",IF(OR(LEFT(C5,2)="MG",LEFT(C5,2)="MF",LEFT(C5,2)="MS"),"Macroprocesso","")))))</f>
        <v>Subprocesso</v>
      </c>
      <c r="C5" s="3" t="inlineStr">
        <is>
          <t xml:space="preserve">MS-01 › PP-01 › SP-01</t>
        </is>
      </c>
      <c r="D5" s="3" t="inlineStr">
        <is>
          <t xml:space="preserve">Conhecimento concentrado em um único empregado (pessoa-chave) na elaboração de ETP.</t>
        </is>
      </c>
      <c r="E5" s="4" t="inlineStr">
        <is>
          <t xml:space="preserve">Pessoas</t>
        </is>
      </c>
      <c r="H5" s="4" t="inlineStr">
        <is>
          <t xml:space="preserve">10/02/2026</t>
        </is>
      </c>
      <c r="I5" s="4">
        <v>4</v>
      </c>
      <c r="J5" s="4">
        <v>3</v>
      </c>
      <c r="K5" s="8">
        <f>=I5*J5</f>
        <v>12</v>
      </c>
      <c r="L5" s="8" t="str">
        <f>=IF(K5&gt;=20,"Extremo",IF(K5&gt;=12,"Alto",IF(K5&gt;=5,"Moderado","Baixo")))</f>
        <v>Alto</v>
      </c>
      <c r="M5" s="4" t="inlineStr">
        <is>
          <t xml:space="preserve">Mitigar</t>
        </is>
      </c>
      <c r="N5" s="3" t="inlineStr">
        <is>
          <t xml:space="preserve">Publicar o PRO, treinar substitutos e revezar a equipe de planejamento.</t>
        </is>
      </c>
      <c r="O5" s="4" t="inlineStr">
        <is>
          <t xml:space="preserve">31/10/2026</t>
        </is>
      </c>
      <c r="P5" s="3" t="inlineStr">
        <is>
          <t xml:space="preserve">Patrícia Ramos</t>
        </is>
      </c>
      <c r="Q5" s="4" t="inlineStr">
        <is>
          <t xml:space="preserve">Em tratamento</t>
        </is>
      </c>
    </row>
    <row r="6">
      <c r="A6" s="7" t="inlineStr">
        <is>
          <t xml:space="preserve">RIS-005</t>
        </is>
      </c>
      <c r="B6" s="8" t="str">
        <f>=IF(ISNUMBER(SEARCH("TR-",C6)),"Tarefa",IF(ISNUMBER(SEARCH("AT-",C6)),"Atividade",IF(ISNUMBER(SEARCH("SP-",C6)),"Subprocesso",IF(ISNUMBER(SEARCH("PP-",C6)),"Processo",IF(OR(LEFT(C6,2)="MG",LEFT(C6,2)="MF",LEFT(C6,2)="MS"),"Macroprocesso","")))))</f>
        <v>Processo</v>
      </c>
      <c r="C6" s="6" t="inlineStr">
        <is>
          <t xml:space="preserve">MS-01 › PP-01</t>
        </is>
      </c>
      <c r="D6" s="6" t="inlineStr">
        <is>
          <t xml:space="preserve">Indisponibilidade hídrica comprometendo a programação de distribuição.</t>
        </is>
      </c>
      <c r="E6" s="7" t="inlineStr">
        <is>
          <t xml:space="preserve">Operacional</t>
        </is>
      </c>
      <c r="H6" s="7" t="inlineStr">
        <is>
          <t xml:space="preserve">04/05/2026</t>
        </is>
      </c>
      <c r="I6" s="7">
        <v>2</v>
      </c>
      <c r="J6" s="7">
        <v>5</v>
      </c>
      <c r="K6" s="8">
        <f>=I6*J6</f>
        <v>10</v>
      </c>
      <c r="L6" s="8" t="str">
        <f>=IF(K6&gt;=20,"Extremo",IF(K6&gt;=12,"Alto",IF(K6&gt;=5,"Moderado","Baixo")))</f>
        <v>Moderado</v>
      </c>
      <c r="M6" s="7" t="inlineStr">
        <is>
          <t xml:space="preserve">Mitigar</t>
        </is>
      </c>
      <c r="N6" s="6" t="inlineStr">
        <is>
          <t xml:space="preserve">Plano de contingência hídrica e priorização de culturas conforme regras do perímetro.</t>
        </is>
      </c>
      <c r="P6" s="6" t="inlineStr">
        <is>
          <t xml:space="preserve">Marcos Vinícius</t>
        </is>
      </c>
      <c r="Q6" s="7" t="inlineStr">
        <is>
          <t xml:space="preserve">Aberto</t>
        </is>
      </c>
    </row>
    <row r="7">
      <c r="A7" s="4" t="inlineStr">
        <is>
          <t xml:space="preserve">RIS-006</t>
        </is>
      </c>
      <c r="B7" s="8" t="str">
        <f>=IF(ISNUMBER(SEARCH("TR-",C7)),"Tarefa",IF(ISNUMBER(SEARCH("AT-",C7)),"Atividade",IF(ISNUMBER(SEARCH("SP-",C7)),"Subprocesso",IF(ISNUMBER(SEARCH("PP-",C7)),"Processo",IF(OR(LEFT(C7,2)="MG",LEFT(C7,2)="MF",LEFT(C7,2)="MS"),"Macroprocesso","")))))</f>
        <v>Processo</v>
      </c>
      <c r="C7" s="3" t="inlineStr">
        <is>
          <t xml:space="preserve">MS-01 › PP-02</t>
        </is>
      </c>
      <c r="D7" s="3" t="inlineStr">
        <is>
          <t xml:space="preserve">Instabilidade do Compras.gov.br durante a sessão pública.</t>
        </is>
      </c>
      <c r="E7" s="4" t="inlineStr">
        <is>
          <t xml:space="preserve">Tecnologia da Informação</t>
        </is>
      </c>
      <c r="H7" s="4" t="inlineStr">
        <is>
          <t xml:space="preserve">01/06/2026</t>
        </is>
      </c>
      <c r="I7" s="4">
        <v>2</v>
      </c>
      <c r="J7" s="4">
        <v>4</v>
      </c>
      <c r="K7" s="8">
        <f>=I7*J7</f>
        <v>8</v>
      </c>
      <c r="L7" s="8" t="str">
        <f>=IF(K7&gt;=20,"Extremo",IF(K7&gt;=12,"Alto",IF(K7&gt;=5,"Moderado","Baixo")))</f>
        <v>Moderado</v>
      </c>
      <c r="M7" s="4" t="inlineStr">
        <is>
          <t xml:space="preserve">Mitigar</t>
        </is>
      </c>
      <c r="N7" s="3" t="inlineStr">
        <is>
          <t xml:space="preserve">Protocolo de suspensão formal da sessão e comunicação imediata aos licitantes.</t>
        </is>
      </c>
      <c r="P7" s="3" t="inlineStr">
        <is>
          <t xml:space="preserve">Daniela Ribeiro</t>
        </is>
      </c>
      <c r="Q7" s="4" t="inlineStr">
        <is>
          <t xml:space="preserve">Aberto</t>
        </is>
      </c>
    </row>
    <row r="8">
      <c r="A8" s="7" t="inlineStr">
        <is>
          <t xml:space="preserve">RIS-007</t>
        </is>
      </c>
      <c r="B8" s="8" t="str">
        <f>=IF(ISNUMBER(SEARCH("TR-",C8)),"Tarefa",IF(ISNUMBER(SEARCH("AT-",C8)),"Atividade",IF(ISNUMBER(SEARCH("SP-",C8)),"Subprocesso",IF(ISNUMBER(SEARCH("PP-",C8)),"Processo",IF(OR(LEFT(C8,2)="MG",LEFT(C8,2)="MF",LEFT(C8,2)="MS"),"Macroprocesso","")))))</f>
        <v>Macroprocesso</v>
      </c>
      <c r="C8" s="6" t="inlineStr">
        <is>
          <t xml:space="preserve">MS-01</t>
        </is>
      </c>
      <c r="D8" s="6" t="inlineStr">
        <is>
          <t xml:space="preserve">Alterações normativas frequentes exigindo atualização contínua de procedimentos.</t>
        </is>
      </c>
      <c r="E8" s="7" t="inlineStr">
        <is>
          <t xml:space="preserve">Legal/Conformidade</t>
        </is>
      </c>
      <c r="H8" s="7" t="inlineStr">
        <is>
          <t xml:space="preserve">12/01/2026</t>
        </is>
      </c>
      <c r="I8" s="7">
        <v>4</v>
      </c>
      <c r="J8" s="7">
        <v>2</v>
      </c>
      <c r="K8" s="8">
        <f>=I8*J8</f>
        <v>8</v>
      </c>
      <c r="L8" s="8" t="str">
        <f>=IF(K8&gt;=20,"Extremo",IF(K8&gt;=12,"Alto",IF(K8&gt;=5,"Moderado","Baixo")))</f>
        <v>Moderado</v>
      </c>
      <c r="M8" s="7" t="inlineStr">
        <is>
          <t xml:space="preserve">Mitigar</t>
        </is>
      </c>
      <c r="N8" s="6" t="inlineStr">
        <is>
          <t xml:space="preserve">Monitoramento normativo mensal (resenha) e revisão programada dos PROs.</t>
        </is>
      </c>
      <c r="O8" s="7" t="inlineStr">
        <is>
          <t xml:space="preserve">31/12/2026</t>
        </is>
      </c>
      <c r="P8" s="6" t="inlineStr">
        <is>
          <t xml:space="preserve">Bruna Souza</t>
        </is>
      </c>
      <c r="Q8" s="7" t="inlineStr">
        <is>
          <t xml:space="preserve">Em tratamento</t>
        </is>
      </c>
    </row>
    <row r="9">
      <c r="A9" s="4" t="inlineStr">
        <is>
          <t xml:space="preserve">RIS-008</t>
        </is>
      </c>
      <c r="B9" s="8" t="str">
        <f>=IF(ISNUMBER(SEARCH("TR-",C9)),"Tarefa",IF(ISNUMBER(SEARCH("AT-",C9)),"Atividade",IF(ISNUMBER(SEARCH("SP-",C9)),"Subprocesso",IF(ISNUMBER(SEARCH("PP-",C9)),"Processo",IF(OR(LEFT(C9,2)="MG",LEFT(C9,2)="MF",LEFT(C9,2)="MS"),"Macroprocesso","")))))</f>
        <v>Atividade</v>
      </c>
      <c r="C9" s="3" t="inlineStr">
        <is>
          <t xml:space="preserve">MS-01 › PP-01 › SP-01 › AT-01</t>
        </is>
      </c>
      <c r="D9" s="3" t="inlineStr">
        <is>
          <t xml:space="preserve">Uso de fontes de preço não admitidas pela IN SEGES nº 65/2021.</t>
        </is>
      </c>
      <c r="E9" s="4" t="inlineStr">
        <is>
          <t xml:space="preserve">Legal/Conformidade</t>
        </is>
      </c>
      <c r="H9" s="4" t="inlineStr">
        <is>
          <t xml:space="preserve">10/01/2026</t>
        </is>
      </c>
      <c r="I9" s="4">
        <v>2</v>
      </c>
      <c r="J9" s="4">
        <v>3</v>
      </c>
      <c r="K9" s="8">
        <f>=I9*J9</f>
        <v>6</v>
      </c>
      <c r="L9" s="8" t="str">
        <f>=IF(K9&gt;=20,"Extremo",IF(K9&gt;=12,"Alto",IF(K9&gt;=5,"Moderado","Baixo")))</f>
        <v>Moderado</v>
      </c>
      <c r="M9" s="4" t="inlineStr">
        <is>
          <t xml:space="preserve">Mitigar</t>
        </is>
      </c>
      <c r="N9" s="3" t="inlineStr">
        <is>
          <t xml:space="preserve">Validação da pesquisa pela UNP antes da aprovação do valor estimado.</t>
        </is>
      </c>
      <c r="O9" s="4" t="inlineStr">
        <is>
          <t xml:space="preserve">27/04/2026</t>
        </is>
      </c>
      <c r="P9" s="3" t="inlineStr">
        <is>
          <t xml:space="preserve">Carlos Eduardo Lima</t>
        </is>
      </c>
      <c r="Q9" s="4" t="inlineStr">
        <is>
          <t xml:space="preserve">Encerrado</t>
        </is>
      </c>
    </row>
    <row r="10">
      <c r="A10" s="7" t="inlineStr">
        <is>
          <t xml:space="preserve">RIS-009</t>
        </is>
      </c>
      <c r="B10" s="8" t="str">
        <f>=IF(ISNUMBER(SEARCH("TR-",C10)),"Tarefa",IF(ISNUMBER(SEARCH("AT-",C10)),"Atividade",IF(ISNUMBER(SEARCH("SP-",C10)),"Subprocesso",IF(ISNUMBER(SEARCH("PP-",C10)),"Processo",IF(OR(LEFT(C10,2)="MG",LEFT(C10,2)="MF",LEFT(C10,2)="MS"),"Macroprocesso","")))))</f>
        <v>Processo</v>
      </c>
      <c r="C10" s="6" t="inlineStr">
        <is>
          <t xml:space="preserve">MS-01 › PP-01</t>
        </is>
      </c>
      <c r="D10" s="6" t="inlineStr">
        <is>
          <t xml:space="preserve">Baixo engajamento das áreas demandantes no preenchimento do DFD.</t>
        </is>
      </c>
      <c r="E10" s="7" t="inlineStr">
        <is>
          <t xml:space="preserve">Pessoas</t>
        </is>
      </c>
      <c r="H10" s="7" t="inlineStr">
        <is>
          <t xml:space="preserve">05/01/2026</t>
        </is>
      </c>
      <c r="I10" s="7">
        <v>3</v>
      </c>
      <c r="J10" s="7">
        <v>3</v>
      </c>
      <c r="K10" s="8">
        <f>=I10*J10</f>
        <v>9</v>
      </c>
      <c r="L10" s="8" t="str">
        <f>=IF(K10&gt;=20,"Extremo",IF(K10&gt;=12,"Alto",IF(K10&gt;=5,"Moderado","Baixo")))</f>
        <v>Moderado</v>
      </c>
      <c r="M10" s="7" t="inlineStr">
        <is>
          <t xml:space="preserve">Mitigar</t>
        </is>
      </c>
      <c r="N10" s="6" t="inlineStr">
        <is>
          <t xml:space="preserve">Oficinas de capacitação e modelo simplificado de DFD no e-Codevasf.</t>
        </is>
      </c>
      <c r="O10" s="7" t="inlineStr">
        <is>
          <t xml:space="preserve">31/08/2026</t>
        </is>
      </c>
      <c r="P10" s="6" t="inlineStr">
        <is>
          <t xml:space="preserve">Bruna Souza</t>
        </is>
      </c>
      <c r="Q10" s="7" t="inlineStr">
        <is>
          <t xml:space="preserve">Encerrado</t>
        </is>
      </c>
    </row>
  </sheetData>
  <autoFilter ref="A1:Q1"/>
  <dataValidations count="3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300">
      <formula1>Listas!$M$2:$M$7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M2:M300">
      <formula1>Listas!$N$2:$N$5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Q2:Q300">
      <formula1>Listas!$O$2:$O$4</formula1>
    </dataValidation>
  </dataValidations>
</worksheet>
</file>

<file path=xl/worksheets/sheet10.xml><?xml version="1.0" encoding="utf-8"?>
<worksheet xmlns="http://schemas.openxmlformats.org/spreadsheetml/2006/main">
  <sheetPr>
    <tabColor rgb="FF168821"/>
  </sheetPr>
  <dimension ref="A1:M12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38" customWidth="1"/>
    <col min="3" max="3" width="14" customWidth="1"/>
    <col min="4" max="4" width="20" customWidth="1"/>
    <col min="5" max="5" width="18" customWidth="1"/>
    <col min="6" max="6" width="40" customWidth="1"/>
    <col min="7" max="7" width="40" customWidth="1"/>
    <col min="8" max="8" width="9" customWidth="1"/>
    <col min="9" max="9" width="13" customWidth="1"/>
    <col min="10" max="10" width="8" customWidth="1"/>
    <col min="11" max="11" width="13" customWidth="1"/>
    <col min="12" max="12" width="22" customWidth="1"/>
    <col min="13" max="13" width="26" customWidth="1"/>
  </cols>
  <sheetData>
    <row r="1">
      <c r="A1" s="1" t="inlineStr">
        <is>
          <t xml:space="preserve">ID</t>
        </is>
      </c>
      <c r="B1" s="1" t="inlineStr">
        <is>
          <t xml:space="preserve">Nome</t>
        </is>
      </c>
      <c r="C1" s="1" t="inlineStr">
        <is>
          <t xml:space="preserve">Vinculo_Nivel</t>
        </is>
      </c>
      <c r="D1" s="1" t="inlineStr">
        <is>
          <t xml:space="preserve">Vinculo_Codigo</t>
        </is>
      </c>
      <c r="E1" s="1" t="inlineStr">
        <is>
          <t xml:space="preserve">Categoria</t>
        </is>
      </c>
      <c r="F1" s="1" t="inlineStr">
        <is>
          <t xml:space="preserve">Descricao_Formula</t>
        </is>
      </c>
      <c r="G1" s="1" t="inlineStr">
        <is>
          <t xml:space="preserve">Criterios_Desempenho</t>
        </is>
      </c>
      <c r="H1" s="1" t="inlineStr">
        <is>
          <t xml:space="preserve">Unidade</t>
        </is>
      </c>
      <c r="I1" s="1" t="inlineStr">
        <is>
          <t xml:space="preserve">Polaridade</t>
        </is>
      </c>
      <c r="J1" s="1" t="inlineStr">
        <is>
          <t xml:space="preserve">Meta</t>
        </is>
      </c>
      <c r="K1" s="1" t="inlineStr">
        <is>
          <t xml:space="preserve">Periodicidade</t>
        </is>
      </c>
      <c r="L1" s="1" t="inlineStr">
        <is>
          <t xml:space="preserve">Fonte</t>
        </is>
      </c>
      <c r="M1" s="1" t="inlineStr">
        <is>
          <t xml:space="preserve">Observacoes</t>
        </is>
      </c>
    </row>
    <row r="2">
      <c r="A2" s="7" t="inlineStr">
        <is>
          <t xml:space="preserve">IND-001</t>
        </is>
      </c>
      <c r="B2" s="6" t="inlineStr">
        <is>
          <t xml:space="preserve">Tempo médio do ciclo de contratação</t>
        </is>
      </c>
      <c r="C2" s="8" t="str">
        <f>=IF(ISNUMBER(SEARCH("TR-",D2)),"Tarefa",IF(ISNUMBER(SEARCH("AT-",D2)),"Atividade",IF(ISNUMBER(SEARCH("SP-",D2)),"Subprocesso",IF(ISNUMBER(SEARCH("PP-",D2)),"Processo",IF(OR(LEFT(D2,2)="MG",LEFT(D2,2)="MF",LEFT(D2,2)="MS"),"Macroprocesso","")))))</f>
        <v>Macroprocesso</v>
      </c>
      <c r="D2" s="6" t="inlineStr">
        <is>
          <t xml:space="preserve">MS-01</t>
        </is>
      </c>
      <c r="E2" s="7" t="inlineStr">
        <is>
          <t xml:space="preserve">Processo</t>
        </is>
      </c>
      <c r="F2" s="6" t="inlineStr">
        <is>
          <t xml:space="preserve">Média de dias entre o DFD e a homologação do certame.</t>
        </is>
      </c>
      <c r="H2" s="7" t="inlineStr">
        <is>
          <t xml:space="preserve">dias</t>
        </is>
      </c>
      <c r="I2" s="7" t="inlineStr">
        <is>
          <t xml:space="preserve">Menor melhor</t>
        </is>
      </c>
      <c r="J2" s="7">
        <v>120</v>
      </c>
      <c r="K2" s="7" t="inlineStr">
        <is>
          <t xml:space="preserve">Trimestral</t>
        </is>
      </c>
      <c r="L2" s="6" t="inlineStr">
        <is>
          <t xml:space="preserve">Compras.gov.br</t>
        </is>
      </c>
    </row>
    <row r="3">
      <c r="A3" s="4" t="inlineStr">
        <is>
          <t xml:space="preserve">IND-002</t>
        </is>
      </c>
      <c r="B3" s="3" t="inlineStr">
        <is>
          <t xml:space="preserve">Prazo médio de elaboração do ETP</t>
        </is>
      </c>
      <c r="C3" s="8" t="str">
        <f>=IF(ISNUMBER(SEARCH("TR-",D3)),"Tarefa",IF(ISNUMBER(SEARCH("AT-",D3)),"Atividade",IF(ISNUMBER(SEARCH("SP-",D3)),"Subprocesso",IF(ISNUMBER(SEARCH("PP-",D3)),"Processo",IF(OR(LEFT(D3,2)="MG",LEFT(D3,2)="MF",LEFT(D3,2)="MS"),"Macroprocesso","")))))</f>
        <v>Processo</v>
      </c>
      <c r="D3" s="3" t="inlineStr">
        <is>
          <t xml:space="preserve">MS-01 › PP-01</t>
        </is>
      </c>
      <c r="E3" s="4" t="inlineStr">
        <is>
          <t xml:space="preserve">Processo</t>
        </is>
      </c>
      <c r="F3" s="3" t="inlineStr">
        <is>
          <t xml:space="preserve">Média de dias úteis entre o DFD e a aprovação do ETP.</t>
        </is>
      </c>
      <c r="H3" s="4" t="inlineStr">
        <is>
          <t xml:space="preserve">dias</t>
        </is>
      </c>
      <c r="I3" s="4" t="inlineStr">
        <is>
          <t xml:space="preserve">Menor melhor</t>
        </is>
      </c>
      <c r="J3" s="4">
        <v>30</v>
      </c>
      <c r="K3" s="4" t="inlineStr">
        <is>
          <t xml:space="preserve">Mensal</t>
        </is>
      </c>
      <c r="L3" s="3" t="inlineStr">
        <is>
          <t xml:space="preserve">e-Codevasf</t>
        </is>
      </c>
    </row>
    <row r="4">
      <c r="A4" s="7" t="inlineStr">
        <is>
          <t xml:space="preserve">IND-003</t>
        </is>
      </c>
      <c r="B4" s="6" t="inlineStr">
        <is>
          <t xml:space="preserve">Impugnações por edital</t>
        </is>
      </c>
      <c r="C4" s="8" t="str">
        <f>=IF(ISNUMBER(SEARCH("TR-",D4)),"Tarefa",IF(ISNUMBER(SEARCH("AT-",D4)),"Atividade",IF(ISNUMBER(SEARCH("SP-",D4)),"Subprocesso",IF(ISNUMBER(SEARCH("PP-",D4)),"Processo",IF(OR(LEFT(D4,2)="MG",LEFT(D4,2)="MF",LEFT(D4,2)="MS"),"Macroprocesso","")))))</f>
        <v>Processo</v>
      </c>
      <c r="D4" s="6" t="inlineStr">
        <is>
          <t xml:space="preserve">MS-01 › PP-02</t>
        </is>
      </c>
      <c r="E4" s="7" t="inlineStr">
        <is>
          <t xml:space="preserve">Processo</t>
        </is>
      </c>
      <c r="F4" s="6" t="inlineStr">
        <is>
          <t xml:space="preserve">Nº médio de impugnações recebidas por edital publicado.</t>
        </is>
      </c>
      <c r="H4" s="7" t="inlineStr">
        <is>
          <t xml:space="preserve">nº</t>
        </is>
      </c>
      <c r="I4" s="7" t="inlineStr">
        <is>
          <t xml:space="preserve">Menor melhor</t>
        </is>
      </c>
      <c r="J4" s="7">
        <v>1</v>
      </c>
      <c r="K4" s="7" t="inlineStr">
        <is>
          <t xml:space="preserve">Trimestral</t>
        </is>
      </c>
      <c r="L4" s="6" t="inlineStr">
        <is>
          <t xml:space="preserve">Compras.gov.br</t>
        </is>
      </c>
    </row>
    <row r="5">
      <c r="A5" s="4" t="inlineStr">
        <is>
          <t xml:space="preserve">IND-004</t>
        </is>
      </c>
      <c r="B5" s="3" t="inlineStr">
        <is>
          <t xml:space="preserve">Contratos com fiscal designado</t>
        </is>
      </c>
      <c r="C5" s="8" t="str">
        <f>=IF(ISNUMBER(SEARCH("TR-",D5)),"Tarefa",IF(ISNUMBER(SEARCH("AT-",D5)),"Atividade",IF(ISNUMBER(SEARCH("SP-",D5)),"Subprocesso",IF(ISNUMBER(SEARCH("PP-",D5)),"Processo",IF(OR(LEFT(D5,2)="MG",LEFT(D5,2)="MF",LEFT(D5,2)="MS"),"Macroprocesso","")))))</f>
        <v>Processo</v>
      </c>
      <c r="D5" s="3" t="inlineStr">
        <is>
          <t xml:space="preserve">MS-01 › PP-03</t>
        </is>
      </c>
      <c r="E5" s="4" t="inlineStr">
        <is>
          <t xml:space="preserve">Processo</t>
        </is>
      </c>
      <c r="F5" s="3" t="inlineStr">
        <is>
          <t xml:space="preserve">% de contratos vigentes com fiscal formalmente designado.</t>
        </is>
      </c>
      <c r="H5" s="4" t="inlineStr">
        <is>
          <t xml:space="preserve">%</t>
        </is>
      </c>
      <c r="I5" s="4" t="inlineStr">
        <is>
          <t xml:space="preserve">Maior melhor</t>
        </is>
      </c>
      <c r="J5" s="4">
        <v>100</v>
      </c>
      <c r="K5" s="4" t="inlineStr">
        <is>
          <t xml:space="preserve">Mensal</t>
        </is>
      </c>
      <c r="L5" s="3" t="inlineStr">
        <is>
          <t xml:space="preserve">e-Codevasf</t>
        </is>
      </c>
    </row>
    <row r="6">
      <c r="A6" s="7" t="inlineStr">
        <is>
          <t xml:space="preserve">IND-005</t>
        </is>
      </c>
      <c r="B6" s="6" t="inlineStr">
        <is>
          <t xml:space="preserve">Eficiência no uso da água</t>
        </is>
      </c>
      <c r="C6" s="8" t="str">
        <f>=IF(ISNUMBER(SEARCH("TR-",D6)),"Tarefa",IF(ISNUMBER(SEARCH("AT-",D6)),"Atividade",IF(ISNUMBER(SEARCH("SP-",D6)),"Subprocesso",IF(ISNUMBER(SEARCH("PP-",D6)),"Processo",IF(OR(LEFT(D6,2)="MG",LEFT(D6,2)="MF",LEFT(D6,2)="MS"),"Macroprocesso","")))))</f>
        <v>Processo</v>
      </c>
      <c r="D6" s="6" t="inlineStr">
        <is>
          <t xml:space="preserve">MS-01 › PP-01</t>
        </is>
      </c>
      <c r="E6" s="7" t="inlineStr">
        <is>
          <t xml:space="preserve">Processo</t>
        </is>
      </c>
      <c r="F6" s="6" t="inlineStr">
        <is>
          <t xml:space="preserve">Relação % entre volume faturado e volume captado no perímetro.</t>
        </is>
      </c>
      <c r="H6" s="7" t="inlineStr">
        <is>
          <t xml:space="preserve">%</t>
        </is>
      </c>
      <c r="I6" s="7" t="inlineStr">
        <is>
          <t xml:space="preserve">Maior melhor</t>
        </is>
      </c>
      <c r="J6" s="7">
        <v>75</v>
      </c>
      <c r="K6" s="7" t="inlineStr">
        <is>
          <t xml:space="preserve">Mensal</t>
        </is>
      </c>
      <c r="L6" s="6" t="inlineStr">
        <is>
          <t xml:space="preserve">SIG-Irrigação (fictício)</t>
        </is>
      </c>
    </row>
    <row r="7">
      <c r="A7" s="4" t="inlineStr">
        <is>
          <t xml:space="preserve">IND-006</t>
        </is>
      </c>
      <c r="B7" s="3" t="inlineStr">
        <is>
          <t xml:space="preserve">Processos com mapeamento concluído</t>
        </is>
      </c>
      <c r="C7" s="8" t="str">
        <f>=IF(ISNUMBER(SEARCH("TR-",D7)),"Tarefa",IF(ISNUMBER(SEARCH("AT-",D7)),"Atividade",IF(ISNUMBER(SEARCH("SP-",D7)),"Subprocesso",IF(ISNUMBER(SEARCH("PP-",D7)),"Processo",IF(OR(LEFT(D7,2)="MG",LEFT(D7,2)="MF",LEFT(D7,2)="MS"),"Macroprocesso","")))))</f>
        <v>Macroprocesso</v>
      </c>
      <c r="D7" s="3" t="inlineStr">
        <is>
          <t xml:space="preserve">MS-01</t>
        </is>
      </c>
      <c r="E7" s="4" t="inlineStr">
        <is>
          <t xml:space="preserve">Processo</t>
        </is>
      </c>
      <c r="F7" s="3" t="inlineStr">
        <is>
          <t xml:space="preserve">% de processos do macroprocesso com marco M9 concluído.</t>
        </is>
      </c>
      <c r="H7" s="4" t="inlineStr">
        <is>
          <t xml:space="preserve">%</t>
        </is>
      </c>
      <c r="I7" s="4" t="inlineStr">
        <is>
          <t xml:space="preserve">Maior melhor</t>
        </is>
      </c>
      <c r="J7" s="4">
        <v>100</v>
      </c>
      <c r="K7" s="4" t="inlineStr">
        <is>
          <t xml:space="preserve">Trimestral</t>
        </is>
      </c>
      <c r="L7" s="3" t="inlineStr">
        <is>
          <t xml:space="preserve">Painel de Processos</t>
        </is>
      </c>
    </row>
    <row r="8">
      <c r="A8" s="7" t="inlineStr">
        <is>
          <t xml:space="preserve">IND-007</t>
        </is>
      </c>
      <c r="B8" s="6" t="inlineStr">
        <is>
          <t xml:space="preserve">Ações estratégicas monitoradas no prazo</t>
        </is>
      </c>
      <c r="C8" s="8" t="str">
        <f>=IF(ISNUMBER(SEARCH("TR-",D8)),"Tarefa",IF(ISNUMBER(SEARCH("AT-",D8)),"Atividade",IF(ISNUMBER(SEARCH("SP-",D8)),"Subprocesso",IF(ISNUMBER(SEARCH("PP-",D8)),"Processo",IF(OR(LEFT(D8,2)="MG",LEFT(D8,2)="MF",LEFT(D8,2)="MS"),"Macroprocesso","")))))</f>
        <v>Processo</v>
      </c>
      <c r="D8" s="6" t="inlineStr">
        <is>
          <t xml:space="preserve">MS-01 › PP-01</t>
        </is>
      </c>
      <c r="E8" s="7" t="inlineStr">
        <is>
          <t xml:space="preserve">Processo</t>
        </is>
      </c>
      <c r="F8" s="6" t="inlineStr">
        <is>
          <t xml:space="preserve">% de ações do plano com status atualizado no ciclo.</t>
        </is>
      </c>
      <c r="H8" s="7" t="inlineStr">
        <is>
          <t xml:space="preserve">%</t>
        </is>
      </c>
      <c r="I8" s="7" t="inlineStr">
        <is>
          <t xml:space="preserve">Maior melhor</t>
        </is>
      </c>
      <c r="J8" s="7">
        <v>95</v>
      </c>
      <c r="K8" s="7" t="inlineStr">
        <is>
          <t xml:space="preserve">Trimestral</t>
        </is>
      </c>
      <c r="L8" s="6" t="inlineStr">
        <is>
          <t xml:space="preserve">Painéis de BI</t>
        </is>
      </c>
    </row>
    <row r="9">
      <c r="A9" s="4" t="inlineStr">
        <is>
          <t xml:space="preserve">IND-008</t>
        </is>
      </c>
      <c r="B9" s="3" t="inlineStr">
        <is>
          <t xml:space="preserve">Pesquisas de preço com 3+ fontes</t>
        </is>
      </c>
      <c r="C9" s="8" t="str">
        <f>=IF(ISNUMBER(SEARCH("TR-",D9)),"Tarefa",IF(ISNUMBER(SEARCH("AT-",D9)),"Atividade",IF(ISNUMBER(SEARCH("SP-",D9)),"Subprocesso",IF(ISNUMBER(SEARCH("PP-",D9)),"Processo",IF(OR(LEFT(D9,2)="MG",LEFT(D9,2)="MF",LEFT(D9,2)="MS"),"Macroprocesso","")))))</f>
        <v>Subprocesso</v>
      </c>
      <c r="D9" s="3" t="inlineStr">
        <is>
          <t xml:space="preserve">MS-01 › PP-01 › SP-03</t>
        </is>
      </c>
      <c r="E9" s="4" t="inlineStr">
        <is>
          <t xml:space="preserve">Processo</t>
        </is>
      </c>
      <c r="F9" s="3" t="inlineStr">
        <is>
          <t xml:space="preserve">% de pesquisas de preços com três ou mais fontes admitidas.</t>
        </is>
      </c>
      <c r="H9" s="4" t="inlineStr">
        <is>
          <t xml:space="preserve">%</t>
        </is>
      </c>
      <c r="I9" s="4" t="inlineStr">
        <is>
          <t xml:space="preserve">Maior melhor</t>
        </is>
      </c>
      <c r="J9" s="4">
        <v>100</v>
      </c>
      <c r="K9" s="4" t="inlineStr">
        <is>
          <t xml:space="preserve">Mensal</t>
        </is>
      </c>
      <c r="L9" s="3" t="inlineStr">
        <is>
          <t xml:space="preserve">e-Codevasf</t>
        </is>
      </c>
    </row>
    <row r="10">
      <c r="A10" s="7" t="inlineStr">
        <is>
          <t xml:space="preserve">IND-009</t>
        </is>
      </c>
      <c r="B10" s="6" t="inlineStr">
        <is>
          <t xml:space="preserve">Nascentes recuperadas no ano</t>
        </is>
      </c>
      <c r="C10" s="8" t="str">
        <f>=IF(ISNUMBER(SEARCH("TR-",D10)),"Tarefa",IF(ISNUMBER(SEARCH("AT-",D10)),"Atividade",IF(ISNUMBER(SEARCH("SP-",D10)),"Subprocesso",IF(ISNUMBER(SEARCH("PP-",D10)),"Processo",IF(OR(LEFT(D10,2)="MG",LEFT(D10,2)="MF",LEFT(D10,2)="MS"),"Macroprocesso","")))))</f>
        <v>Macroprocesso</v>
      </c>
      <c r="D10" s="6" t="inlineStr">
        <is>
          <t xml:space="preserve">MF-03</t>
        </is>
      </c>
      <c r="E10" s="7" t="inlineStr">
        <is>
          <t xml:space="preserve">Processo</t>
        </is>
      </c>
      <c r="F10" s="6" t="inlineStr">
        <is>
          <t xml:space="preserve">Nº de nascentes com recuperação concluída no exercício.</t>
        </is>
      </c>
      <c r="H10" s="7" t="inlineStr">
        <is>
          <t xml:space="preserve">nº</t>
        </is>
      </c>
      <c r="I10" s="7" t="inlineStr">
        <is>
          <t xml:space="preserve">Maior melhor</t>
        </is>
      </c>
      <c r="J10" s="7">
        <v>120</v>
      </c>
      <c r="K10" s="7" t="inlineStr">
        <is>
          <t xml:space="preserve">Anual</t>
        </is>
      </c>
      <c r="L10" s="6" t="inlineStr">
        <is>
          <t xml:space="preserve">GeoPortal (fictício)</t>
        </is>
      </c>
    </row>
    <row r="11">
      <c r="A11" s="4" t="inlineStr">
        <is>
          <t xml:space="preserve">MET-010</t>
        </is>
      </c>
      <c r="B11" s="3" t="inlineStr">
        <is>
          <t xml:space="preserve">SLA — Tempo de resposta ao demandante</t>
        </is>
      </c>
      <c r="C11" s="8" t="str">
        <f>=IF(ISNUMBER(SEARCH("TR-",D11)),"Tarefa",IF(ISNUMBER(SEARCH("AT-",D11)),"Atividade",IF(ISNUMBER(SEARCH("SP-",D11)),"Subprocesso",IF(ISNUMBER(SEARCH("PP-",D11)),"Processo",IF(OR(LEFT(D11,2)="MG",LEFT(D11,2)="MF",LEFT(D11,2)="MS"),"Macroprocesso","")))))</f>
        <v>Processo</v>
      </c>
      <c r="D11" s="3" t="inlineStr">
        <is>
          <t xml:space="preserve">MS-01 › PP-01</t>
        </is>
      </c>
      <c r="E11" s="4" t="inlineStr">
        <is>
          <t xml:space="preserve">Nível de Serviço (SLA)</t>
        </is>
      </c>
      <c r="F11" s="3" t="inlineStr">
        <is>
          <t xml:space="preserve">Dias úteis entre o recebimento do DFD e o retorno inicial à área demandante.</t>
        </is>
      </c>
      <c r="H11" s="4" t="inlineStr">
        <is>
          <t xml:space="preserve">dias úteis</t>
        </is>
      </c>
      <c r="I11" s="4" t="inlineStr">
        <is>
          <t xml:space="preserve">Menor melhor</t>
        </is>
      </c>
      <c r="J11" s="4">
        <v>5</v>
      </c>
      <c r="K11" s="4" t="inlineStr">
        <is>
          <t xml:space="preserve">Mensal</t>
        </is>
      </c>
      <c r="L11" s="3" t="inlineStr">
        <is>
          <t xml:space="preserve">e-Codevasf</t>
        </is>
      </c>
      <c r="M11" s="3" t="inlineStr">
        <is>
          <t xml:space="preserve">Acordado com as áreas demandantes em 2026.</t>
        </is>
      </c>
    </row>
    <row r="12">
      <c r="A12" s="7" t="inlineStr">
        <is>
          <t xml:space="preserve">MET-011</t>
        </is>
      </c>
      <c r="B12" s="6" t="inlineStr">
        <is>
          <t xml:space="preserve">ROI — Automatização da pesquisa de preços</t>
        </is>
      </c>
      <c r="C12" s="8" t="str">
        <f>=IF(ISNUMBER(SEARCH("TR-",D12)),"Tarefa",IF(ISNUMBER(SEARCH("AT-",D12)),"Atividade",IF(ISNUMBER(SEARCH("SP-",D12)),"Subprocesso",IF(ISNUMBER(SEARCH("PP-",D12)),"Processo",IF(OR(LEFT(D12,2)="MG",LEFT(D12,2)="MF",LEFT(D12,2)="MS"),"Macroprocesso","")))))</f>
        <v>Processo</v>
      </c>
      <c r="D12" s="6" t="inlineStr">
        <is>
          <t xml:space="preserve">MS-01 › PP-01</t>
        </is>
      </c>
      <c r="E12" s="7" t="inlineStr">
        <is>
          <t xml:space="preserve">Financeiro (ROI)</t>
        </is>
      </c>
      <c r="F12" s="6" t="inlineStr">
        <is>
          <t xml:space="preserve">(Economia de horas de trabalho convertida em custo − custo da ferramenta) / custo da ferramenta.</t>
        </is>
      </c>
      <c r="H12" s="7" t="inlineStr">
        <is>
          <t xml:space="preserve">%</t>
        </is>
      </c>
      <c r="I12" s="7" t="inlineStr">
        <is>
          <t xml:space="preserve">Maior melhor</t>
        </is>
      </c>
      <c r="J12" s="7">
        <v>150</v>
      </c>
      <c r="K12" s="7" t="inlineStr">
        <is>
          <t xml:space="preserve">Anual</t>
        </is>
      </c>
      <c r="L12" s="6" t="inlineStr">
        <is>
          <t xml:space="preserve">AE/GPE</t>
        </is>
      </c>
      <c r="M12" s="6" t="inlineStr">
        <is>
          <t xml:space="preserve">Estimativa fictícia para demonstração.</t>
        </is>
      </c>
    </row>
  </sheetData>
  <autoFilter ref="A1:M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I2:I300">
      <formula1>Listas!$R$2:$R$3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K2:K300">
      <formula1>Listas!$S$2:$S$6</formula1>
    </dataValidation>
  </dataValidations>
</worksheet>
</file>

<file path=xl/worksheets/sheet11.xml><?xml version="1.0" encoding="utf-8"?>
<worksheet xmlns="http://schemas.openxmlformats.org/spreadsheetml/2006/main">
  <sheetPr>
    <tabColor rgb="FF168821"/>
  </sheetPr>
  <dimension ref="A1:E14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0" customWidth="1"/>
    <col min="3" max="3" width="13" customWidth="1"/>
    <col min="4" max="4" width="10" customWidth="1"/>
    <col min="5" max="5" width="28" customWidth="1"/>
  </cols>
  <sheetData>
    <row r="1">
      <c r="A1" s="1" t="inlineStr">
        <is>
          <t xml:space="preserve">ID</t>
        </is>
      </c>
      <c r="B1" s="1" t="inlineStr">
        <is>
          <t xml:space="preserve">Metrica_ID</t>
        </is>
      </c>
      <c r="C1" s="1" t="inlineStr">
        <is>
          <t xml:space="preserve">Data_Medicao</t>
        </is>
      </c>
      <c r="D1" s="1" t="inlineStr">
        <is>
          <t xml:space="preserve">Valor</t>
        </is>
      </c>
      <c r="E1" s="1" t="inlineStr">
        <is>
          <t xml:space="preserve">Observacao</t>
        </is>
      </c>
    </row>
    <row r="2">
      <c r="A2" s="7" t="inlineStr">
        <is>
          <t xml:space="preserve">MED-001</t>
        </is>
      </c>
      <c r="B2" s="7" t="inlineStr">
        <is>
          <t xml:space="preserve">IND-001</t>
        </is>
      </c>
      <c r="C2" s="7" t="inlineStr">
        <is>
          <t xml:space="preserve">30/06/2026</t>
        </is>
      </c>
      <c r="D2" s="7">
        <v>148</v>
      </c>
    </row>
    <row r="3">
      <c r="A3" s="4" t="inlineStr">
        <is>
          <t xml:space="preserve">MED-002</t>
        </is>
      </c>
      <c r="B3" s="4" t="inlineStr">
        <is>
          <t xml:space="preserve">IND-002</t>
        </is>
      </c>
      <c r="C3" s="4" t="inlineStr">
        <is>
          <t xml:space="preserve">30/06/2026</t>
        </is>
      </c>
      <c r="D3" s="4">
        <v>26</v>
      </c>
    </row>
    <row r="4">
      <c r="A4" s="7" t="inlineStr">
        <is>
          <t xml:space="preserve">MED-003</t>
        </is>
      </c>
      <c r="B4" s="7" t="inlineStr">
        <is>
          <t xml:space="preserve">IND-003</t>
        </is>
      </c>
      <c r="C4" s="7" t="inlineStr">
        <is>
          <t xml:space="preserve">30/06/2026</t>
        </is>
      </c>
      <c r="D4" s="7">
        <v>0.8</v>
      </c>
    </row>
    <row r="5">
      <c r="A5" s="4" t="inlineStr">
        <is>
          <t xml:space="preserve">MED-004</t>
        </is>
      </c>
      <c r="B5" s="4" t="inlineStr">
        <is>
          <t xml:space="preserve">IND-004</t>
        </is>
      </c>
      <c r="C5" s="4" t="inlineStr">
        <is>
          <t xml:space="preserve">30/06/2026</t>
        </is>
      </c>
      <c r="D5" s="4">
        <v>92</v>
      </c>
    </row>
    <row r="6">
      <c r="A6" s="7" t="inlineStr">
        <is>
          <t xml:space="preserve">MED-005</t>
        </is>
      </c>
      <c r="B6" s="7" t="inlineStr">
        <is>
          <t xml:space="preserve">IND-005</t>
        </is>
      </c>
      <c r="C6" s="7" t="inlineStr">
        <is>
          <t xml:space="preserve">30/06/2026</t>
        </is>
      </c>
      <c r="D6" s="7">
        <v>71</v>
      </c>
    </row>
    <row r="7">
      <c r="A7" s="4" t="inlineStr">
        <is>
          <t xml:space="preserve">MED-006</t>
        </is>
      </c>
      <c r="B7" s="4" t="inlineStr">
        <is>
          <t xml:space="preserve">IND-006</t>
        </is>
      </c>
      <c r="C7" s="4" t="inlineStr">
        <is>
          <t xml:space="preserve">30/06/2026</t>
        </is>
      </c>
      <c r="D7" s="4">
        <v>33</v>
      </c>
    </row>
    <row r="8">
      <c r="A8" s="7" t="inlineStr">
        <is>
          <t xml:space="preserve">MED-007</t>
        </is>
      </c>
      <c r="B8" s="7" t="inlineStr">
        <is>
          <t xml:space="preserve">IND-007</t>
        </is>
      </c>
      <c r="C8" s="7" t="inlineStr">
        <is>
          <t xml:space="preserve">30/06/2026</t>
        </is>
      </c>
      <c r="D8" s="7">
        <v>97</v>
      </c>
    </row>
    <row r="9">
      <c r="A9" s="4" t="inlineStr">
        <is>
          <t xml:space="preserve">MED-008</t>
        </is>
      </c>
      <c r="B9" s="4" t="inlineStr">
        <is>
          <t xml:space="preserve">IND-008</t>
        </is>
      </c>
      <c r="C9" s="4" t="inlineStr">
        <is>
          <t xml:space="preserve">30/06/2026</t>
        </is>
      </c>
      <c r="D9" s="4">
        <v>88</v>
      </c>
    </row>
    <row r="10">
      <c r="A10" s="7" t="inlineStr">
        <is>
          <t xml:space="preserve">MED-901</t>
        </is>
      </c>
      <c r="B10" s="7" t="inlineStr">
        <is>
          <t xml:space="preserve">IND-002</t>
        </is>
      </c>
      <c r="C10" s="7" t="inlineStr">
        <is>
          <t xml:space="preserve">31/03/2026</t>
        </is>
      </c>
      <c r="D10" s="7">
        <v>165</v>
      </c>
      <c r="E10" s="6" t="inlineStr">
        <is>
          <t xml:space="preserve">Primeira apuração do trimestre.</t>
        </is>
      </c>
    </row>
    <row r="11">
      <c r="A11" s="4" t="inlineStr">
        <is>
          <t xml:space="preserve">MED-902</t>
        </is>
      </c>
      <c r="B11" s="4" t="inlineStr">
        <is>
          <t xml:space="preserve">IND-002</t>
        </is>
      </c>
      <c r="C11" s="4" t="inlineStr">
        <is>
          <t xml:space="preserve">31/12/2025</t>
        </is>
      </c>
      <c r="D11" s="4">
        <v>178</v>
      </c>
    </row>
    <row r="12">
      <c r="A12" s="7" t="inlineStr">
        <is>
          <t xml:space="preserve">MED-903</t>
        </is>
      </c>
      <c r="B12" s="7" t="inlineStr">
        <is>
          <t xml:space="preserve">MET-010</t>
        </is>
      </c>
      <c r="C12" s="7" t="inlineStr">
        <is>
          <t xml:space="preserve">31/07/2026</t>
        </is>
      </c>
      <c r="D12" s="7">
        <v>4</v>
      </c>
    </row>
    <row r="13">
      <c r="A13" s="4" t="inlineStr">
        <is>
          <t xml:space="preserve">MED-904</t>
        </is>
      </c>
      <c r="B13" s="4" t="inlineStr">
        <is>
          <t xml:space="preserve">MET-010</t>
        </is>
      </c>
      <c r="C13" s="4" t="inlineStr">
        <is>
          <t xml:space="preserve">30/06/2026</t>
        </is>
      </c>
      <c r="D13" s="4">
        <v>6</v>
      </c>
      <c r="E13" s="3" t="inlineStr">
        <is>
          <t xml:space="preserve">Acúmulo de demandas no fim do semestre.</t>
        </is>
      </c>
    </row>
    <row r="14">
      <c r="A14" s="7" t="inlineStr">
        <is>
          <t xml:space="preserve">MED-905</t>
        </is>
      </c>
      <c r="B14" s="7" t="inlineStr">
        <is>
          <t xml:space="preserve">MET-011</t>
        </is>
      </c>
      <c r="C14" s="7" t="inlineStr">
        <is>
          <t xml:space="preserve">30/06/2026</t>
        </is>
      </c>
      <c r="D14" s="7">
        <v>132</v>
      </c>
    </row>
  </sheetData>
  <autoFilter ref="A1:E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300">
      <formula1>Metricas!$A$2:$A$12</formula1>
    </dataValidation>
  </dataValidations>
</worksheet>
</file>

<file path=xl/worksheets/sheet12.xml><?xml version="1.0" encoding="utf-8"?>
<worksheet xmlns="http://schemas.openxmlformats.org/spreadsheetml/2006/main">
  <sheetPr>
    <tabColor rgb="FF168821"/>
  </sheetPr>
  <dimension ref="A1:F14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4" customWidth="1"/>
    <col min="3" max="3" width="20" customWidth="1"/>
    <col min="4" max="4" width="30" customWidth="1"/>
    <col min="5" max="5" width="16" customWidth="1"/>
    <col min="6" max="6" width="22" customWidth="1"/>
  </cols>
  <sheetData>
    <row r="1">
      <c r="A1" s="1" t="inlineStr">
        <is>
          <t xml:space="preserve">ID</t>
        </is>
      </c>
      <c r="B1" s="1" t="inlineStr">
        <is>
          <t xml:space="preserve">Vinculo_Nivel</t>
        </is>
      </c>
      <c r="C1" s="1" t="inlineStr">
        <is>
          <t xml:space="preserve">Vinculo_Codigo</t>
        </is>
      </c>
      <c r="D1" s="1" t="inlineStr">
        <is>
          <t xml:space="preserve">Papel</t>
        </is>
      </c>
      <c r="E1" s="1" t="inlineStr">
        <is>
          <t xml:space="preserve">Envolvimento</t>
        </is>
      </c>
      <c r="F1" s="1" t="inlineStr">
        <is>
          <t xml:space="preserve">Unidade_Pessoa</t>
        </is>
      </c>
    </row>
    <row r="2">
      <c r="A2" s="7" t="inlineStr">
        <is>
          <t xml:space="preserve">PAP-001</t>
        </is>
      </c>
      <c r="B2" s="8" t="str">
        <f>=IF(ISNUMBER(SEARCH("TR-",C2)),"Tarefa",IF(ISNUMBER(SEARCH("AT-",C2)),"Atividade",IF(ISNUMBER(SEARCH("SP-",C2)),"Subprocesso",IF(ISNUMBER(SEARCH("PP-",C2)),"Processo",IF(OR(LEFT(C2,2)="MG",LEFT(C2,2)="MF",LEFT(C2,2)="MS"),"Macroprocesso","")))))</f>
        <v>Processo</v>
      </c>
      <c r="C2" s="6" t="inlineStr">
        <is>
          <t xml:space="preserve">MS-01 › PP-01</t>
        </is>
      </c>
      <c r="D2" s="6" t="inlineStr">
        <is>
          <t xml:space="preserve">Gestor do processo</t>
        </is>
      </c>
      <c r="E2" s="7" t="inlineStr">
        <is>
          <t xml:space="preserve">Aprova (A)</t>
        </is>
      </c>
      <c r="F2" s="6" t="inlineStr">
        <is>
          <t xml:space="preserve">AE/GAG</t>
        </is>
      </c>
    </row>
    <row r="3">
      <c r="A3" s="4" t="inlineStr">
        <is>
          <t xml:space="preserve">PAP-002</t>
        </is>
      </c>
      <c r="B3" s="8" t="str">
        <f>=IF(ISNUMBER(SEARCH("TR-",C3)),"Tarefa",IF(ISNUMBER(SEARCH("AT-",C3)),"Atividade",IF(ISNUMBER(SEARCH("SP-",C3)),"Subprocesso",IF(ISNUMBER(SEARCH("PP-",C3)),"Processo",IF(OR(LEFT(C3,2)="MG",LEFT(C3,2)="MF",LEFT(C3,2)="MS"),"Macroprocesso","")))))</f>
        <v>Processo</v>
      </c>
      <c r="C3" s="3" t="inlineStr">
        <is>
          <t xml:space="preserve">MS-01 › PP-01</t>
        </is>
      </c>
      <c r="D3" s="3" t="inlineStr">
        <is>
          <t xml:space="preserve">Equipe de planejamento da contratação</t>
        </is>
      </c>
      <c r="E3" s="4" t="inlineStr">
        <is>
          <t xml:space="preserve">Executa (R)</t>
        </is>
      </c>
      <c r="F3" s="3" t="inlineStr">
        <is>
          <t xml:space="preserve">AR/GDT</t>
        </is>
      </c>
    </row>
    <row r="4">
      <c r="A4" s="7" t="inlineStr">
        <is>
          <t xml:space="preserve">PAP-003</t>
        </is>
      </c>
      <c r="B4" s="8" t="str">
        <f>=IF(ISNUMBER(SEARCH("TR-",C4)),"Tarefa",IF(ISNUMBER(SEARCH("AT-",C4)),"Atividade",IF(ISNUMBER(SEARCH("SP-",C4)),"Subprocesso",IF(ISNUMBER(SEARCH("PP-",C4)),"Processo",IF(OR(LEFT(C4,2)="MG",LEFT(C4,2)="MF",LEFT(C4,2)="MS"),"Macroprocesso","")))))</f>
        <v>Processo</v>
      </c>
      <c r="C4" s="6" t="inlineStr">
        <is>
          <t xml:space="preserve">MS-01 › PP-01</t>
        </is>
      </c>
      <c r="D4" s="6" t="inlineStr">
        <is>
          <t xml:space="preserve">Assessoria Jurídica</t>
        </is>
      </c>
      <c r="E4" s="7" t="inlineStr">
        <is>
          <t xml:space="preserve">Consultado (C)</t>
        </is>
      </c>
      <c r="F4" s="6" t="inlineStr">
        <is>
          <t xml:space="preserve">AA/GLC</t>
        </is>
      </c>
    </row>
    <row r="5">
      <c r="A5" s="4" t="inlineStr">
        <is>
          <t xml:space="preserve">PAP-004</t>
        </is>
      </c>
      <c r="B5" s="8" t="str">
        <f>=IF(ISNUMBER(SEARCH("TR-",C5)),"Tarefa",IF(ISNUMBER(SEARCH("AT-",C5)),"Atividade",IF(ISNUMBER(SEARCH("SP-",C5)),"Subprocesso",IF(ISNUMBER(SEARCH("PP-",C5)),"Processo",IF(OR(LEFT(C5,2)="MG",LEFT(C5,2)="MF",LEFT(C5,2)="MS"),"Macroprocesso","")))))</f>
        <v>Processo</v>
      </c>
      <c r="C5" s="3" t="inlineStr">
        <is>
          <t xml:space="preserve">MS-01 › PP-01</t>
        </is>
      </c>
      <c r="D5" s="3" t="inlineStr">
        <is>
          <t xml:space="preserve">UNP</t>
        </is>
      </c>
      <c r="E5" s="4" t="inlineStr">
        <is>
          <t xml:space="preserve">Informado (I)</t>
        </is>
      </c>
      <c r="F5" s="3" t="inlineStr">
        <is>
          <t xml:space="preserve">AE/GPE/UNP</t>
        </is>
      </c>
    </row>
    <row r="6">
      <c r="A6" s="7" t="inlineStr">
        <is>
          <t xml:space="preserve">PAP-005</t>
        </is>
      </c>
      <c r="B6" s="8" t="str">
        <f>=IF(ISNUMBER(SEARCH("TR-",C6)),"Tarefa",IF(ISNUMBER(SEARCH("AT-",C6)),"Atividade",IF(ISNUMBER(SEARCH("SP-",C6)),"Subprocesso",IF(ISNUMBER(SEARCH("PP-",C6)),"Processo",IF(OR(LEFT(C6,2)="MG",LEFT(C6,2)="MF",LEFT(C6,2)="MS"),"Macroprocesso","")))))</f>
        <v>Subprocesso</v>
      </c>
      <c r="C6" s="6" t="inlineStr">
        <is>
          <t xml:space="preserve">MS-01 › PP-01 › SP-03</t>
        </is>
      </c>
      <c r="D6" s="6" t="inlineStr">
        <is>
          <t xml:space="preserve">Equipe de planejamento da contratação</t>
        </is>
      </c>
      <c r="E6" s="7" t="inlineStr">
        <is>
          <t xml:space="preserve">Executa (R)</t>
        </is>
      </c>
      <c r="F6" s="6" t="inlineStr">
        <is>
          <t xml:space="preserve">AR/GDT</t>
        </is>
      </c>
    </row>
    <row r="7">
      <c r="A7" s="4" t="inlineStr">
        <is>
          <t xml:space="preserve">PAP-006</t>
        </is>
      </c>
      <c r="B7" s="8" t="str">
        <f>=IF(ISNUMBER(SEARCH("TR-",C7)),"Tarefa",IF(ISNUMBER(SEARCH("AT-",C7)),"Atividade",IF(ISNUMBER(SEARCH("SP-",C7)),"Subprocesso",IF(ISNUMBER(SEARCH("PP-",C7)),"Processo",IF(OR(LEFT(C7,2)="MG",LEFT(C7,2)="MF",LEFT(C7,2)="MS"),"Macroprocesso","")))))</f>
        <v>Subprocesso</v>
      </c>
      <c r="C7" s="3" t="inlineStr">
        <is>
          <t xml:space="preserve">MS-01 › PP-01 › SP-03</t>
        </is>
      </c>
      <c r="D7" s="3" t="inlineStr">
        <is>
          <t xml:space="preserve">UNP</t>
        </is>
      </c>
      <c r="E7" s="4" t="inlineStr">
        <is>
          <t xml:space="preserve">Consultado (C)</t>
        </is>
      </c>
      <c r="F7" s="3" t="inlineStr">
        <is>
          <t xml:space="preserve">AE/GPE/UNP</t>
        </is>
      </c>
    </row>
    <row r="8">
      <c r="A8" s="7" t="inlineStr">
        <is>
          <t xml:space="preserve">PAP-007</t>
        </is>
      </c>
      <c r="B8" s="8" t="str">
        <f>=IF(ISNUMBER(SEARCH("TR-",C8)),"Tarefa",IF(ISNUMBER(SEARCH("AT-",C8)),"Atividade",IF(ISNUMBER(SEARCH("SP-",C8)),"Subprocesso",IF(ISNUMBER(SEARCH("PP-",C8)),"Processo",IF(OR(LEFT(C8,2)="MG",LEFT(C8,2)="MF",LEFT(C8,2)="MS"),"Macroprocesso","")))))</f>
        <v>Atividade</v>
      </c>
      <c r="C8" s="6" t="inlineStr">
        <is>
          <t xml:space="preserve">MS-01 › PP-01 › SP-01 › AT-01</t>
        </is>
      </c>
      <c r="D8" s="6" t="inlineStr">
        <is>
          <t xml:space="preserve">Analista de planejamento da contratação</t>
        </is>
      </c>
      <c r="E8" s="7" t="inlineStr">
        <is>
          <t xml:space="preserve">Executa (R)</t>
        </is>
      </c>
      <c r="F8" s="6" t="inlineStr">
        <is>
          <t xml:space="preserve">AR/GDT</t>
        </is>
      </c>
    </row>
    <row r="9">
      <c r="A9" s="4" t="inlineStr">
        <is>
          <t xml:space="preserve">PAP-008</t>
        </is>
      </c>
      <c r="B9" s="8" t="str">
        <f>=IF(ISNUMBER(SEARCH("TR-",C9)),"Tarefa",IF(ISNUMBER(SEARCH("AT-",C9)),"Atividade",IF(ISNUMBER(SEARCH("SP-",C9)),"Subprocesso",IF(ISNUMBER(SEARCH("PP-",C9)),"Processo",IF(OR(LEFT(C9,2)="MG",LEFT(C9,2)="MF",LEFT(C9,2)="MS"),"Macroprocesso","")))))</f>
        <v>Processo</v>
      </c>
      <c r="C9" s="3" t="inlineStr">
        <is>
          <t xml:space="preserve">MS-01 › PP-02</t>
        </is>
      </c>
      <c r="D9" s="3" t="inlineStr">
        <is>
          <t xml:space="preserve">Gestor do processo</t>
        </is>
      </c>
      <c r="E9" s="4" t="inlineStr">
        <is>
          <t xml:space="preserve">Aprova (A)</t>
        </is>
      </c>
      <c r="F9" s="3" t="inlineStr">
        <is>
          <t xml:space="preserve">Gerente de Licitações</t>
        </is>
      </c>
    </row>
    <row r="10">
      <c r="A10" s="7" t="inlineStr">
        <is>
          <t xml:space="preserve">PAP-009</t>
        </is>
      </c>
      <c r="B10" s="8" t="str">
        <f>=IF(ISNUMBER(SEARCH("TR-",C10)),"Tarefa",IF(ISNUMBER(SEARCH("AT-",C10)),"Atividade",IF(ISNUMBER(SEARCH("SP-",C10)),"Subprocesso",IF(ISNUMBER(SEARCH("PP-",C10)),"Processo",IF(OR(LEFT(C10,2)="MG",LEFT(C10,2)="MF",LEFT(C10,2)="MS"),"Macroprocesso","")))))</f>
        <v>Processo</v>
      </c>
      <c r="C10" s="6" t="inlineStr">
        <is>
          <t xml:space="preserve">MS-01 › PP-03</t>
        </is>
      </c>
      <c r="D10" s="6" t="inlineStr">
        <is>
          <t xml:space="preserve">Gestor do processo</t>
        </is>
      </c>
      <c r="E10" s="7" t="inlineStr">
        <is>
          <t xml:space="preserve">Aprova (A)</t>
        </is>
      </c>
      <c r="F10" s="6" t="inlineStr">
        <is>
          <t xml:space="preserve">Gerente de Licitações</t>
        </is>
      </c>
    </row>
    <row r="11">
      <c r="A11" s="4" t="inlineStr">
        <is>
          <t xml:space="preserve">PAP-010</t>
        </is>
      </c>
      <c r="B11" s="8" t="str">
        <f>=IF(ISNUMBER(SEARCH("TR-",C11)),"Tarefa",IF(ISNUMBER(SEARCH("AT-",C11)),"Atividade",IF(ISNUMBER(SEARCH("SP-",C11)),"Subprocesso",IF(ISNUMBER(SEARCH("PP-",C11)),"Processo",IF(OR(LEFT(C11,2)="MG",LEFT(C11,2)="MF",LEFT(C11,2)="MS"),"Macroprocesso","")))))</f>
        <v>Processo</v>
      </c>
      <c r="C11" s="3" t="inlineStr">
        <is>
          <t xml:space="preserve">MF-02 › PP-01</t>
        </is>
      </c>
      <c r="D11" s="3" t="inlineStr">
        <is>
          <t xml:space="preserve">Gestor do processo</t>
        </is>
      </c>
      <c r="E11" s="4" t="inlineStr">
        <is>
          <t xml:space="preserve">Aprova (A)</t>
        </is>
      </c>
      <c r="F11" s="3" t="inlineStr">
        <is>
          <t xml:space="preserve">Gerente de Operação</t>
        </is>
      </c>
    </row>
    <row r="12">
      <c r="A12" s="7" t="inlineStr">
        <is>
          <t xml:space="preserve">PAP-011</t>
        </is>
      </c>
      <c r="B12" s="8" t="str">
        <f>=IF(ISNUMBER(SEARCH("TR-",C12)),"Tarefa",IF(ISNUMBER(SEARCH("AT-",C12)),"Atividade",IF(ISNUMBER(SEARCH("SP-",C12)),"Subprocesso",IF(ISNUMBER(SEARCH("PP-",C12)),"Processo",IF(OR(LEFT(C12,2)="MG",LEFT(C12,2)="MF",LEFT(C12,2)="MS"),"Macroprocesso","")))))</f>
        <v>Processo</v>
      </c>
      <c r="C12" s="6" t="inlineStr">
        <is>
          <t xml:space="preserve">MF-03 › PP-01</t>
        </is>
      </c>
      <c r="D12" s="6" t="inlineStr">
        <is>
          <t xml:space="preserve">Gestor do processo</t>
        </is>
      </c>
      <c r="E12" s="7" t="inlineStr">
        <is>
          <t xml:space="preserve">Aprova (A)</t>
        </is>
      </c>
      <c r="F12" s="6" t="inlineStr">
        <is>
          <t xml:space="preserve">Gerente de Revitalização</t>
        </is>
      </c>
    </row>
    <row r="13">
      <c r="A13" s="4" t="inlineStr">
        <is>
          <t xml:space="preserve">PAP-012</t>
        </is>
      </c>
      <c r="B13" s="8" t="str">
        <f>=IF(ISNUMBER(SEARCH("TR-",C13)),"Tarefa",IF(ISNUMBER(SEARCH("AT-",C13)),"Atividade",IF(ISNUMBER(SEARCH("SP-",C13)),"Subprocesso",IF(ISNUMBER(SEARCH("PP-",C13)),"Processo",IF(OR(LEFT(C13,2)="MG",LEFT(C13,2)="MF",LEFT(C13,2)="MS"),"Macroprocesso","")))))</f>
        <v>Processo</v>
      </c>
      <c r="C13" s="3" t="inlineStr">
        <is>
          <t xml:space="preserve">MG-01 › PP-01</t>
        </is>
      </c>
      <c r="D13" s="3" t="inlineStr">
        <is>
          <t xml:space="preserve">Gestor do processo</t>
        </is>
      </c>
      <c r="E13" s="4" t="inlineStr">
        <is>
          <t xml:space="preserve">Aprova (A)</t>
        </is>
      </c>
      <c r="F13" s="3" t="inlineStr">
        <is>
          <t xml:space="preserve">Gerente de Planejamento</t>
        </is>
      </c>
    </row>
    <row r="14">
      <c r="A14" s="7" t="inlineStr">
        <is>
          <t xml:space="preserve">PAP-013</t>
        </is>
      </c>
      <c r="B14" s="8" t="str">
        <f>=IF(ISNUMBER(SEARCH("TR-",C14)),"Tarefa",IF(ISNUMBER(SEARCH("AT-",C14)),"Atividade",IF(ISNUMBER(SEARCH("SP-",C14)),"Subprocesso",IF(ISNUMBER(SEARCH("PP-",C14)),"Processo",IF(OR(LEFT(C14,2)="MG",LEFT(C14,2)="MF",LEFT(C14,2)="MS"),"Macroprocesso","")))))</f>
        <v>Processo</v>
      </c>
      <c r="C14" s="6" t="inlineStr">
        <is>
          <t xml:space="preserve">MS-02 › PP-01</t>
        </is>
      </c>
      <c r="D14" s="6" t="inlineStr">
        <is>
          <t xml:space="preserve">Gestor do processo</t>
        </is>
      </c>
      <c r="E14" s="7" t="inlineStr">
        <is>
          <t xml:space="preserve">Aprova (A)</t>
        </is>
      </c>
      <c r="F14" s="6" t="inlineStr">
        <is>
          <t xml:space="preserve">Gerente de Pessoas</t>
        </is>
      </c>
    </row>
  </sheetData>
  <autoFilter ref="A1:F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300">
      <formula1>Listas!$P$2:$P$5</formula1>
    </dataValidation>
  </dataValidations>
</worksheet>
</file>

<file path=xl/worksheets/sheet13.xml><?xml version="1.0" encoding="utf-8"?>
<worksheet xmlns="http://schemas.openxmlformats.org/spreadsheetml/2006/main">
  <sheetPr>
    <tabColor rgb="FF168821"/>
  </sheetPr>
  <dimension ref="A1:G5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34" customWidth="1"/>
    <col min="3" max="3" width="14" customWidth="1"/>
    <col min="4" max="4" width="20" customWidth="1"/>
    <col min="5" max="5" width="16" customWidth="1"/>
    <col min="6" max="6" width="46" customWidth="1"/>
    <col min="7" max="7" width="24" customWidth="1"/>
  </cols>
  <sheetData>
    <row r="1">
      <c r="A1" s="1" t="inlineStr">
        <is>
          <t xml:space="preserve">ID</t>
        </is>
      </c>
      <c r="B1" s="1" t="inlineStr">
        <is>
          <t xml:space="preserve">Nome</t>
        </is>
      </c>
      <c r="C1" s="1" t="inlineStr">
        <is>
          <t xml:space="preserve">Vinculo_Nivel</t>
        </is>
      </c>
      <c r="D1" s="1" t="inlineStr">
        <is>
          <t xml:space="preserve">Vinculo_Codigo</t>
        </is>
      </c>
      <c r="E1" s="1" t="inlineStr">
        <is>
          <t xml:space="preserve">Tipo_Regra</t>
        </is>
      </c>
      <c r="F1" s="1" t="inlineStr">
        <is>
          <t xml:space="preserve">Descricao</t>
        </is>
      </c>
      <c r="G1" s="1" t="inlineStr">
        <is>
          <t xml:space="preserve">Fonte_Normativa</t>
        </is>
      </c>
    </row>
    <row r="2">
      <c r="A2" s="7" t="inlineStr">
        <is>
          <t xml:space="preserve">REG-001</t>
        </is>
      </c>
      <c r="B2" s="6" t="inlineStr">
        <is>
          <t xml:space="preserve">Alçada de aprovação por valor</t>
        </is>
      </c>
      <c r="C2" s="8" t="str">
        <f>=IF(ISNUMBER(SEARCH("TR-",D2)),"Tarefa",IF(ISNUMBER(SEARCH("AT-",D2)),"Atividade",IF(ISNUMBER(SEARCH("SP-",D2)),"Subprocesso",IF(ISNUMBER(SEARCH("PP-",D2)),"Processo",IF(OR(LEFT(D2,2)="MG",LEFT(D2,2)="MF",LEFT(D2,2)="MS"),"Macroprocesso","")))))</f>
        <v>Macroprocesso</v>
      </c>
      <c r="D2" s="6" t="inlineStr">
        <is>
          <t xml:space="preserve">MS-01</t>
        </is>
      </c>
      <c r="E2" s="7" t="inlineStr">
        <is>
          <t xml:space="preserve">Operação</t>
        </is>
      </c>
      <c r="F2" s="6" t="inlineStr">
        <is>
          <t xml:space="preserve">Contratações acima de R$ 50.000 exigem aprovação da autoridade competente.</t>
        </is>
      </c>
      <c r="G2" s="6" t="inlineStr">
        <is>
          <t xml:space="preserve">Lei nº 14.133/2021</t>
        </is>
      </c>
    </row>
    <row r="3">
      <c r="A3" s="4" t="inlineStr">
        <is>
          <t xml:space="preserve">REG-002</t>
        </is>
      </c>
      <c r="B3" s="3" t="inlineStr">
        <is>
          <t xml:space="preserve">Pesquisa de preços obrigatória</t>
        </is>
      </c>
      <c r="C3" s="8" t="str">
        <f>=IF(ISNUMBER(SEARCH("TR-",D3)),"Tarefa",IF(ISNUMBER(SEARCH("AT-",D3)),"Atividade",IF(ISNUMBER(SEARCH("SP-",D3)),"Subprocesso",IF(ISNUMBER(SEARCH("PP-",D3)),"Processo",IF(OR(LEFT(D3,2)="MG",LEFT(D3,2)="MF",LEFT(D3,2)="MS"),"Macroprocesso","")))))</f>
        <v>Processo</v>
      </c>
      <c r="D3" s="3" t="inlineStr">
        <is>
          <t xml:space="preserve">MS-01 › PP-01</t>
        </is>
      </c>
      <c r="E3" s="4" t="inlineStr">
        <is>
          <t xml:space="preserve">Regulatória</t>
        </is>
      </c>
      <c r="F3" s="3" t="inlineStr">
        <is>
          <t xml:space="preserve">Toda contratação exige pesquisa de preços prévia, conforme métodos definidos em norma.</t>
        </is>
      </c>
      <c r="G3" s="3" t="inlineStr">
        <is>
          <t xml:space="preserve">IN SEGES nº 65/2021</t>
        </is>
      </c>
    </row>
    <row r="4">
      <c r="A4" s="7" t="inlineStr">
        <is>
          <t xml:space="preserve">REG-003</t>
        </is>
      </c>
      <c r="B4" s="6" t="inlineStr">
        <is>
          <t xml:space="preserve">Exclusão de valores discrepantes</t>
        </is>
      </c>
      <c r="C4" s="8" t="str">
        <f>=IF(ISNUMBER(SEARCH("TR-",D4)),"Tarefa",IF(ISNUMBER(SEARCH("AT-",D4)),"Atividade",IF(ISNUMBER(SEARCH("SP-",D4)),"Subprocesso",IF(ISNUMBER(SEARCH("PP-",D4)),"Processo",IF(OR(LEFT(D4,2)="MG",LEFT(D4,2)="MF",LEFT(D4,2)="MS"),"Macroprocesso","")))))</f>
        <v>Subprocesso</v>
      </c>
      <c r="D4" s="6" t="inlineStr">
        <is>
          <t xml:space="preserve">MS-01 › PP-01 › SP-03</t>
        </is>
      </c>
      <c r="E4" s="7" t="inlineStr">
        <is>
          <t xml:space="preserve">Decisão</t>
        </is>
      </c>
      <c r="F4" s="6" t="inlineStr">
        <is>
          <t xml:space="preserve">Valores inexequíveis ou excessivos devem ser excluídos da amostra, com justificativa registrada.</t>
        </is>
      </c>
      <c r="G4" s="6" t="inlineStr">
        <is>
          <t xml:space="preserve">IN SEGES nº 65/2021, art. 6º</t>
        </is>
      </c>
    </row>
    <row r="5">
      <c r="A5" s="4" t="inlineStr">
        <is>
          <t xml:space="preserve">REG-004</t>
        </is>
      </c>
      <c r="B5" s="3" t="inlineStr">
        <is>
          <t xml:space="preserve">Validação jurídica obrigatória</t>
        </is>
      </c>
      <c r="C5" s="8" t="str">
        <f>=IF(ISNUMBER(SEARCH("TR-",D5)),"Tarefa",IF(ISNUMBER(SEARCH("AT-",D5)),"Atividade",IF(ISNUMBER(SEARCH("SP-",D5)),"Subprocesso",IF(ISNUMBER(SEARCH("PP-",D5)),"Processo",IF(OR(LEFT(D5,2)="MG",LEFT(D5,2)="MF",LEFT(D5,2)="MS"),"Macroprocesso","")))))</f>
        <v>Atividade</v>
      </c>
      <c r="D5" s="3" t="inlineStr">
        <is>
          <t xml:space="preserve">MS-01 › PP-01 › SP-01 › AT-02</t>
        </is>
      </c>
      <c r="E5" s="4" t="inlineStr">
        <is>
          <t xml:space="preserve">Procedimento e política</t>
        </is>
      </c>
      <c r="F5" s="3" t="inlineStr">
        <is>
          <t xml:space="preserve">Toda minuta de Termo de Referência deve ser submetida à Assessoria Jurídica antes da publicação do edital.</t>
        </is>
      </c>
      <c r="G5" s="3" t="inlineStr">
        <is>
          <t xml:space="preserve">Lei nº 14.133/2021, art. 53</t>
        </is>
      </c>
    </row>
  </sheetData>
  <autoFilter ref="A1:G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300">
      <formula1>Listas!$Q$2:$Q$5</formula1>
    </dataValidation>
  </dataValidations>
</worksheet>
</file>

<file path=xl/worksheets/sheet14.xml><?xml version="1.0" encoding="utf-8"?>
<worksheet xmlns="http://schemas.openxmlformats.org/spreadsheetml/2006/main">
  <sheetPr>
    <tabColor rgb="FF168821"/>
  </sheetPr>
  <dimension ref="A1:E10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7" customWidth="1"/>
    <col min="3" max="3" width="56" customWidth="1"/>
    <col min="4" max="4" width="14" customWidth="1"/>
    <col min="5" max="5" width="28" customWidth="1"/>
  </cols>
  <sheetData>
    <row r="1">
      <c r="A1" s="1" t="inlineStr">
        <is>
          <t xml:space="preserve">ID</t>
        </is>
      </c>
      <c r="B1" s="1" t="inlineStr">
        <is>
          <t xml:space="preserve">Ordem</t>
        </is>
      </c>
      <c r="C1" s="1" t="inlineStr">
        <is>
          <t xml:space="preserve">Caracteristica</t>
        </is>
      </c>
      <c r="D1" s="1" t="inlineStr">
        <is>
          <t xml:space="preserve">Situacao</t>
        </is>
      </c>
      <c r="E1" s="1" t="inlineStr">
        <is>
          <t xml:space="preserve">Observacao</t>
        </is>
      </c>
    </row>
    <row r="2">
      <c r="A2" s="7" t="inlineStr">
        <is>
          <t xml:space="preserve">CULT-01</t>
        </is>
      </c>
      <c r="B2" s="7">
        <v>1</v>
      </c>
      <c r="C2" s="6" t="inlineStr">
        <is>
          <t xml:space="preserve">Acordo geral sobre o que são os processos de negócio</t>
        </is>
      </c>
      <c r="D2" s="7" t="inlineStr">
        <is>
          <t xml:space="preserve">Não avaliado</t>
        </is>
      </c>
    </row>
    <row r="3">
      <c r="A3" s="4" t="inlineStr">
        <is>
          <t xml:space="preserve">CULT-02</t>
        </is>
      </c>
      <c r="B3" s="4">
        <v>2</v>
      </c>
      <c r="C3" s="3" t="inlineStr">
        <is>
          <t xml:space="preserve">Compreensão de como os processos de negócio interagem e se afetam uns aos outros</t>
        </is>
      </c>
      <c r="D3" s="4" t="inlineStr">
        <is>
          <t xml:space="preserve">Não avaliado</t>
        </is>
      </c>
    </row>
    <row r="4">
      <c r="A4" s="7" t="inlineStr">
        <is>
          <t xml:space="preserve">CULT-03</t>
        </is>
      </c>
      <c r="B4" s="7">
        <v>3</v>
      </c>
      <c r="C4" s="6" t="inlineStr">
        <is>
          <t xml:space="preserve">Definição clara do valor que cada processo produz</t>
        </is>
      </c>
      <c r="D4" s="7" t="inlineStr">
        <is>
          <t xml:space="preserve">Não avaliado</t>
        </is>
      </c>
    </row>
    <row r="5">
      <c r="A5" s="4" t="inlineStr">
        <is>
          <t xml:space="preserve">CULT-04</t>
        </is>
      </c>
      <c r="B5" s="4">
        <v>4</v>
      </c>
      <c r="C5" s="3" t="inlineStr">
        <is>
          <t xml:space="preserve">Documentação de como cada processo produz os seus resultados</t>
        </is>
      </c>
      <c r="D5" s="4" t="inlineStr">
        <is>
          <t xml:space="preserve">Não avaliado</t>
        </is>
      </c>
    </row>
    <row r="6">
      <c r="A6" s="7" t="inlineStr">
        <is>
          <t xml:space="preserve">CULT-05</t>
        </is>
      </c>
      <c r="B6" s="7">
        <v>5</v>
      </c>
      <c r="C6" s="6" t="inlineStr">
        <is>
          <t xml:space="preserve">Compreensão das competências necessárias para cada processo</t>
        </is>
      </c>
      <c r="D6" s="7" t="inlineStr">
        <is>
          <t xml:space="preserve">Não avaliado</t>
        </is>
      </c>
    </row>
    <row r="7">
      <c r="A7" s="4" t="inlineStr">
        <is>
          <t xml:space="preserve">CULT-06</t>
        </is>
      </c>
      <c r="B7" s="4">
        <v>6</v>
      </c>
      <c r="C7" s="3" t="inlineStr">
        <is>
          <t xml:space="preserve">Compreensão do desempenho de cada processo</t>
        </is>
      </c>
      <c r="D7" s="4" t="inlineStr">
        <is>
          <t xml:space="preserve">Não avaliado</t>
        </is>
      </c>
    </row>
    <row r="8">
      <c r="A8" s="7" t="inlineStr">
        <is>
          <t xml:space="preserve">CULT-07</t>
        </is>
      </c>
      <c r="B8" s="7">
        <v>7</v>
      </c>
      <c r="C8" s="6" t="inlineStr">
        <is>
          <t xml:space="preserve">Medição contínua do desempenho dos processos</t>
        </is>
      </c>
      <c r="D8" s="7" t="inlineStr">
        <is>
          <t xml:space="preserve">Não avaliado</t>
        </is>
      </c>
    </row>
    <row r="9">
      <c r="A9" s="4" t="inlineStr">
        <is>
          <t xml:space="preserve">CULT-08</t>
        </is>
      </c>
      <c r="B9" s="4">
        <v>8</v>
      </c>
      <c r="C9" s="3" t="inlineStr">
        <is>
          <t xml:space="preserve">Decisões de gestão baseadas no conhecimento do desempenho dos processos</t>
        </is>
      </c>
      <c r="D9" s="4" t="inlineStr">
        <is>
          <t xml:space="preserve">Não avaliado</t>
        </is>
      </c>
    </row>
    <row r="10">
      <c r="A10" s="7" t="inlineStr">
        <is>
          <t xml:space="preserve">CULT-09</t>
        </is>
      </c>
      <c r="B10" s="7">
        <v>9</v>
      </c>
      <c r="C10" s="6" t="inlineStr">
        <is>
          <t xml:space="preserve">Donos de cada processo com a responsabilidade pelo desempenho do processo</t>
        </is>
      </c>
      <c r="D10" s="7" t="inlineStr">
        <is>
          <t xml:space="preserve">Não avaliado</t>
        </is>
      </c>
    </row>
  </sheetData>
  <autoFilter ref="A1:E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300">
      <formula1>Listas!$T$2:$T$4</formula1>
    </dataValidation>
  </dataValidations>
</worksheet>
</file>

<file path=xl/worksheets/sheet15.xml><?xml version="1.0" encoding="utf-8"?>
<worksheet xmlns="http://schemas.openxmlformats.org/spreadsheetml/2006/main">
  <sheetPr>
    <tabColor rgb="FF168821"/>
  </sheetPr>
  <dimension ref="A1:F4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2" customWidth="1"/>
    <col min="3" max="3" width="42" customWidth="1"/>
    <col min="4" max="4" width="22" customWidth="1"/>
    <col min="5" max="5" width="52" customWidth="1"/>
    <col min="6" max="6" width="26" customWidth="1"/>
  </cols>
  <sheetData>
    <row r="1">
      <c r="A1" s="1" t="inlineStr">
        <is>
          <t xml:space="preserve">ID</t>
        </is>
      </c>
      <c r="B1" s="1" t="inlineStr">
        <is>
          <t xml:space="preserve">Data</t>
        </is>
      </c>
      <c r="C1" s="1" t="inlineStr">
        <is>
          <t xml:space="preserve">Titulo</t>
        </is>
      </c>
      <c r="D1" s="1" t="inlineStr">
        <is>
          <t xml:space="preserve">Tipo</t>
        </is>
      </c>
      <c r="E1" s="1" t="inlineStr">
        <is>
          <t xml:space="preserve">Descricao</t>
        </is>
      </c>
      <c r="F1" s="1" t="inlineStr">
        <is>
          <t xml:space="preserve">Processos_Relacionados</t>
        </is>
      </c>
    </row>
    <row r="2">
      <c r="A2" s="7" t="inlineStr">
        <is>
          <t xml:space="preserve">INI-001</t>
        </is>
      </c>
      <c r="B2" s="7" t="inlineStr">
        <is>
          <t xml:space="preserve">20/05/2026</t>
        </is>
      </c>
      <c r="C2" s="6" t="inlineStr">
        <is>
          <t xml:space="preserve">Automação da conferência de preços na pesquisa (PP-01)</t>
        </is>
      </c>
      <c r="D2" s="7" t="inlineStr">
        <is>
          <t xml:space="preserve">Automação</t>
        </is>
      </c>
      <c r="E2" s="6" t="inlineStr">
        <is>
          <t xml:space="preserve">A equipe de TI usou o PRO e o roteiro de pesquisa de preços publicados no repositório (DOC-007) para especificar uma rotina que já sinaliza valores fora da faixa de mercado antes da aprovação do ETP.</t>
        </is>
      </c>
      <c r="F2" s="6" t="inlineStr">
        <is>
          <t xml:space="preserve">MS-01 › PP-01</t>
        </is>
      </c>
    </row>
    <row r="3">
      <c r="A3" s="4" t="inlineStr">
        <is>
          <t xml:space="preserve">INI-002</t>
        </is>
      </c>
      <c r="B3" s="4" t="inlineStr">
        <is>
          <t xml:space="preserve">10/06/2026</t>
        </is>
      </c>
      <c r="C3" s="3" t="inlineStr">
        <is>
          <t xml:space="preserve">Nova gerência reaproveitou o modelo de DFD para abrir seu próprio mapeamento</t>
        </is>
      </c>
      <c r="D3" s="4" t="inlineStr">
        <is>
          <t xml:space="preserve">Reaproveitamento de modelo</t>
        </is>
      </c>
      <c r="E3" s="3" t="inlineStr">
        <is>
          <t xml:space="preserve">A Gerência de Pessoas usou o Modelo de DFD (DOC-006) e o roteiro de contextualização do repositório para estruturar o levantamento do processo de Admissão e Integração (PP-07), sem precisar da UNP para montar os artefatos do zero.</t>
        </is>
      </c>
      <c r="F3" s="3" t="inlineStr">
        <is>
          <t xml:space="preserve">MS-01 › PP-01</t>
        </is>
      </c>
    </row>
    <row r="4">
      <c r="A4" s="7" t="inlineStr">
        <is>
          <t xml:space="preserve">INI-003</t>
        </is>
      </c>
      <c r="B4" s="7" t="inlineStr">
        <is>
          <t xml:space="preserve">02/07/2026</t>
        </is>
      </c>
      <c r="C4" s="6" t="inlineStr">
        <is>
          <t xml:space="preserve">Checklist de conformidade virou exigência do comitê de contratações</t>
        </is>
      </c>
      <c r="D4" s="7" t="inlineStr">
        <is>
          <t xml:space="preserve">Decisão de governança</t>
        </is>
      </c>
      <c r="E4" s="6" t="inlineStr">
        <is>
          <t xml:space="preserve">O Checklist de Conformidade (DOC-015), criado para o PP-01, foi adotado pelo comitê interno de contratações como item obrigatório de pauta antes da homologação de qualquer certame acima de R$ 100 mil.</t>
        </is>
      </c>
      <c r="F4" s="6" t="inlineStr">
        <is>
          <t xml:space="preserve">MS-01 › PP-01; MS-01 › PP-02</t>
        </is>
      </c>
    </row>
  </sheetData>
  <autoFilter ref="A1:F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300">
      <formula1>Listas!$U$2:$U$5</formula1>
    </dataValidation>
  </dataValidations>
</worksheet>
</file>

<file path=xl/worksheets/sheet16.xml><?xml version="1.0" encoding="utf-8"?>
<worksheet xmlns="http://schemas.openxmlformats.org/spreadsheetml/2006/main">
  <sheetPr>
    <tabColor rgb="FF155BCB"/>
  </sheetPr>
  <dimension ref="A1:D8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46" customWidth="1"/>
    <col min="3" max="3" width="14" customWidth="1"/>
    <col min="4" max="4" width="90" customWidth="1"/>
  </cols>
  <sheetData>
    <row r="1">
      <c r="A1" s="1" t="inlineStr">
        <is>
          <t xml:space="preserve">Ordem</t>
        </is>
      </c>
      <c r="B1" s="1" t="inlineStr">
        <is>
          <t xml:space="preserve">Instancia</t>
        </is>
      </c>
      <c r="C1" s="1" t="inlineStr">
        <is>
          <t xml:space="preserve">Item_Normativo</t>
        </is>
      </c>
      <c r="D1" s="1" t="inlineStr">
        <is>
          <t xml:space="preserve">Atribuicoes</t>
        </is>
      </c>
    </row>
    <row r="2">
      <c r="A2" s="7">
        <v>1</v>
      </c>
      <c r="B2" s="6" t="inlineStr">
        <is>
          <t xml:space="preserve">Conselho de Administração</t>
        </is>
      </c>
      <c r="C2" s="7">
        <v>3.1</v>
      </c>
      <c r="D2" s="6" t="inlineStr">
        <is>
          <t xml:space="preserve">Garantir o apoio institucional para a gestão de processos.</t>
        </is>
      </c>
    </row>
    <row r="3">
      <c r="A3" s="4">
        <v>2</v>
      </c>
      <c r="B3" s="3" t="inlineStr">
        <is>
          <t xml:space="preserve">Diretoria Executiva</t>
        </is>
      </c>
      <c r="C3" s="4">
        <v>3.2</v>
      </c>
      <c r="D3" s="3" t="inlineStr">
        <is>
          <t xml:space="preserve">Definir diretrizes para a gestão de processos; Aprovar a metodologia de gestão de processos; Aprovar a priorização para a gestão de processos; Aprovar os indicadores e metas de desempenho dos processos; Avaliar a aferição dos indicadores dos processos.</t>
        </is>
      </c>
    </row>
    <row r="4">
      <c r="A4" s="7">
        <v>3</v>
      </c>
      <c r="B4" s="6" t="inlineStr">
        <is>
          <t xml:space="preserve">Unidade de Gestão Normativa e de Processos (AE/GPE/UNP)</t>
        </is>
      </c>
      <c r="C4" s="7">
        <v>3.3</v>
      </c>
      <c r="D4" s="6" t="inlineStr">
        <is>
          <t xml:space="preserve">Promover e supervisionar a gestão de processos na Codevasf; Coordenar o Núcleo de Gestão Normativa e de Processos; Sistematizar, padronizar e difundir princípios, práticas e padrões de gestão de processos; Elaborar e manter atualizada a metodologia de gestão de processos; Fornecer orientação e treinamento sobre o gerenciamento de processos; Difundir a cultura de gestão de processos; Gerenciar a arquitetura e o repositório de processos; Consolidar informações por meio de relatórios gerenciais.</t>
        </is>
      </c>
    </row>
    <row r="5">
      <c r="A5" s="4">
        <v>4</v>
      </c>
      <c r="B5" s="3" t="inlineStr">
        <is>
          <t xml:space="preserve">Núcleo de Gestão Normativa e de Processos (Nugep)</t>
        </is>
      </c>
      <c r="C5" s="4">
        <v>3.4</v>
      </c>
      <c r="D5" s="3" t="inlineStr">
        <is>
          <t xml:space="preserve">Propor as diretrizes sobre a gestão de processos; Auxiliar no acompanhamento dos resultados dos processos e na proposição de correções e melhorias; Avaliar e propor melhorias na metodologia de gestão de processos; Avaliar e propor melhorias para elaboração de indicadores e metas de desempenho; Avaliar e propor melhorias nos artefatos e documentos relacionados à gestão de processos; Fomentar e promover a gestão de processos em suas unidades organizacionais; Propor a priorização para o gerenciamento de processos.</t>
        </is>
      </c>
    </row>
    <row r="6">
      <c r="A6" s="7">
        <v>5</v>
      </c>
      <c r="B6" s="6" t="inlineStr">
        <is>
          <t xml:space="preserve">Ponto focal do Nugep</t>
        </is>
      </c>
      <c r="C6" s="7">
        <v>3.5</v>
      </c>
      <c r="D6" s="6" t="inlineStr">
        <is>
          <t xml:space="preserve">Conduzir e coordenar os trabalhos de gerenciamento de processos no âmbito de sua unidade orgânica; Conduzir as oficinas de trabalho para levantamento, análise, coleta de informações e proposição de melhorias; Planejar a implementação, o monitoramento e a avaliação dos processos mapeados; Atuar como fornecedor de informações técnicas específicas, mesmo em processo fora de sua unidade de lotação; Atuar como agente multiplicador e facilitador da AE/GPE/UNP; Ter perfil de liderança e conhecimento em gestão de processos; Ter prioridade nas capacitações relacionadas ao tema.</t>
        </is>
      </c>
    </row>
    <row r="7">
      <c r="A7" s="4">
        <v>6</v>
      </c>
      <c r="B7" s="3" t="inlineStr">
        <is>
          <t xml:space="preserve">Gestor do processo</t>
        </is>
      </c>
      <c r="C7" s="4">
        <v>3.6</v>
      </c>
      <c r="D7" s="3" t="inlineStr">
        <is>
          <t xml:space="preserve">Aprovar os processos de trabalho mapeados pelos respectivos pontos focais do Nugep; Formar equipe de gerenciamento de processos para gerenciamento do processo; Engajar os atores do processo nos trabalhos de gerenciamento do processo; Gerenciar e monitorar os processos sob sua responsabilidade; Reportar os resultados dos processos à AE/GPE/UNP; Acompanhar os trabalhos de gerenciamento dos processos sob sua responsabilidade; Elaborar, monitorar e prestar informações sobre os indicadores de desempenho dos processos; Assegurar que o processo atenda às expectativas de desempenho estabelecidas; Propor melhorias ou inovações, com vistas a tornar os processos/subprocessos eficientes, eficazes e efetivos; Disseminar os processos/subprocessos mapeados dentro da respectiva unidade orgânica.</t>
        </is>
      </c>
    </row>
    <row r="8">
      <c r="A8" s="7">
        <v>7</v>
      </c>
      <c r="B8" s="6" t="inlineStr">
        <is>
          <t xml:space="preserve">Equipe de Gerenciamento de Processo</t>
        </is>
      </c>
      <c r="C8" s="7">
        <v>3.7</v>
      </c>
      <c r="D8" s="6" t="inlineStr">
        <is>
          <t xml:space="preserve">Realizar o gerenciamento dos processos priorizados de sua competência.</t>
        </is>
      </c>
    </row>
  </sheetData>
  <autoFilter ref="A1:D1"/>
</worksheet>
</file>

<file path=xl/worksheets/sheet17.xml><?xml version="1.0" encoding="utf-8"?>
<worksheet xmlns="http://schemas.openxmlformats.org/spreadsheetml/2006/main">
  <sheetPr>
    <tabColor rgb="FF155BCB"/>
  </sheetPr>
  <dimension ref="A1:I10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13" customWidth="1"/>
    <col min="3" max="3" width="30" customWidth="1"/>
    <col min="4" max="4" width="12" customWidth="1"/>
    <col min="5" max="5" width="44" customWidth="1"/>
    <col min="6" max="6" width="60" customWidth="1"/>
    <col min="7" max="7" width="30" customWidth="1"/>
    <col min="8" max="8" width="40" customWidth="1"/>
    <col min="9" max="9" width="40" customWidth="1"/>
  </cols>
  <sheetData>
    <row r="1">
      <c r="A1" s="1" t="inlineStr">
        <is>
          <t xml:space="preserve">Ordem</t>
        </is>
      </c>
      <c r="B1" s="1" t="inlineStr">
        <is>
          <t xml:space="preserve">Fase</t>
        </is>
      </c>
      <c r="C1" s="1" t="inlineStr">
        <is>
          <t xml:space="preserve">Nome</t>
        </is>
      </c>
      <c r="D1" s="1" t="inlineStr">
        <is>
          <t xml:space="preserve">Duracao</t>
        </is>
      </c>
      <c r="E1" s="1" t="inlineStr">
        <is>
          <t xml:space="preserve">Objetivo</t>
        </is>
      </c>
      <c r="F1" s="1" t="inlineStr">
        <is>
          <t xml:space="preserve">Atividades_Chave</t>
        </is>
      </c>
      <c r="G1" s="1" t="inlineStr">
        <is>
          <t xml:space="preserve">Quem_Faz</t>
        </is>
      </c>
      <c r="H1" s="1" t="inlineStr">
        <is>
          <t xml:space="preserve">Entregaveis</t>
        </is>
      </c>
      <c r="I1" s="1" t="inlineStr">
        <is>
          <t xml:space="preserve">Sentimento_Usuario</t>
        </is>
      </c>
    </row>
    <row r="2">
      <c r="A2" s="7">
        <v>1</v>
      </c>
      <c r="B2" s="7" t="inlineStr">
        <is>
          <t xml:space="preserve">Descobrir</t>
        </is>
      </c>
      <c r="C2" s="6" t="inlineStr">
        <is>
          <t xml:space="preserve">Escuta e contextualização</t>
        </is>
      </c>
      <c r="D2" s="7" t="inlineStr">
        <is>
          <t xml:space="preserve">1–2 semanas</t>
        </is>
      </c>
      <c r="E2" s="6" t="inlineStr">
        <is>
          <t xml:space="preserve">Compreender a dor real, o contexto e as expectativas de quem executa e de quem se beneficia do processo.</t>
        </is>
      </c>
      <c r="F2" s="6" t="inlineStr">
        <is>
          <t xml:space="preserve">Reunião de sensibilização com a unidade demandante; Entrevistas semiestruturadas com executores e gestores; Aplicação do formulário de contextualização; Escuta ativa das partes interessadas (jornada empática)</t>
        </is>
      </c>
      <c r="G2" s="6" t="inlineStr">
        <is>
          <t xml:space="preserve">NUGEP; Interlocutor da área; Dono do processo</t>
        </is>
      </c>
      <c r="H2" s="6" t="inlineStr">
        <is>
          <t xml:space="preserve">Ata de reunião; Formulário preenchido; Mapa de partes interessadas</t>
        </is>
      </c>
      <c r="I2" s="6" t="inlineStr">
        <is>
          <t xml:space="preserve">Curiosidade e ansiedade: “por que estão olhando meu trabalho?”</t>
        </is>
      </c>
    </row>
    <row r="3">
      <c r="A3" s="4">
        <v>2</v>
      </c>
      <c r="B3" s="4" t="inlineStr">
        <is>
          <t xml:space="preserve">Definir</t>
        </is>
      </c>
      <c r="C3" s="3" t="inlineStr">
        <is>
          <t xml:space="preserve">Delimitação de escopo</t>
        </is>
      </c>
      <c r="D3" s="4" t="inlineStr">
        <is>
          <t xml:space="preserve">1 semana</t>
        </is>
      </c>
      <c r="E3" s="3" t="inlineStr">
        <is>
          <t xml:space="preserve">Traçar limites claros: onde começa, onde termina, quem participa e o que está fora do mapeamento.</t>
        </is>
      </c>
      <c r="F3" s="3" t="inlineStr">
        <is>
          <t xml:space="preserve">SIPOC preliminar (Fornecedores, Entradas, Processo, Saídas, Clientes); Identificação de sistemas e normativos aplicáveis; Definição de premissas, restrições e critérios de sucesso; Termo de abertura do projeto de mapeamento (PMBOK)</t>
        </is>
      </c>
      <c r="G3" s="3" t="inlineStr">
        <is>
          <t xml:space="preserve">Gerente do projeto; NUGEP</t>
        </is>
      </c>
      <c r="H3" s="3" t="inlineStr">
        <is>
          <t xml:space="preserve">Ficha do mapeamento publicada</t>
        </is>
      </c>
      <c r="I3" s="3" t="inlineStr">
        <is>
          <t xml:space="preserve">Segurança: “agora sei o que esperam de mim”</t>
        </is>
      </c>
    </row>
    <row r="4">
      <c r="A4" s="7">
        <v>3</v>
      </c>
      <c r="B4" s="7" t="inlineStr">
        <is>
          <t xml:space="preserve">Desenvolver</t>
        </is>
      </c>
      <c r="C4" s="6" t="inlineStr">
        <is>
          <t xml:space="preserve">Modelagem AS-IS</t>
        </is>
      </c>
      <c r="D4" s="7" t="inlineStr">
        <is>
          <t xml:space="preserve">2–4 semanas</t>
        </is>
      </c>
      <c r="E4" s="6" t="inlineStr">
        <is>
          <t xml:space="preserve">Fotografar o processo como ele é hoje, incluindo variações, filas, retrabalhos e workarounds.</t>
        </is>
      </c>
      <c r="F4" s="6" t="inlineStr">
        <is>
          <t xml:space="preserve">Workshops de modelagem com quem executa; Desenho BPMN no Bizagi (com anexação de evidências); Registro de hipóteses, dores e memória do mapeamento (no processo e-Codevasf/e-Codevasf); Identificação de riscos, gargalos e handoffs</t>
        </is>
      </c>
      <c r="G4" s="6" t="inlineStr">
        <is>
          <t xml:space="preserve">Equipe de mapeamento; Executores do processo</t>
        </is>
      </c>
      <c r="H4" s="6" t="inlineStr">
        <is>
          <t xml:space="preserve">Diagrama BPMN AS-IS; Lista de dores e riscos</t>
        </is>
      </c>
      <c r="I4" s="6" t="inlineStr">
        <is>
          <t xml:space="preserve">Reconhecimento: “alguém finalmente enxerga o que a gente vive”</t>
        </is>
      </c>
    </row>
    <row r="5">
      <c r="A5" s="4">
        <v>4</v>
      </c>
      <c r="B5" s="4" t="inlineStr">
        <is>
          <t xml:space="preserve">Desenvolver</t>
        </is>
      </c>
      <c r="C5" s="3" t="inlineStr">
        <is>
          <t xml:space="preserve">Validação AS-IS</t>
        </is>
      </c>
      <c r="D5" s="4" t="inlineStr">
        <is>
          <t xml:space="preserve">1 semana</t>
        </is>
      </c>
      <c r="E5" s="3" t="inlineStr">
        <is>
          <t xml:space="preserve">Confirmar com quem executa e com quem decide que o retrato do processo é fiel.</t>
        </is>
      </c>
      <c r="F5" s="3" t="inlineStr">
        <is>
          <t xml:space="preserve">Reunião de validação com donos e executores; Ajustes finos no BPMN e nos artefatos; Homologação formal do AS-IS</t>
        </is>
      </c>
      <c r="G5" s="3" t="inlineStr">
        <is>
          <t xml:space="preserve">Dono do processo; NUGEP</t>
        </is>
      </c>
      <c r="H5" s="3" t="inlineStr">
        <is>
          <t xml:space="preserve">AS-IS homologado e publicado no repositório</t>
        </is>
      </c>
      <c r="I5" s="3" t="inlineStr">
        <is>
          <t xml:space="preserve">Orgulho: “é isso que a gente faz”</t>
        </is>
      </c>
    </row>
    <row r="6">
      <c r="A6" s="7">
        <v>5</v>
      </c>
      <c r="B6" s="7" t="inlineStr">
        <is>
          <t xml:space="preserve">Desenvolver</t>
        </is>
      </c>
      <c r="C6" s="6" t="inlineStr">
        <is>
          <t xml:space="preserve">Análise do processo</t>
        </is>
      </c>
      <c r="D6" s="7" t="inlineStr">
        <is>
          <t xml:space="preserve">1–2 semanas</t>
        </is>
      </c>
      <c r="E6" s="6" t="inlineStr">
        <is>
          <t xml:space="preserve">Investigar as causas dos problemas do AS-IS validado e preparar o plano de melhorias, antes de redesenhar o processo.</t>
        </is>
      </c>
      <c r="F6" s="6" t="inlineStr">
        <is>
          <t xml:space="preserve">Entrevista estruturada por componente habilitador (pessoas, fluxo de trabalho, TI, regras/políticas, métricas, infraestrutura, colaboração); Identificação de causas e consequências dos problemas; Elaboração de propostas de melhoria; Plano de Ação pela técnica 5W2H</t>
        </is>
      </c>
      <c r="G6" s="6" t="inlineStr">
        <is>
          <t xml:space="preserve">Equipe de gerenciamento de processo; Dono do processo</t>
        </is>
      </c>
      <c r="H6" s="6" t="inlineStr">
        <is>
          <t xml:space="preserve">Lista de problemas e causas; Plano de Ação (5W2H)</t>
        </is>
      </c>
      <c r="I6" s="6" t="inlineStr">
        <is>
          <t xml:space="preserve">Alívio: “agora vamos atacar o que realmente trava o meu trabalho”</t>
        </is>
      </c>
    </row>
    <row r="7">
      <c r="A7" s="4">
        <v>6</v>
      </c>
      <c r="B7" s="4" t="inlineStr">
        <is>
          <t xml:space="preserve">Desenvolver</t>
        </is>
      </c>
      <c r="C7" s="3" t="inlineStr">
        <is>
          <t xml:space="preserve">Redesenho TO-BE</t>
        </is>
      </c>
      <c r="D7" s="4" t="inlineStr">
        <is>
          <t xml:space="preserve">2–4 semanas</t>
        </is>
      </c>
      <c r="E7" s="3" t="inlineStr">
        <is>
          <t xml:space="preserve">Desenhar o processo desejado, eliminando desperdícios e melhorando a experiência de quem executa e de quem recebe.</t>
        </is>
      </c>
      <c r="F7" s="3" t="inlineStr">
        <is>
          <t xml:space="preserve">Análise de causas-raiz das dores identificadas; Ideação de melhorias com a equipe da área; Modelagem TO-BE (BPMN) e simulação de cenários; Definição de indicadores de desempenho e riscos residuais</t>
        </is>
      </c>
      <c r="G7" s="3" t="inlineStr">
        <is>
          <t xml:space="preserve">NUGEP; Área; Escritório de Riscos (2ª linha)</t>
        </is>
      </c>
      <c r="H7" s="3" t="inlineStr">
        <is>
          <t xml:space="preserve">Diagrama TO-BE; Indicadores; Plano de transição</t>
        </is>
      </c>
      <c r="I7" s="3" t="inlineStr">
        <is>
          <t xml:space="preserve">Esperança: “dá pra melhorar de verdade”</t>
        </is>
      </c>
    </row>
    <row r="8">
      <c r="A8" s="7">
        <v>7</v>
      </c>
      <c r="B8" s="7" t="inlineStr">
        <is>
          <t xml:space="preserve">Entregar</t>
        </is>
      </c>
      <c r="C8" s="6" t="inlineStr">
        <is>
          <t xml:space="preserve">Publicação e transição</t>
        </is>
      </c>
      <c r="D8" s="7" t="inlineStr">
        <is>
          <t xml:space="preserve">2 semanas</t>
        </is>
      </c>
      <c r="E8" s="6" t="inlineStr">
        <is>
          <t xml:space="preserve">Colocar o novo processo em operação com apoio, treinamento e comunicação clara.</t>
        </is>
      </c>
      <c r="F8" s="6" t="inlineStr">
        <is>
          <t xml:space="preserve">Publicação no repositório institucional de processos; Capacitação dos executores e multiplicadores; Atualização de normativos e do e-Codevasf; Lançamento do TO-BE</t>
        </is>
      </c>
      <c r="G8" s="6" t="inlineStr">
        <is>
          <t xml:space="preserve">Área responsável; NUGEP; Comunicação</t>
        </is>
      </c>
      <c r="H8" s="6" t="inlineStr">
        <is>
          <t xml:space="preserve">Processo publicado; Equipe capacitada; Comunicação institucional</t>
        </is>
      </c>
      <c r="I8" s="6" t="inlineStr">
        <is>
          <t xml:space="preserve">Confiança: “fui preparado para o novo jeito”</t>
        </is>
      </c>
    </row>
    <row r="9">
      <c r="A9" s="4">
        <v>8</v>
      </c>
      <c r="B9" s="4" t="inlineStr">
        <is>
          <t xml:space="preserve">Evoluir</t>
        </is>
      </c>
      <c r="C9" s="3" t="inlineStr">
        <is>
          <t xml:space="preserve">Monitoramento e indicadores</t>
        </is>
      </c>
      <c r="D9" s="4" t="inlineStr">
        <is>
          <t xml:space="preserve">Contínuo</t>
        </is>
      </c>
      <c r="E9" s="3" t="inlineStr">
        <is>
          <t xml:space="preserve">Acompanhar o desempenho real do processo e a experiência de quem o executa e recebe.</t>
        </is>
      </c>
      <c r="F9" s="3" t="inlineStr">
        <is>
          <t xml:space="preserve">Coleta de indicadores (eficiência, eficácia, qualidade, satisfação); Monitoramento de riscos e controles (2ª linha); Escuta contínua da unidade e dos beneficiários</t>
        </is>
      </c>
      <c r="G9" s="3" t="inlineStr">
        <is>
          <t xml:space="preserve">Dono do processo; NUGEP; Escritório de Riscos</t>
        </is>
      </c>
      <c r="H9" s="3" t="inlineStr">
        <is>
          <t xml:space="preserve">Painel de indicadores; Radar de riscos atualizado</t>
        </is>
      </c>
      <c r="I9" s="3" t="inlineStr">
        <is>
          <t xml:space="preserve">Pertencimento: “meu trabalho é acompanhado e valorizado”</t>
        </is>
      </c>
    </row>
    <row r="10">
      <c r="A10" s="7">
        <v>9</v>
      </c>
      <c r="B10" s="7" t="inlineStr">
        <is>
          <t xml:space="preserve">Evoluir</t>
        </is>
      </c>
      <c r="C10" s="6" t="inlineStr">
        <is>
          <t xml:space="preserve">Melhoria contínua</t>
        </is>
      </c>
      <c r="D10" s="7" t="inlineStr">
        <is>
          <t xml:space="preserve">Contínuo</t>
        </is>
      </c>
      <c r="E10" s="6" t="inlineStr">
        <is>
          <t xml:space="preserve">Fechar o ciclo: aprender, ajustar e reiniciar a jornada sempre que necessário (PDCA/CBOK 4.0).</t>
        </is>
      </c>
      <c r="F10" s="6" t="inlineStr">
        <is>
          <t xml:space="preserve">Retrospectivas periódicas com a área; Revisão do processo com base em dados e feedback; Abertura de novo ciclo de redesenho quando necessário</t>
        </is>
      </c>
      <c r="G10" s="6" t="inlineStr">
        <is>
          <t xml:space="preserve">NUGEP; Comunidade de prática BPM</t>
        </is>
      </c>
      <c r="H10" s="6" t="inlineStr">
        <is>
          <t xml:space="preserve">Novo ciclo de mapeamento ou ajustes incrementais</t>
        </is>
      </c>
      <c r="I10" s="6" t="inlineStr">
        <is>
          <t xml:space="preserve">Autonomia: “nosso processo é vivo, evolui com a gente”</t>
        </is>
      </c>
    </row>
  </sheetData>
  <autoFilter ref="A1:I1"/>
</worksheet>
</file>

<file path=xl/worksheets/sheet18.xml><?xml version="1.0" encoding="utf-8"?>
<worksheet xmlns="http://schemas.openxmlformats.org/spreadsheetml/2006/main">
  <sheetPr>
    <tabColor rgb="FF155BCB"/>
  </sheetPr>
  <dimension ref="A1:H16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8" customWidth="1"/>
    <col min="3" max="3" width="15" customWidth="1"/>
    <col min="4" max="4" width="42" customWidth="1"/>
    <col min="5" max="5" width="56" customWidth="1"/>
    <col min="6" max="6" width="12" customWidth="1"/>
    <col min="7" max="7" width="50" customWidth="1"/>
    <col min="8" max="8" width="7" customWidth="1"/>
  </cols>
  <sheetData>
    <row r="1">
      <c r="A1" s="1" t="inlineStr">
        <is>
          <t xml:space="preserve">ID</t>
        </is>
      </c>
      <c r="B1" s="1" t="inlineStr">
        <is>
          <t xml:space="preserve">Categoria</t>
        </is>
      </c>
      <c r="C1" s="1" t="inlineStr">
        <is>
          <t xml:space="preserve">Fase_Ciclo</t>
        </is>
      </c>
      <c r="D1" s="1" t="inlineStr">
        <is>
          <t xml:space="preserve">Titulo</t>
        </is>
      </c>
      <c r="E1" s="1" t="inlineStr">
        <is>
          <t xml:space="preserve">Descricao</t>
        </is>
      </c>
      <c r="F1" s="1" t="inlineStr">
        <is>
          <t xml:space="preserve">Fonte</t>
        </is>
      </c>
      <c r="G1" s="1" t="inlineStr">
        <is>
          <t xml:space="preserve">Link</t>
        </is>
      </c>
      <c r="H1" s="1" t="inlineStr">
        <is>
          <t xml:space="preserve">Ordem</t>
        </is>
      </c>
    </row>
    <row r="2">
      <c r="A2" s="7" t="inlineStr">
        <is>
          <t xml:space="preserve">REP-001</t>
        </is>
      </c>
      <c r="B2" s="7" t="inlineStr">
        <is>
          <t xml:space="preserve">Documento oficial</t>
        </is>
      </c>
      <c r="D2" s="6" t="inlineStr">
        <is>
          <t xml:space="preserve">Metodologia de Gerenciamento de Processos da Codevasf</t>
        </is>
      </c>
      <c r="E2" s="6" t="inlineStr">
        <is>
          <t xml:space="preserve">Documento normativo que institui a metodologia corporativa de gerenciamento de processos (disponível na intranet/e-Codevasf).</t>
        </is>
      </c>
      <c r="F2" s="6" t="inlineStr">
        <is>
          <t xml:space="preserve">Codevasf</t>
        </is>
      </c>
      <c r="G2" s="6" t="inlineStr">
        <is>
          <t xml:space="preserve">https://intraplone.codevasf.gov.br/documentos_normativos_referencia/governanca-e-gestao/copy_of_planos/met_gerenciamento-processos_res-031_2025-01-08.pdf</t>
        </is>
      </c>
      <c r="H2" s="7">
        <v>1</v>
      </c>
    </row>
    <row r="3">
      <c r="A3" s="4" t="inlineStr">
        <is>
          <t xml:space="preserve">REP-002</t>
        </is>
      </c>
      <c r="B3" s="4" t="inlineStr">
        <is>
          <t xml:space="preserve">Documento oficial</t>
        </is>
      </c>
      <c r="D3" s="3" t="inlineStr">
        <is>
          <t xml:space="preserve">Guia de Gerenciamento de Processos da Codevasf</t>
        </is>
      </c>
      <c r="E3" s="3" t="inlineStr">
        <is>
          <t xml:space="preserve">Guia prático que detalha etapas, papéis, artefatos e padrões do mapeamento (disponível na intranet/e-Codevasf).</t>
        </is>
      </c>
      <c r="F3" s="3" t="inlineStr">
        <is>
          <t xml:space="preserve">Codevasf</t>
        </is>
      </c>
      <c r="G3" s="3" t="inlineStr">
        <is>
          <t xml:space="preserve">https://intraplone.codevasf.gov.br/documentos_normativos_referencia/governanca-e-gestao/copy_of_planos/guia_gerenciamento-processos_res-031_2025-01-08.pdf</t>
        </is>
      </c>
      <c r="H3" s="4">
        <v>2</v>
      </c>
    </row>
    <row r="4">
      <c r="A4" s="7" t="inlineStr">
        <is>
          <t xml:space="preserve">REP-005</t>
        </is>
      </c>
      <c r="B4" s="7" t="inlineStr">
        <is>
          <t xml:space="preserve">Template</t>
        </is>
      </c>
      <c r="C4" s="7" t="inlineStr">
        <is>
          <t xml:space="preserve">Desenho</t>
        </is>
      </c>
      <c r="D4" s="6" t="inlineStr">
        <is>
          <t xml:space="preserve">Modelo de Diagramas BPMN</t>
        </is>
      </c>
      <c r="E4" s="6" t="inlineStr">
        <is>
          <t xml:space="preserve">Template padrão para modelagem em BPMN 2.0 (pools, lanes, eventos, atividades e gateways), em formato Bizagi e draw.io.</t>
        </is>
      </c>
      <c r="F4" s="6" t="inlineStr">
        <is>
          <t xml:space="preserve">Codevasf</t>
        </is>
      </c>
      <c r="G4" s="6" t="inlineStr">
        <is>
          <t xml:space="preserve">https://exemplo.codevasf.gov.br/modelos/template-bpmn.bpm</t>
        </is>
      </c>
      <c r="H4" s="7">
        <v>5</v>
      </c>
    </row>
    <row r="5">
      <c r="A5" s="4" t="inlineStr">
        <is>
          <t xml:space="preserve">REP-006</t>
        </is>
      </c>
      <c r="B5" s="4" t="inlineStr">
        <is>
          <t xml:space="preserve">Template</t>
        </is>
      </c>
      <c r="C5" s="4" t="inlineStr">
        <is>
          <t xml:space="preserve">Análise</t>
        </is>
      </c>
      <c r="D5" s="3" t="inlineStr">
        <is>
          <t xml:space="preserve">Roteiro de Reunião de Contextualização</t>
        </is>
      </c>
      <c r="E5" s="3" t="inlineStr">
        <is>
          <t xml:space="preserve">Guia para conduzir a reunião de contextualização: perguntas-guia, dinâmicas de elicitação e checklist de tópicos.</t>
        </is>
      </c>
      <c r="F5" s="3" t="inlineStr">
        <is>
          <t xml:space="preserve">Codevasf</t>
        </is>
      </c>
      <c r="G5" s="3" t="inlineStr">
        <is>
          <t xml:space="preserve">https://exemplo.codevasf.gov.br/modelos/roteiro-contextualizacao.docx</t>
        </is>
      </c>
      <c r="H5" s="4">
        <v>6</v>
      </c>
    </row>
    <row r="6">
      <c r="A6" s="7" t="inlineStr">
        <is>
          <t xml:space="preserve">REP-011</t>
        </is>
      </c>
      <c r="B6" s="7" t="inlineStr">
        <is>
          <t xml:space="preserve">Instrumento</t>
        </is>
      </c>
      <c r="C6" s="7" t="inlineStr">
        <is>
          <t xml:space="preserve">Desenho</t>
        </is>
      </c>
      <c r="D6" s="6" t="inlineStr">
        <is>
          <t xml:space="preserve">Checklist BPMN 2.0 (notação)</t>
        </is>
      </c>
      <c r="E6" s="6" t="inlineStr">
        <is>
          <t xml:space="preserve">Lista de verificação dos elementos mínimos para um diagrama BPMN aderente ao padrão.</t>
        </is>
      </c>
      <c r="F6" s="6" t="inlineStr">
        <is>
          <t xml:space="preserve">CBOK 4.0</t>
        </is>
      </c>
      <c r="G6" s="6" t="inlineStr">
        <is>
          <t xml:space="preserve">https://exemplo.codevasf.gov.br/instrumentos/bpmn-01.docx</t>
        </is>
      </c>
      <c r="H6" s="7">
        <v>11</v>
      </c>
    </row>
    <row r="7">
      <c r="A7" s="4" t="inlineStr">
        <is>
          <t xml:space="preserve">REP-012</t>
        </is>
      </c>
      <c r="B7" s="4" t="inlineStr">
        <is>
          <t xml:space="preserve">Instrumento</t>
        </is>
      </c>
      <c r="C7" s="4" t="inlineStr">
        <is>
          <t xml:space="preserve">Desenho</t>
        </is>
      </c>
      <c r="D7" s="3" t="inlineStr">
        <is>
          <t xml:space="preserve">Matriz RACI</t>
        </is>
      </c>
      <c r="E7" s="3" t="inlineStr">
        <is>
          <t xml:space="preserve">Atribui Responsável (R), Aprovador (A), Consultado (C) e Informado (I) por atividade.</t>
        </is>
      </c>
      <c r="F7" s="3" t="inlineStr">
        <is>
          <t xml:space="preserve">PMBOK</t>
        </is>
      </c>
      <c r="G7" s="3" t="inlineStr">
        <is>
          <t xml:space="preserve">https://exemplo.codevasf.gov.br/instrumentos/raci-01.xlsx</t>
        </is>
      </c>
      <c r="H7" s="4">
        <v>12</v>
      </c>
    </row>
    <row r="8">
      <c r="A8" s="7" t="inlineStr">
        <is>
          <t xml:space="preserve">REP-013</t>
        </is>
      </c>
      <c r="B8" s="7" t="inlineStr">
        <is>
          <t xml:space="preserve">Instrumento</t>
        </is>
      </c>
      <c r="C8" s="7" t="inlineStr">
        <is>
          <t xml:space="preserve">Monitoramento</t>
        </is>
      </c>
      <c r="D8" s="6" t="inlineStr">
        <is>
          <t xml:space="preserve">Canvas de Indicador (KPI)</t>
        </is>
      </c>
      <c r="E8" s="6" t="inlineStr">
        <is>
          <t xml:space="preserve">Define nome, fórmula, fonte, meta, periodicidade e responsável de um indicador.</t>
        </is>
      </c>
      <c r="F8" s="6" t="inlineStr">
        <is>
          <t xml:space="preserve">Codevasf</t>
        </is>
      </c>
      <c r="G8" s="6" t="inlineStr">
        <is>
          <t xml:space="preserve">https://exemplo.codevasf.gov.br/instrumentos/kpi-01.docx</t>
        </is>
      </c>
      <c r="H8" s="7">
        <v>13</v>
      </c>
    </row>
    <row r="9">
      <c r="A9" s="4" t="inlineStr">
        <is>
          <t xml:space="preserve">REP-014</t>
        </is>
      </c>
      <c r="B9" s="4" t="inlineStr">
        <is>
          <t xml:space="preserve">Instrumento</t>
        </is>
      </c>
      <c r="C9" s="4" t="inlineStr">
        <is>
          <t xml:space="preserve">Análise</t>
        </is>
      </c>
      <c r="D9" s="3" t="inlineStr">
        <is>
          <t xml:space="preserve">Registro de Riscos (ISO 31000)</t>
        </is>
      </c>
      <c r="E9" s="3" t="inlineStr">
        <is>
          <t xml:space="preserve">Identifica risco, causa, efeito, probabilidade, impacto, resposta e responsável.</t>
        </is>
      </c>
      <c r="F9" s="3" t="inlineStr">
        <is>
          <t xml:space="preserve">ISO 31000</t>
        </is>
      </c>
      <c r="G9" s="3" t="inlineStr">
        <is>
          <t xml:space="preserve">https://exemplo.codevasf.gov.br/instrumentos/risk-01.xlsx</t>
        </is>
      </c>
      <c r="H9" s="4">
        <v>14</v>
      </c>
    </row>
    <row r="10">
      <c r="A10" s="7" t="inlineStr">
        <is>
          <t xml:space="preserve">REP-015</t>
        </is>
      </c>
      <c r="B10" s="7" t="inlineStr">
        <is>
          <t xml:space="preserve">Instrumento</t>
        </is>
      </c>
      <c r="C10" s="7" t="inlineStr">
        <is>
          <t xml:space="preserve">Análise</t>
        </is>
      </c>
      <c r="D10" s="6" t="inlineStr">
        <is>
          <t xml:space="preserve">Roteiro de entrevista AS-IS</t>
        </is>
      </c>
      <c r="E10" s="6" t="inlineStr">
        <is>
          <t xml:space="preserve">Perguntas-guia para levantar o processo como ele é hoje com quem executa.</t>
        </is>
      </c>
      <c r="F10" s="6" t="inlineStr">
        <is>
          <t xml:space="preserve">CBOK 4.0</t>
        </is>
      </c>
      <c r="G10" s="6" t="inlineStr">
        <is>
          <t xml:space="preserve">https://exemplo.codevasf.gov.br/instrumentos/as-is-01.docx</t>
        </is>
      </c>
      <c r="H10" s="7">
        <v>15</v>
      </c>
    </row>
    <row r="11">
      <c r="A11" s="4" t="inlineStr">
        <is>
          <t xml:space="preserve">REP-016</t>
        </is>
      </c>
      <c r="B11" s="4" t="inlineStr">
        <is>
          <t xml:space="preserve">Instrumento</t>
        </is>
      </c>
      <c r="C11" s="4" t="inlineStr">
        <is>
          <t xml:space="preserve">Implementação</t>
        </is>
      </c>
      <c r="D11" s="3" t="inlineStr">
        <is>
          <t xml:space="preserve">Plano de transição AS-IS → TO-BE</t>
        </is>
      </c>
      <c r="E11" s="3" t="inlineStr">
        <is>
          <t xml:space="preserve">Compara o processo atual e o futuro e organiza as ações de migração.</t>
        </is>
      </c>
      <c r="F11" s="3" t="inlineStr">
        <is>
          <t xml:space="preserve">CBOK 4.0</t>
        </is>
      </c>
      <c r="G11" s="3" t="inlineStr">
        <is>
          <t xml:space="preserve">https://exemplo.codevasf.gov.br/instrumentos/to-be-01.docx</t>
        </is>
      </c>
      <c r="H11" s="4">
        <v>16</v>
      </c>
    </row>
    <row r="12">
      <c r="A12" s="7" t="inlineStr">
        <is>
          <t xml:space="preserve">REP-017</t>
        </is>
      </c>
      <c r="B12" s="7" t="inlineStr">
        <is>
          <t xml:space="preserve">Instrumento</t>
        </is>
      </c>
      <c r="C12" s="7" t="inlineStr">
        <is>
          <t xml:space="preserve">Refinamento</t>
        </is>
      </c>
      <c r="D12" s="6" t="inlineStr">
        <is>
          <t xml:space="preserve">Diagnóstico rápido de maturidade (PEMM)</t>
        </is>
      </c>
      <c r="E12" s="6" t="inlineStr">
        <is>
          <t xml:space="preserve">Autoavaliação em 5 dimensões: desenho, executores, dono, infraestrutura e indicadores.</t>
        </is>
      </c>
      <c r="F12" s="6" t="inlineStr">
        <is>
          <t xml:space="preserve">CBOK 4.0</t>
        </is>
      </c>
      <c r="G12" s="6" t="inlineStr">
        <is>
          <t xml:space="preserve">https://exemplo.codevasf.gov.br/instrumentos/mat-01.xlsx</t>
        </is>
      </c>
      <c r="H12" s="7">
        <v>17</v>
      </c>
    </row>
    <row r="13">
      <c r="A13" s="4" t="inlineStr">
        <is>
          <t xml:space="preserve">REP-018</t>
        </is>
      </c>
      <c r="B13" s="4" t="inlineStr">
        <is>
          <t xml:space="preserve">Ferramenta</t>
        </is>
      </c>
      <c r="C13" s="4" t="inlineStr">
        <is>
          <t xml:space="preserve">Desenho</t>
        </is>
      </c>
      <c r="D13" s="3" t="inlineStr">
        <is>
          <t xml:space="preserve">Bizagi Modeler</t>
        </is>
      </c>
      <c r="E13" s="3" t="inlineStr">
        <is>
          <t xml:space="preserve">Ferramenta gratuita de modelagem BPMN 2.0, recomendada pela UNP para os diagramas AS-IS e TO-BE.</t>
        </is>
      </c>
      <c r="F13" s="3" t="inlineStr">
        <is>
          <t xml:space="preserve">Bizagi</t>
        </is>
      </c>
      <c r="G13" s="3" t="inlineStr">
        <is>
          <t xml:space="preserve">https://www.bizagi.com/pt/plataforma/modeler</t>
        </is>
      </c>
      <c r="H13" s="4">
        <v>18</v>
      </c>
    </row>
    <row r="14">
      <c r="A14" s="7" t="inlineStr">
        <is>
          <t xml:space="preserve">REP-022</t>
        </is>
      </c>
      <c r="B14" s="7" t="inlineStr">
        <is>
          <t xml:space="preserve">Referência</t>
        </is>
      </c>
      <c r="D14" s="6" t="inlineStr">
        <is>
          <t xml:space="preserve">BPM CBOK 4.0 — ABPMP International</t>
        </is>
      </c>
      <c r="E14" s="6" t="inlineStr">
        <is>
          <t xml:space="preserve">Guia de referência em gerenciamento de processos de negócio; padrão metodológico principal da UNP.</t>
        </is>
      </c>
      <c r="F14" s="6" t="inlineStr">
        <is>
          <t xml:space="preserve">ABPMP</t>
        </is>
      </c>
      <c r="G14" s="6" t="inlineStr">
        <is>
          <t xml:space="preserve">https://www.abpmp-br.org</t>
        </is>
      </c>
      <c r="H14" s="7">
        <v>22</v>
      </c>
    </row>
    <row r="15">
      <c r="A15" s="4" t="inlineStr">
        <is>
          <t xml:space="preserve">REP-033</t>
        </is>
      </c>
      <c r="B15" s="4" t="inlineStr">
        <is>
          <t xml:space="preserve">Referência</t>
        </is>
      </c>
      <c r="D15" s="3" t="inlineStr">
        <is>
          <t xml:space="preserve">BPMN 2.0 — Business Process Model and Notation</t>
        </is>
      </c>
      <c r="E15" s="3" t="inlineStr">
        <is>
          <t xml:space="preserve">Especificação oficial da notação usada nos diagramas (Bizagi e demais ferramentas de modelagem): símbolos, semântica de execução e serialização XML.</t>
        </is>
      </c>
      <c r="F15" s="3" t="inlineStr">
        <is>
          <t xml:space="preserve">OMG (Object Management Group)</t>
        </is>
      </c>
      <c r="G15" s="3" t="inlineStr">
        <is>
          <t xml:space="preserve">https://www.omg.org/spec/BPMN/2.0/</t>
        </is>
      </c>
      <c r="H15" s="4">
        <v>23</v>
      </c>
    </row>
    <row r="16">
      <c r="A16" s="7" t="inlineStr">
        <is>
          <t xml:space="preserve">REP-025</t>
        </is>
      </c>
      <c r="B16" s="7" t="inlineStr">
        <is>
          <t xml:space="preserve">Template</t>
        </is>
      </c>
      <c r="C16" s="7" t="inlineStr">
        <is>
          <t xml:space="preserve">Análise</t>
        </is>
      </c>
      <c r="D16" s="6" t="inlineStr">
        <is>
          <t xml:space="preserve">Mapa de Partes Interessadas (modelo)</t>
        </is>
      </c>
      <c r="E16" s="6" t="inlineStr">
        <is>
          <t xml:space="preserve">Identifica e classifica stakeholders por interesse e influência, com estratégia de engajamento por grupo.</t>
        </is>
      </c>
      <c r="F16" s="6" t="inlineStr">
        <is>
          <t xml:space="preserve">PMBOK</t>
        </is>
      </c>
      <c r="G16" s="6" t="inlineStr">
        <is>
          <t xml:space="preserve">https://exemplo.codevasf.gov.br/modelos/mapa-partes-interessadas.xlsx</t>
        </is>
      </c>
      <c r="H16" s="7">
        <v>25</v>
      </c>
    </row>
  </sheetData>
  <autoFilter ref="A1:H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300">
      <formula1>Listas!$V$2:$V$6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300">
      <formula1>Listas!$W$2:$W$7</formula1>
    </dataValidation>
  </dataValidations>
</worksheet>
</file>

<file path=xl/worksheets/sheet19.xml><?xml version="1.0" encoding="utf-8"?>
<worksheet xmlns="http://schemas.openxmlformats.org/spreadsheetml/2006/main">
  <sheetPr>
    <tabColor rgb="FF155BCB"/>
  </sheetPr>
  <dimension ref="A1:I13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24" customWidth="1"/>
    <col min="3" max="3" width="34" customWidth="1"/>
    <col min="4" max="4" width="14" customWidth="1"/>
    <col min="5" max="5" width="38" customWidth="1"/>
    <col min="6" max="6" width="32" customWidth="1"/>
    <col min="7" max="7" width="16" customWidth="1"/>
    <col min="8" max="8" width="46" customWidth="1"/>
    <col min="9" max="9" width="11" customWidth="1"/>
  </cols>
  <sheetData>
    <row r="1">
      <c r="A1" s="1" t="inlineStr">
        <is>
          <t xml:space="preserve">Ordem</t>
        </is>
      </c>
      <c r="B1" s="1" t="inlineStr">
        <is>
          <t xml:space="preserve">Nome</t>
        </is>
      </c>
      <c r="C1" s="1" t="inlineStr">
        <is>
          <t xml:space="preserve">Papel</t>
        </is>
      </c>
      <c r="D1" s="1" t="inlineStr">
        <is>
          <t xml:space="preserve">Unidade_Sigla</t>
        </is>
      </c>
      <c r="E1" s="1" t="inlineStr">
        <is>
          <t xml:space="preserve">Unidade_Nome</t>
        </is>
      </c>
      <c r="F1" s="1" t="inlineStr">
        <is>
          <t xml:space="preserve">Email</t>
        </is>
      </c>
      <c r="G1" s="1" t="inlineStr">
        <is>
          <t xml:space="preserve">Telefone</t>
        </is>
      </c>
      <c r="H1" s="1" t="inlineStr">
        <is>
          <t xml:space="preserve">Foto</t>
        </is>
      </c>
      <c r="I1" s="1" t="inlineStr">
        <is>
          <t xml:space="preserve">Hierarquia</t>
        </is>
      </c>
    </row>
    <row r="2">
      <c r="A2" s="7">
        <v>1</v>
      </c>
      <c r="B2" s="6" t="inlineStr">
        <is>
          <t xml:space="preserve">Ricardo Nunes Vasconcelos</t>
        </is>
      </c>
      <c r="C2" s="6" t="inlineStr">
        <is>
          <t xml:space="preserve">Gerente-Executivo da Área de Gestão Estratégica</t>
        </is>
      </c>
      <c r="D2" s="7" t="inlineStr">
        <is>
          <t xml:space="preserve">AE</t>
        </is>
      </c>
      <c r="E2" s="8" t="str">
        <f>=IFERROR(VLOOKUP(D2,Siglas!$A:$B,2,0),"")</f>
        <v>Área de Estratégia e Finanças</v>
      </c>
      <c r="F2" s="6" t="inlineStr">
        <is>
          <t xml:space="preserve">ricardo.vasconcelos@codevasf.gov.br</t>
        </is>
      </c>
      <c r="G2" s="7" t="inlineStr">
        <is>
          <t xml:space="preserve">(61) 2028-4400</t>
        </is>
      </c>
      <c r="H2" s="6" t="inlineStr">
        <is>
          <t xml:space="preserve">https://randomuser.me/api/portraits/men/32.jpg</t>
        </is>
      </c>
      <c r="I2" s="7">
        <v>1</v>
      </c>
    </row>
    <row r="3">
      <c r="A3" s="4">
        <v>2</v>
      </c>
      <c r="B3" s="3" t="inlineStr">
        <is>
          <t xml:space="preserve">Patrícia Moreira Lopes</t>
        </is>
      </c>
      <c r="C3" s="3" t="inlineStr">
        <is>
          <t xml:space="preserve">Gerente de Planejamento Estratégico</t>
        </is>
      </c>
      <c r="D3" s="4" t="inlineStr">
        <is>
          <t xml:space="preserve">AE/GPE</t>
        </is>
      </c>
      <c r="E3" s="8" t="str">
        <f>=IFERROR(VLOOKUP(D3,Siglas!$A:$B,2,0),"")</f>
        <v>Gerência de Planejamento Estratégico</v>
      </c>
      <c r="F3" s="3" t="inlineStr">
        <is>
          <t xml:space="preserve">patricia.lopes@codevasf.gov.br</t>
        </is>
      </c>
      <c r="G3" s="4" t="inlineStr">
        <is>
          <t xml:space="preserve">(61) 2028-4430</t>
        </is>
      </c>
      <c r="H3" s="3" t="inlineStr">
        <is>
          <t xml:space="preserve">https://randomuser.me/api/portraits/women/68.jpg</t>
        </is>
      </c>
      <c r="I3" s="4">
        <v>2</v>
      </c>
    </row>
    <row r="4">
      <c r="A4" s="7">
        <v>3</v>
      </c>
      <c r="B4" s="6" t="inlineStr">
        <is>
          <t xml:space="preserve">Bruna Souza</t>
        </is>
      </c>
      <c r="C4" s="6" t="inlineStr">
        <is>
          <t xml:space="preserve">Coordenadora do NUGEP</t>
        </is>
      </c>
      <c r="D4" s="7" t="inlineStr">
        <is>
          <t xml:space="preserve">AE/GPE/UNP</t>
        </is>
      </c>
      <c r="E4" s="8" t="str">
        <f>=IFERROR(VLOOKUP(D4,Siglas!$A:$B,2,0),"")</f>
        <v>Unidade de Gestão Normativa e de Processos</v>
      </c>
      <c r="F4" s="6" t="inlineStr">
        <is>
          <t xml:space="preserve">bruna.souza@codevasf.gov.br</t>
        </is>
      </c>
      <c r="G4" s="7" t="inlineStr">
        <is>
          <t xml:space="preserve">(61) 2028-4441</t>
        </is>
      </c>
      <c r="H4" s="6" t="inlineStr">
        <is>
          <t xml:space="preserve">https://randomuser.me/api/portraits/women/44.jpg</t>
        </is>
      </c>
      <c r="I4" s="7">
        <v>3</v>
      </c>
    </row>
    <row r="5">
      <c r="A5" s="4">
        <v>4</v>
      </c>
      <c r="B5" s="3" t="inlineStr">
        <is>
          <t xml:space="preserve">Carlos Eduardo Lima</t>
        </is>
      </c>
      <c r="C5" s="3" t="inlineStr">
        <is>
          <t xml:space="preserve">Analista de Processos</t>
        </is>
      </c>
      <c r="D5" s="4" t="inlineStr">
        <is>
          <t xml:space="preserve">AE/GPE</t>
        </is>
      </c>
      <c r="E5" s="8" t="str">
        <f>=IFERROR(VLOOKUP(D5,Siglas!$A:$B,2,0),"")</f>
        <v>Gerência de Planejamento Estratégico</v>
      </c>
      <c r="F5" s="3" t="inlineStr">
        <is>
          <t xml:space="preserve">carlos.lima@codevasf.gov.br</t>
        </is>
      </c>
      <c r="G5" s="4" t="inlineStr">
        <is>
          <t xml:space="preserve">(61) 2028-4442</t>
        </is>
      </c>
      <c r="H5" s="3" t="inlineStr">
        <is>
          <t xml:space="preserve">https://randomuser.me/api/portraits/men/45.jpg</t>
        </is>
      </c>
      <c r="I5" s="4">
        <v>3</v>
      </c>
    </row>
    <row r="6">
      <c r="A6" s="7">
        <v>5</v>
      </c>
      <c r="B6" s="6" t="inlineStr">
        <is>
          <t xml:space="preserve">Daniela Ribeiro</t>
        </is>
      </c>
      <c r="C6" s="6" t="inlineStr">
        <is>
          <t xml:space="preserve">Especialista em BPM</t>
        </is>
      </c>
      <c r="D6" s="7" t="inlineStr">
        <is>
          <t xml:space="preserve">AT/GTI</t>
        </is>
      </c>
      <c r="E6" s="8" t="str">
        <f>=IFERROR(VLOOKUP(D6,Siglas!$A:$B,2,0),"")</f>
        <v>Gerência de Tecnologia da Informação</v>
      </c>
      <c r="F6" s="6" t="inlineStr">
        <is>
          <t xml:space="preserve">daniela.ribeiro@codevasf.gov.br</t>
        </is>
      </c>
      <c r="G6" s="7" t="inlineStr">
        <is>
          <t xml:space="preserve">(61) 2028-4501</t>
        </is>
      </c>
      <c r="H6" s="6" t="inlineStr">
        <is>
          <t xml:space="preserve">https://randomuser.me/api/portraits/women/12.jpg</t>
        </is>
      </c>
      <c r="I6" s="7">
        <v>3</v>
      </c>
    </row>
    <row r="7">
      <c r="A7" s="4">
        <v>6</v>
      </c>
      <c r="B7" s="3" t="inlineStr">
        <is>
          <t xml:space="preserve">Eduardo Martins</t>
        </is>
      </c>
      <c r="C7" s="3" t="inlineStr">
        <is>
          <t xml:space="preserve">Ponto Focal do Nugep — Processos Finalísticos</t>
        </is>
      </c>
      <c r="D7" s="4" t="inlineStr">
        <is>
          <t xml:space="preserve">AR/GPR</t>
        </is>
      </c>
      <c r="E7" s="8" t="str">
        <f>=IFERROR(VLOOKUP(D7,Siglas!$A:$B,2,0),"")</f>
        <v>Gerência de Projetos de Revitalização</v>
      </c>
      <c r="F7" s="3" t="inlineStr">
        <is>
          <t xml:space="preserve">eduardo.martins@codevasf.gov.br</t>
        </is>
      </c>
      <c r="G7" s="4" t="inlineStr">
        <is>
          <t xml:space="preserve">(61) 2028-4612</t>
        </is>
      </c>
      <c r="H7" s="3" t="inlineStr">
        <is>
          <t xml:space="preserve">https://randomuser.me/api/portraits/men/76.jpg</t>
        </is>
      </c>
      <c r="I7" s="4">
        <v>3</v>
      </c>
    </row>
    <row r="8">
      <c r="A8" s="7">
        <v>7</v>
      </c>
      <c r="B8" s="6" t="inlineStr">
        <is>
          <t xml:space="preserve">Fernanda Alves</t>
        </is>
      </c>
      <c r="C8" s="6" t="inlineStr">
        <is>
          <t xml:space="preserve">Analista de Riscos e Conformidade</t>
        </is>
      </c>
      <c r="D8" s="7" t="inlineStr">
        <is>
          <t xml:space="preserve">AE/GAG</t>
        </is>
      </c>
      <c r="E8" s="8" t="str">
        <f>=IFERROR(VLOOKUP(D8,Siglas!$A:$B,2,0),"")</f>
        <v>Gerência de Auditoria e Governança</v>
      </c>
      <c r="F8" s="6" t="inlineStr">
        <is>
          <t xml:space="preserve">fernanda.alves@codevasf.gov.br</t>
        </is>
      </c>
      <c r="G8" s="7" t="inlineStr">
        <is>
          <t xml:space="preserve">(61) 2028-4380</t>
        </is>
      </c>
      <c r="H8" s="6" t="inlineStr">
        <is>
          <t xml:space="preserve">https://randomuser.me/api/portraits/women/29.jpg</t>
        </is>
      </c>
      <c r="I8" s="7">
        <v>3</v>
      </c>
    </row>
    <row r="9">
      <c r="A9" s="4">
        <v>8</v>
      </c>
      <c r="B9" s="3" t="inlineStr">
        <is>
          <t xml:space="preserve">Gustavo Pereira</t>
        </is>
      </c>
      <c r="C9" s="3" t="inlineStr">
        <is>
          <t xml:space="preserve">Apoio Metodológico — PMBOK/CBOK</t>
        </is>
      </c>
      <c r="D9" s="4" t="inlineStr">
        <is>
          <t xml:space="preserve">AE/GPE/UNP</t>
        </is>
      </c>
      <c r="E9" s="8" t="str">
        <f>=IFERROR(VLOOKUP(D9,Siglas!$A:$B,2,0),"")</f>
        <v>Unidade de Gestão Normativa e de Processos</v>
      </c>
      <c r="F9" s="3" t="inlineStr">
        <is>
          <t xml:space="preserve">gustavo.pereira@codevasf.gov.br</t>
        </is>
      </c>
      <c r="G9" s="4" t="inlineStr">
        <is>
          <t xml:space="preserve">(61) 2028-4443</t>
        </is>
      </c>
      <c r="H9" s="3" t="inlineStr">
        <is>
          <t xml:space="preserve">https://randomuser.me/api/portraits/men/22.jpg</t>
        </is>
      </c>
      <c r="I9" s="4">
        <v>3</v>
      </c>
    </row>
    <row r="10">
      <c r="A10" s="7">
        <v>9</v>
      </c>
      <c r="B10" s="6" t="inlineStr">
        <is>
          <t xml:space="preserve">Juliana Tavares</t>
        </is>
      </c>
      <c r="C10" s="6" t="inlineStr">
        <is>
          <t xml:space="preserve">Analista de Processos</t>
        </is>
      </c>
      <c r="D10" s="7" t="inlineStr">
        <is>
          <t xml:space="preserve">AE/GPE/UNP</t>
        </is>
      </c>
      <c r="E10" s="8" t="str">
        <f>=IFERROR(VLOOKUP(D10,Siglas!$A:$B,2,0),"")</f>
        <v>Unidade de Gestão Normativa e de Processos</v>
      </c>
      <c r="F10" s="6" t="inlineStr">
        <is>
          <t xml:space="preserve">juliana.tavares@codevasf.gov.br</t>
        </is>
      </c>
      <c r="G10" s="7" t="inlineStr">
        <is>
          <t xml:space="preserve">(61) 2028-4444</t>
        </is>
      </c>
      <c r="H10" s="6" t="inlineStr">
        <is>
          <t xml:space="preserve">https://randomuser.me/api/portraits/women/8.jpg</t>
        </is>
      </c>
      <c r="I10" s="7">
        <v>3</v>
      </c>
    </row>
    <row r="11">
      <c r="A11" s="4">
        <v>10</v>
      </c>
      <c r="B11" s="3" t="inlineStr">
        <is>
          <t xml:space="preserve">Rafael Menezes</t>
        </is>
      </c>
      <c r="C11" s="3" t="inlineStr">
        <is>
          <t xml:space="preserve">Analista de Dados e Indicadores</t>
        </is>
      </c>
      <c r="D11" s="4" t="inlineStr">
        <is>
          <t xml:space="preserve">AE/GPE</t>
        </is>
      </c>
      <c r="E11" s="8" t="str">
        <f>=IFERROR(VLOOKUP(D11,Siglas!$A:$B,2,0),"")</f>
        <v>Gerência de Planejamento Estratégico</v>
      </c>
      <c r="F11" s="3" t="inlineStr">
        <is>
          <t xml:space="preserve">rafael.menezes@codevasf.gov.br</t>
        </is>
      </c>
      <c r="G11" s="4" t="inlineStr">
        <is>
          <t xml:space="preserve">(61) 2028-4445</t>
        </is>
      </c>
      <c r="H11" s="3" t="inlineStr">
        <is>
          <t xml:space="preserve">https://randomuser.me/api/portraits/men/54.jpg</t>
        </is>
      </c>
      <c r="I11" s="4">
        <v>3</v>
      </c>
    </row>
    <row r="12">
      <c r="A12" s="7">
        <v>11</v>
      </c>
      <c r="B12" s="6" t="inlineStr">
        <is>
          <t xml:space="preserve">Camila Duarte</t>
        </is>
      </c>
      <c r="C12" s="6" t="inlineStr">
        <is>
          <t xml:space="preserve">Ponto Focal do Nugep — Processos de Suporte</t>
        </is>
      </c>
      <c r="D12" s="7" t="inlineStr">
        <is>
          <t xml:space="preserve">AA/GLC</t>
        </is>
      </c>
      <c r="E12" s="8" t="str">
        <f>=IFERROR(VLOOKUP(D12,Siglas!$A:$B,2,0),"")</f>
        <v>Gerência de Licitações e Contratos</v>
      </c>
      <c r="F12" s="6" t="inlineStr">
        <is>
          <t xml:space="preserve">camila.duarte@codevasf.gov.br</t>
        </is>
      </c>
      <c r="G12" s="7" t="inlineStr">
        <is>
          <t xml:space="preserve">(61) 2028-4520</t>
        </is>
      </c>
      <c r="H12" s="6" t="inlineStr">
        <is>
          <t xml:space="preserve">https://randomuser.me/api/portraits/women/90.jpg</t>
        </is>
      </c>
      <c r="I12" s="7">
        <v>3</v>
      </c>
    </row>
    <row r="13">
      <c r="A13" s="4">
        <v>12</v>
      </c>
      <c r="B13" s="3" t="inlineStr">
        <is>
          <t xml:space="preserve">Paulo Henrique Barros</t>
        </is>
      </c>
      <c r="C13" s="3" t="inlineStr">
        <is>
          <t xml:space="preserve">Apoio de Comunicação Institucional</t>
        </is>
      </c>
      <c r="D13" s="4" t="inlineStr">
        <is>
          <t xml:space="preserve">PR/ASCOM</t>
        </is>
      </c>
      <c r="E13" s="8" t="str">
        <f>=IFERROR(VLOOKUP(D13,Siglas!$A:$B,2,0),"")</f>
        <v>Assessoria de Comunicação</v>
      </c>
      <c r="F13" s="3" t="inlineStr">
        <is>
          <t xml:space="preserve">paulo.barros@codevasf.gov.br</t>
        </is>
      </c>
      <c r="G13" s="4" t="inlineStr">
        <is>
          <t xml:space="preserve">(61) 2028-4630</t>
        </is>
      </c>
      <c r="H13" s="3" t="inlineStr">
        <is>
          <t xml:space="preserve">https://randomuser.me/api/portraits/men/60.jpg</t>
        </is>
      </c>
      <c r="I13" s="4">
        <v>3</v>
      </c>
    </row>
  </sheetData>
  <autoFilter ref="A1:I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300">
      <formula1>Siglas!$A$2:$A$421</formula1>
    </dataValidation>
  </dataValidations>
</worksheet>
</file>

<file path=xl/worksheets/sheet20.xml><?xml version="1.0" encoding="utf-8"?>
<worksheet xmlns="http://schemas.openxmlformats.org/spreadsheetml/2006/main">
  <sheetPr>
    <tabColor rgb="FF155BCB"/>
  </sheetPr>
  <dimension ref="A1:C119"/>
  <sheetViews>
    <sheetView workbookViewId="0" zoomScale="90">
      <pane ySplit="1" topLeftCell="A2" activePane="bottomLeft" state="frozen"/>
      <selection pane="bottomLeft"/>
    </sheetView>
  </sheetViews>
  <cols>
    <col min="1" max="1" width="34" customWidth="1"/>
    <col min="2" max="2" width="84" customWidth="1"/>
    <col min="3" max="3" width="20" customWidth="1"/>
  </cols>
  <sheetData>
    <row r="1">
      <c r="A1" s="1" t="inlineStr">
        <is>
          <t xml:space="preserve">Termo</t>
        </is>
      </c>
      <c r="B1" s="1" t="inlineStr">
        <is>
          <t xml:space="preserve">Definicao</t>
        </is>
      </c>
      <c r="C1" s="1" t="inlineStr">
        <is>
          <t xml:space="preserve">Fonte</t>
        </is>
      </c>
    </row>
    <row r="2">
      <c r="A2" s="6" t="inlineStr">
        <is>
          <t xml:space="preserve">ABPMP</t>
        </is>
      </c>
      <c r="B2" s="6" t="inlineStr">
        <is>
          <t xml:space="preserve">Association of Business Process Management Professionals — entidade internacional sem fins lucrativos que mantém o CBOK e certificações como CBPP (Certified Business Process Professional).</t>
        </is>
      </c>
      <c r="C2" s="6" t="inlineStr">
        <is>
          <t xml:space="preserve">ABPMP</t>
        </is>
      </c>
    </row>
    <row r="3">
      <c r="A3" s="3" t="inlineStr">
        <is>
          <t xml:space="preserve">Atividade</t>
        </is>
      </c>
      <c r="B3" s="3" t="inlineStr">
        <is>
          <t xml:space="preserve">Conjunto de tarefas executadas para transformar entradas em saídas dentro de um processo. É o nível operacional mapeado em diagramas BPMN.</t>
        </is>
      </c>
      <c r="C3" s="3" t="inlineStr">
        <is>
          <t xml:space="preserve">CBOK 4.0</t>
        </is>
      </c>
    </row>
    <row r="4">
      <c r="A4" s="6" t="inlineStr">
        <is>
          <t xml:space="preserve">Arquitetura de Processos</t>
        </is>
      </c>
      <c r="B4" s="6" t="inlineStr">
        <is>
          <t xml:space="preserve">Visão estruturada e hierárquica de todos os processos da organização, do macroprocesso à tarefa, mostrando relações, donos e contribuição para a estratégia.</t>
        </is>
      </c>
      <c r="C4" s="6" t="inlineStr">
        <is>
          <t xml:space="preserve">CBOK 4.0</t>
        </is>
      </c>
    </row>
    <row r="5">
      <c r="A5" s="3" t="inlineStr">
        <is>
          <t xml:space="preserve">AS-IS</t>
        </is>
      </c>
      <c r="B5" s="3" t="inlineStr">
        <is>
          <t xml:space="preserve">Modelo do processo no estado atual (como ele realmente é executado hoje), usado como base de diagnóstico antes de propor melhorias.</t>
        </is>
      </c>
      <c r="C5" s="3" t="inlineStr">
        <is>
          <t xml:space="preserve">CBOK 4.0</t>
        </is>
      </c>
    </row>
    <row r="6">
      <c r="A6" s="6" t="inlineStr">
        <is>
          <t xml:space="preserve">Análise de Processos</t>
        </is>
      </c>
      <c r="B6" s="6" t="inlineStr">
        <is>
          <t xml:space="preserve">Estudo do processo AS-IS para identificar gargalos, retrabalho, desperdícios e oportunidades de melhoria. Usa ferramentas como Ishikawa, 5 porquês e análise de valor agregado.</t>
        </is>
      </c>
      <c r="C6" s="6" t="inlineStr">
        <is>
          <t xml:space="preserve">CBOK 4.0</t>
        </is>
      </c>
    </row>
    <row r="7">
      <c r="A7" s="3" t="inlineStr">
        <is>
          <t xml:space="preserve">Agile</t>
        </is>
      </c>
      <c r="B7" s="3" t="inlineStr">
        <is>
          <t xml:space="preserve">Abordagem iterativa e incremental de gerenciamento, baseada no Manifesto Ágil, com entregas frequentes e adaptação contínua.</t>
        </is>
      </c>
      <c r="C7" s="3" t="inlineStr">
        <is>
          <t xml:space="preserve">Manifesto Ágil</t>
        </is>
      </c>
    </row>
    <row r="8">
      <c r="A8" s="6" t="inlineStr">
        <is>
          <t xml:space="preserve">AE</t>
        </is>
      </c>
      <c r="B8" s="6" t="inlineStr">
        <is>
          <t xml:space="preserve">Área de Estratégia e Finanças da Codevasf, instância superior da GPE/UNP.</t>
        </is>
      </c>
      <c r="C8" s="6" t="inlineStr">
        <is>
          <t xml:space="preserve">Codevasf</t>
        </is>
      </c>
    </row>
    <row r="9">
      <c r="A9" s="3" t="inlineStr">
        <is>
          <t xml:space="preserve">Accountability</t>
        </is>
      </c>
      <c r="B9" s="3" t="inlineStr">
        <is>
          <t xml:space="preserve">Obrigação de prestar contas e responder pelos resultados, especialmente no setor público.</t>
        </is>
      </c>
      <c r="C9" s="3" t="inlineStr">
        <is>
          <t xml:space="preserve">TCU</t>
        </is>
      </c>
    </row>
    <row r="10">
      <c r="A10" s="6" t="inlineStr">
        <is>
          <t xml:space="preserve">BPM</t>
        </is>
      </c>
      <c r="B10" s="6" t="inlineStr">
        <is>
          <t xml:space="preserve">Business Process Management — disciplina gerencial integrada que combina técnicas, métodos e ferramentas para identificar, modelar, executar, monitorar e melhorar continuamente os processos de negócio, alinhando-os à estratégia e à entrega de valor ao cliente.</t>
        </is>
      </c>
      <c r="C10" s="6" t="inlineStr">
        <is>
          <t xml:space="preserve">ABPMP CBOK 4.0</t>
        </is>
      </c>
    </row>
    <row r="11">
      <c r="A11" s="3" t="inlineStr">
        <is>
          <t xml:space="preserve">BPMN</t>
        </is>
      </c>
      <c r="B11" s="3" t="inlineStr">
        <is>
          <t xml:space="preserve">Business Process Model and Notation — padrão da OMG para modelagem gráfica de processos de negócio. Define símbolos para atividades, eventos, gateways, fluxos e raias.</t>
        </is>
      </c>
      <c r="C11" s="3" t="inlineStr">
        <is>
          <t xml:space="preserve">OMG / CBOK 4.0</t>
        </is>
      </c>
    </row>
    <row r="12">
      <c r="A12" s="6" t="inlineStr">
        <is>
          <t xml:space="preserve">Beneficiário / Cidadão-usuário</t>
        </is>
      </c>
      <c r="B12" s="6" t="inlineStr">
        <is>
          <t xml:space="preserve">Destinatário da saída do processo no setor público. Pode ser interno (outra unidade da Codevasf) ou externo — cidadão, irrigante, comunidade beneficiária, ente federativo ou órgão parceiro.</t>
        </is>
      </c>
      <c r="C12" s="6" t="inlineStr">
        <is>
          <t xml:space="preserve">SIPOC</t>
        </is>
      </c>
    </row>
    <row r="13">
      <c r="A13" s="3" t="inlineStr">
        <is>
          <t xml:space="preserve">Linha de Base (Indicador)</t>
        </is>
      </c>
      <c r="B13" s="3" t="inlineStr">
        <is>
          <t xml:space="preserve">Valor de referência inicial de um indicador, usado como base para comparar resultados futuros.</t>
        </is>
      </c>
      <c r="C13" s="3" t="inlineStr">
        <is>
          <t xml:space="preserve">PMBOK</t>
        </is>
      </c>
    </row>
    <row r="14">
      <c r="A14" s="6" t="inlineStr">
        <is>
          <t xml:space="preserve">Burndown</t>
        </is>
      </c>
      <c r="B14" s="6" t="inlineStr">
        <is>
          <t xml:space="preserve">Gráfico que mostra a quantidade de trabalho restante ao longo do tempo, comum em métodos ágeis.</t>
        </is>
      </c>
      <c r="C14" s="6" t="inlineStr">
        <is>
          <t xml:space="preserve">Scrum</t>
        </is>
      </c>
    </row>
    <row r="15">
      <c r="A15" s="3" t="inlineStr">
        <is>
          <t xml:space="preserve">Burnup</t>
        </is>
      </c>
      <c r="B15" s="3" t="inlineStr">
        <is>
          <t xml:space="preserve">Gráfico que mostra o trabalho concluído acumulado ao longo do tempo, comparando com o escopo total.</t>
        </is>
      </c>
      <c r="C15" s="3" t="inlineStr">
        <is>
          <t xml:space="preserve">Agile</t>
        </is>
      </c>
    </row>
    <row r="16">
      <c r="A16" s="6" t="inlineStr">
        <is>
          <t xml:space="preserve">CBOK</t>
        </is>
      </c>
      <c r="B16" s="6" t="inlineStr">
        <is>
          <t xml:space="preserve">Guide to the Business Process Management Common Body of Knowledge — referência da ABPMP que consolida conceitos, práticas e competências essenciais de BPM. A versão 4.0 reorganiza o conteúdo em 9 áreas de conhecimento.</t>
        </is>
      </c>
      <c r="C16" s="6" t="inlineStr">
        <is>
          <t xml:space="preserve">ABPMP CBOK 4.0</t>
        </is>
      </c>
    </row>
    <row r="17">
      <c r="A17" s="3" t="inlineStr">
        <is>
          <t xml:space="preserve">Cadeia de Valor</t>
        </is>
      </c>
      <c r="B17" s="3" t="inlineStr">
        <is>
          <t xml:space="preserve">Representação visual dos macroprocessos de uma organização ordenados segundo sua contribuição para a entrega de valor. Permite visão sistêmica e priorização do mapeamento.</t>
        </is>
      </c>
      <c r="C17" s="3" t="inlineStr">
        <is>
          <t xml:space="preserve">Porter / CBOK 4.0</t>
        </is>
      </c>
    </row>
    <row r="18">
      <c r="A18" s="6" t="inlineStr">
        <is>
          <t xml:space="preserve">Ciclo de Vida BPM</t>
        </is>
      </c>
      <c r="B18" s="6" t="inlineStr">
        <is>
          <t xml:space="preserve">Sequência iterativa de fases para gerenciar processos: planejar, analisar, desenhar, implementar, monitorar e refinar (PDCA aplicado a processos).</t>
        </is>
      </c>
      <c r="C18" s="6" t="inlineStr">
        <is>
          <t xml:space="preserve">CBOK 4.0</t>
        </is>
      </c>
    </row>
    <row r="19">
      <c r="A19" s="3" t="inlineStr">
        <is>
          <t xml:space="preserve">Cronograma</t>
        </is>
      </c>
      <c r="B19" s="3" t="inlineStr">
        <is>
          <t xml:space="preserve">Modelo que apresenta a sequência, datas e durações das atividades do projeto.</t>
        </is>
      </c>
      <c r="C19" s="3" t="inlineStr">
        <is>
          <t xml:space="preserve">PMBOK</t>
        </is>
      </c>
    </row>
    <row r="20">
      <c r="A20" s="6" t="inlineStr">
        <is>
          <t xml:space="preserve">Caminho Crítico</t>
        </is>
      </c>
      <c r="B20" s="6" t="inlineStr">
        <is>
          <t xml:space="preserve">Sequência de atividades que determina a menor duração possível do projeto. Atrasos em qualquer atividade do caminho crítico atrasam o projeto.</t>
        </is>
      </c>
      <c r="C20" s="6" t="inlineStr">
        <is>
          <t xml:space="preserve">PMBOK / CPM</t>
        </is>
      </c>
    </row>
    <row r="21">
      <c r="A21" s="3" t="inlineStr">
        <is>
          <t xml:space="preserve">CPI</t>
        </is>
      </c>
      <c r="B21" s="3" t="inlineStr">
        <is>
          <t xml:space="preserve">Cost Performance Index — índice de desempenho de custo. CPI &lt; 1 indica estouro de orçamento.</t>
        </is>
      </c>
      <c r="C21" s="3" t="inlineStr">
        <is>
          <t xml:space="preserve">EVM</t>
        </is>
      </c>
    </row>
    <row r="22">
      <c r="A22" s="6" t="inlineStr">
        <is>
          <t xml:space="preserve">Compliance</t>
        </is>
      </c>
      <c r="B22" s="6" t="inlineStr">
        <is>
          <t xml:space="preserve">Conformidade com leis, regulamentos, normas e políticas internas. Inclui prevenção a fraudes e corrupção.</t>
        </is>
      </c>
      <c r="C22" s="6" t="inlineStr">
        <is>
          <t xml:space="preserve">Lei 12.846/2013</t>
        </is>
      </c>
    </row>
    <row r="23">
      <c r="A23" s="3" t="inlineStr">
        <is>
          <t xml:space="preserve">Controle Interno</t>
        </is>
      </c>
      <c r="B23" s="3" t="inlineStr">
        <is>
          <t xml:space="preserve">Conjunto de atividades, planos e métodos adotados para salvaguardar ativos, conferir exatidão e segurança aos dados e promover a eficiência operacional.</t>
        </is>
      </c>
      <c r="C23" s="3" t="inlineStr">
        <is>
          <t xml:space="preserve">INTOSAI / IN 03/2017</t>
        </is>
      </c>
    </row>
    <row r="24">
      <c r="A24" s="6" t="inlineStr">
        <is>
          <t xml:space="preserve">Desperdício (Muda)</t>
        </is>
      </c>
      <c r="B24" s="6" t="inlineStr">
        <is>
          <t xml:space="preserve">Toda atividade que consome recursos sem agregar valor ao cliente. Os 7+1 desperdícios clássicos: superprodução, espera, transporte, processamento excessivo, estoque, movimento, defeito e talento não utilizado.</t>
        </is>
      </c>
      <c r="C24" s="6" t="inlineStr">
        <is>
          <t xml:space="preserve">Lean</t>
        </is>
      </c>
    </row>
    <row r="25">
      <c r="A25" s="3" t="inlineStr">
        <is>
          <t xml:space="preserve">Dono do Processo</t>
        </is>
      </c>
      <c r="B25" s="3" t="inlineStr">
        <is>
          <t xml:space="preserve">Pessoa formalmente responsável pelo desempenho, integridade e melhoria contínua de um processo de ponta a ponta, independentemente da estrutura hierárquica.</t>
        </is>
      </c>
      <c r="C25" s="3" t="inlineStr">
        <is>
          <t xml:space="preserve">CBOK 4.0</t>
        </is>
      </c>
    </row>
    <row r="26">
      <c r="A26" s="6" t="inlineStr">
        <is>
          <t xml:space="preserve">Diagrama de Tartaruga</t>
        </is>
      </c>
      <c r="B26" s="6" t="inlineStr">
        <is>
          <t xml:space="preserve">Ferramenta de modelagem que detalha um processo por entradas, saídas, recursos, métodos, pessoas e indicadores, formando o desenho de uma tartaruga.</t>
        </is>
      </c>
      <c r="C26" s="6" t="inlineStr">
        <is>
          <t xml:space="preserve">ISO 9001</t>
        </is>
      </c>
    </row>
    <row r="27">
      <c r="A27" s="3" t="inlineStr">
        <is>
          <t xml:space="preserve">Evento</t>
        </is>
      </c>
      <c r="B27" s="3" t="inlineStr">
        <is>
          <t xml:space="preserve">Acontecimento que afeta o fluxo do processo: início, fim, intermediário, de tempo, mensagem ou erro.</t>
        </is>
      </c>
      <c r="C27" s="3" t="inlineStr">
        <is>
          <t xml:space="preserve">BPMN</t>
        </is>
      </c>
    </row>
    <row r="28">
      <c r="A28" s="6" t="inlineStr">
        <is>
          <t xml:space="preserve">Escritório de Processos (BPM Office)</t>
        </is>
      </c>
      <c r="B28" s="6" t="inlineStr">
        <is>
          <t xml:space="preserve">Unidade organizacional responsável por orientar metodologia, manter o repositório de processos e apoiar áreas no mapeamento. Na Codevasf, esse papel é da UNP/GPE.</t>
        </is>
      </c>
      <c r="C28" s="6" t="inlineStr">
        <is>
          <t xml:space="preserve">CBOK 4.0</t>
        </is>
      </c>
    </row>
    <row r="29">
      <c r="A29" s="3" t="inlineStr">
        <is>
          <t xml:space="preserve">Entrada</t>
        </is>
      </c>
      <c r="B29" s="3" t="inlineStr">
        <is>
          <t xml:space="preserve">Insumo, informação, documento ou recurso necessário para iniciar ou executar uma atividade do processo.</t>
        </is>
      </c>
      <c r="C29" s="3" t="inlineStr">
        <is>
          <t xml:space="preserve">SIPOC</t>
        </is>
      </c>
    </row>
    <row r="30">
      <c r="A30" s="6" t="inlineStr">
        <is>
          <t xml:space="preserve">Eficiência</t>
        </is>
      </c>
      <c r="B30" s="6" t="inlineStr">
        <is>
          <t xml:space="preserve">Relação entre o que foi produzido (saída) e os recursos consumidos (entrada). “Fazer certo as coisas”.</t>
        </is>
      </c>
      <c r="C30" s="6" t="inlineStr">
        <is>
          <t xml:space="preserve">CBOK</t>
        </is>
      </c>
    </row>
    <row r="31">
      <c r="A31" s="3" t="inlineStr">
        <is>
          <t xml:space="preserve">Eficácia</t>
        </is>
      </c>
      <c r="B31" s="3" t="inlineStr">
        <is>
          <t xml:space="preserve">Grau em que os resultados pretendidos foram alcançados. “Fazer as coisas certas”.</t>
        </is>
      </c>
      <c r="C31" s="3" t="inlineStr">
        <is>
          <t xml:space="preserve">CBOK</t>
        </is>
      </c>
    </row>
    <row r="32">
      <c r="A32" s="6" t="inlineStr">
        <is>
          <t xml:space="preserve">Efetividade</t>
        </is>
      </c>
      <c r="B32" s="6" t="inlineStr">
        <is>
          <t xml:space="preserve">Impacto real e duradouro do processo no público-alvo ou na sociedade. Combina eficiência e eficácia com sustentabilidade.</t>
        </is>
      </c>
      <c r="C32" s="6" t="inlineStr">
        <is>
          <t xml:space="preserve">Gestão Pública</t>
        </is>
      </c>
    </row>
    <row r="33">
      <c r="A33" s="3" t="inlineStr">
        <is>
          <t xml:space="preserve">Escopo</t>
        </is>
      </c>
      <c r="B33" s="3" t="inlineStr">
        <is>
          <t xml:space="preserve">Soma dos produtos, serviços e resultados a serem entregues no projeto. Inclui escopo do produto e escopo do trabalho.</t>
        </is>
      </c>
      <c r="C33" s="3" t="inlineStr">
        <is>
          <t xml:space="preserve">PMBOK</t>
        </is>
      </c>
    </row>
    <row r="34">
      <c r="A34" s="6" t="inlineStr">
        <is>
          <t xml:space="preserve">EAP</t>
        </is>
      </c>
      <c r="B34" s="6" t="inlineStr">
        <is>
          <t xml:space="preserve">Estrutura Analítica do Projeto (Work Breakdown Structure — WBS) — decomposição hierárquica do escopo em entregas e pacotes de trabalho.</t>
        </is>
      </c>
      <c r="C34" s="6" t="inlineStr">
        <is>
          <t xml:space="preserve">PMBOK</t>
        </is>
      </c>
    </row>
    <row r="35">
      <c r="A35" s="3" t="inlineStr">
        <is>
          <t xml:space="preserve">Entrega</t>
        </is>
      </c>
      <c r="B35" s="3" t="inlineStr">
        <is>
          <t xml:space="preserve">Produto, resultado ou capacidade único e verificável, obtido a partir de uma fase ou de todo o projeto.</t>
        </is>
      </c>
      <c r="C35" s="3" t="inlineStr">
        <is>
          <t xml:space="preserve">PMBOK</t>
        </is>
      </c>
    </row>
    <row r="36">
      <c r="A36" s="6" t="inlineStr">
        <is>
          <t xml:space="preserve">EVM</t>
        </is>
      </c>
      <c r="B36" s="6" t="inlineStr">
        <is>
          <t xml:space="preserve">Earned Value Management — técnica que integra escopo, prazo e custo para medir o desempenho do projeto (SPI, CPI).</t>
        </is>
      </c>
      <c r="C36" s="6" t="inlineStr">
        <is>
          <t xml:space="preserve">PMBOK</t>
        </is>
      </c>
    </row>
    <row r="37">
      <c r="A37" s="3" t="inlineStr">
        <is>
          <t xml:space="preserve">Fornecedor</t>
        </is>
      </c>
      <c r="B37" s="3" t="inlineStr">
        <is>
          <t xml:space="preserve">Pessoa, área ou sistema que fornece insumos (entradas) ao processo.</t>
        </is>
      </c>
      <c r="C37" s="3" t="inlineStr">
        <is>
          <t xml:space="preserve">SIPOC</t>
        </is>
      </c>
    </row>
    <row r="38">
      <c r="A38" s="6" t="inlineStr">
        <is>
          <t xml:space="preserve">Fluxograma</t>
        </is>
      </c>
      <c r="B38" s="6" t="inlineStr">
        <is>
          <t xml:space="preserve">Representação gráfica sequencial das etapas de um processo, usando símbolos padronizados para atividade, decisão, início e fim.</t>
        </is>
      </c>
      <c r="C38" s="6" t="inlineStr">
        <is>
          <t xml:space="preserve">ASME / ISO</t>
        </is>
      </c>
    </row>
    <row r="39">
      <c r="A39" s="3" t="inlineStr">
        <is>
          <t xml:space="preserve">Gateway</t>
        </is>
      </c>
      <c r="B39" s="3" t="inlineStr">
        <is>
          <t xml:space="preserve">Elemento BPMN que controla a divergência ou convergência do fluxo: decisão exclusiva, paralela ou inclusiva.</t>
        </is>
      </c>
      <c r="C39" s="3" t="inlineStr">
        <is>
          <t xml:space="preserve">BPMN</t>
        </is>
      </c>
    </row>
    <row r="40">
      <c r="A40" s="6" t="inlineStr">
        <is>
          <t xml:space="preserve">Gargalo</t>
        </is>
      </c>
      <c r="B40" s="6" t="inlineStr">
        <is>
          <t xml:space="preserve">Ponto do processo onde a capacidade é menor que a demanda, restringindo a vazão de todo o fluxo. Identificado por filas, atrasos e acúmulo de trabalho.</t>
        </is>
      </c>
      <c r="C40" s="6" t="inlineStr">
        <is>
          <t xml:space="preserve">Teoria das Restrições</t>
        </is>
      </c>
    </row>
    <row r="41">
      <c r="A41" s="3" t="inlineStr">
        <is>
          <t xml:space="preserve">Governança de Processos</t>
        </is>
      </c>
      <c r="B41" s="3" t="inlineStr">
        <is>
          <t xml:space="preserve">Estrutura de papéis, responsabilidades, políticas e instâncias decisórias que garante que os processos sejam executados, monitorados e melhorados conforme a estratégia.</t>
        </is>
      </c>
      <c r="C41" s="3" t="inlineStr">
        <is>
          <t xml:space="preserve">CBOK 4.0</t>
        </is>
      </c>
    </row>
    <row r="42">
      <c r="A42" s="6" t="inlineStr">
        <is>
          <t xml:space="preserve">Gantt</t>
        </is>
      </c>
      <c r="B42" s="6" t="inlineStr">
        <is>
          <t xml:space="preserve">Gráfico de barras horizontais que representa o cronograma do projeto ao longo do tempo, com início, duração e fim de cada atividade.</t>
        </is>
      </c>
      <c r="C42" s="6" t="inlineStr">
        <is>
          <t xml:space="preserve">Henry Gantt</t>
        </is>
      </c>
    </row>
    <row r="43">
      <c r="A43" s="3" t="inlineStr">
        <is>
          <t xml:space="preserve">GPE</t>
        </is>
      </c>
      <c r="B43" s="3" t="inlineStr">
        <is>
          <t xml:space="preserve">Gerência de Planejamento Estratégico da Codevasf, à qual a UNP está subordinada.</t>
        </is>
      </c>
      <c r="C43" s="3" t="inlineStr">
        <is>
          <t xml:space="preserve">Codevasf</t>
        </is>
      </c>
    </row>
    <row r="44">
      <c r="A44" s="6" t="inlineStr">
        <is>
          <t xml:space="preserve">Governança Pública</t>
        </is>
      </c>
      <c r="B44" s="6" t="inlineStr">
        <is>
          <t xml:space="preserve">Conjunto de mecanismos de liderança, estratégia e controle postos em prática para avaliar, direcionar e monitorar a gestão pública.</t>
        </is>
      </c>
      <c r="C44" s="6" t="inlineStr">
        <is>
          <t xml:space="preserve">Decreto 9.203/2017</t>
        </is>
      </c>
    </row>
    <row r="45">
      <c r="A45" s="3" t="inlineStr">
        <is>
          <t xml:space="preserve">Handoff</t>
        </is>
      </c>
      <c r="B45" s="3" t="inlineStr">
        <is>
          <t xml:space="preserve">Transferência de responsabilidade entre áreas, sistemas ou pessoas no fluxo do processo. Cada handoff é ponto crítico de falha e atraso.</t>
        </is>
      </c>
      <c r="C45" s="3" t="inlineStr">
        <is>
          <t xml:space="preserve">CBOK 4.0</t>
        </is>
      </c>
    </row>
    <row r="46">
      <c r="A46" s="6" t="inlineStr">
        <is>
          <t xml:space="preserve">Indicador</t>
        </is>
      </c>
      <c r="B46" s="6" t="inlineStr">
        <is>
          <t xml:space="preserve">Representação simples ou intuitiva de uma medição ou métrica, para facilitar a interpretação em relação a uma referência ou meta — por exemplo, um selo verde (meta atingida) ou vermelho (meta não atingida). É a leitura, não o dado nem o cálculo: ver Medição e Métrica.</t>
        </is>
      </c>
      <c r="C46" s="6" t="inlineStr">
        <is>
          <t xml:space="preserve">CBOK 4.0</t>
        </is>
      </c>
    </row>
    <row r="47">
      <c r="A47" s="3" t="inlineStr">
        <is>
          <t xml:space="preserve">Impacto</t>
        </is>
      </c>
      <c r="B47" s="3" t="inlineStr">
        <is>
          <t xml:space="preserve">Magnitude das consequências de um evento de risco caso ele se concretize, normalmente avaliado em escala.</t>
        </is>
      </c>
      <c r="C47" s="3" t="inlineStr">
        <is>
          <t xml:space="preserve">ISO 31000</t>
        </is>
      </c>
    </row>
    <row r="48">
      <c r="A48" s="6" t="inlineStr">
        <is>
          <t xml:space="preserve">Kaizen</t>
        </is>
      </c>
      <c r="B48" s="6" t="inlineStr">
        <is>
          <t xml:space="preserve">Filosofia japonesa de melhoria contínua que promove pequenas mudanças incrementais com participação de toda a equipe.</t>
        </is>
      </c>
      <c r="C48" s="6" t="inlineStr">
        <is>
          <t xml:space="preserve">Lean</t>
        </is>
      </c>
    </row>
    <row r="49">
      <c r="A49" s="3" t="inlineStr">
        <is>
          <t xml:space="preserve">KPI</t>
        </is>
      </c>
      <c r="B49" s="3" t="inlineStr">
        <is>
          <t xml:space="preserve">Key Performance Indicator — indicador-chave de desempenho. Métrica quantificável usada para avaliar o sucesso de um processo, projeto ou objetivo estratégico.</t>
        </is>
      </c>
      <c r="C49" s="3" t="inlineStr">
        <is>
          <t xml:space="preserve">BSC / CBOK</t>
        </is>
      </c>
    </row>
    <row r="50">
      <c r="A50" s="6" t="inlineStr">
        <is>
          <t xml:space="preserve">Kanban</t>
        </is>
      </c>
      <c r="B50" s="6" t="inlineStr">
        <is>
          <t xml:space="preserve">Método visual de gestão do fluxo de trabalho, com cartões e colunas (To Do, Doing, Done) e limites de WIP.</t>
        </is>
      </c>
      <c r="C50" s="6" t="inlineStr">
        <is>
          <t xml:space="preserve">Toyota / Kanban Method</t>
        </is>
      </c>
    </row>
    <row r="51">
      <c r="A51" s="3" t="inlineStr">
        <is>
          <t xml:space="preserve">Lean</t>
        </is>
      </c>
      <c r="B51" s="3" t="inlineStr">
        <is>
          <t xml:space="preserve">Conjunto de práticas focadas na eliminação de desperdícios (muda) e maximização de valor para o cliente, oriundas do Sistema Toyota de Produção.</t>
        </is>
      </c>
      <c r="C51" s="3" t="inlineStr">
        <is>
          <t xml:space="preserve">Toyota / Lean</t>
        </is>
      </c>
    </row>
    <row r="52">
      <c r="A52" s="6" t="inlineStr">
        <is>
          <t xml:space="preserve">Linha de Base (Projeto)</t>
        </is>
      </c>
      <c r="B52" s="6" t="inlineStr">
        <is>
          <t xml:space="preserve">Versão aprovada do escopo, prazo ou custo, usada como referência para comparação com o desempenho real.</t>
        </is>
      </c>
      <c r="C52" s="6" t="inlineStr">
        <is>
          <t xml:space="preserve">PMBOK</t>
        </is>
      </c>
    </row>
    <row r="53">
      <c r="A53" s="3" t="inlineStr">
        <is>
          <t xml:space="preserve">Lições Aprendidas</t>
        </is>
      </c>
      <c r="B53" s="3" t="inlineStr">
        <is>
          <t xml:space="preserve">Conhecimento adquirido durante o projeto, registrado para uso em projetos futuros. Inclui o que deu certo, o que deu errado e recomendações.</t>
        </is>
      </c>
      <c r="C53" s="3" t="inlineStr">
        <is>
          <t xml:space="preserve">PMBOK</t>
        </is>
      </c>
    </row>
    <row r="54">
      <c r="A54" s="6" t="inlineStr">
        <is>
          <t xml:space="preserve">LGPD</t>
        </is>
      </c>
      <c r="B54" s="6" t="inlineStr">
        <is>
          <t xml:space="preserve">Lei Geral de Proteção de Dados Pessoais (Lei 13.709/2018) — disciplina o tratamento de dados pessoais por pessoas físicas e jurídicas, públicas e privadas.</t>
        </is>
      </c>
      <c r="C54" s="6" t="inlineStr">
        <is>
          <t xml:space="preserve">Lei 13.709/2018</t>
        </is>
      </c>
    </row>
    <row r="55">
      <c r="A55" s="3" t="inlineStr">
        <is>
          <t xml:space="preserve">Macroprocesso</t>
        </is>
      </c>
      <c r="B55" s="3" t="inlineStr">
        <is>
          <t xml:space="preserve">Agrupamento dos grandes processos de uma organização que atravessam várias áreas e contribuem de forma estratégica para a cadeia de valor. Na Codevasf, são classificados em gerenciais, finalísticos e de suporte.</t>
        </is>
      </c>
      <c r="C55" s="3" t="inlineStr">
        <is>
          <t xml:space="preserve">CBOK 4.0 / Codevasf</t>
        </is>
      </c>
    </row>
    <row r="56">
      <c r="A56" s="6" t="inlineStr">
        <is>
          <t xml:space="preserve">Modelagem de Processos</t>
        </is>
      </c>
      <c r="B56" s="6" t="inlineStr">
        <is>
          <t xml:space="preserve">Representação gráfica e textual de um processo, mostrando atividades, papéis, fluxos, decisões e eventos. Geralmente utiliza notação BPMN.</t>
        </is>
      </c>
      <c r="C56" s="6" t="inlineStr">
        <is>
          <t xml:space="preserve">CBOK 4.0</t>
        </is>
      </c>
    </row>
    <row r="57">
      <c r="A57" s="3" t="inlineStr">
        <is>
          <t xml:space="preserve">Melhoria Contínua</t>
        </is>
      </c>
      <c r="B57" s="3" t="inlineStr">
        <is>
          <t xml:space="preserve">Esforço sistemático e incremental para aperfeiçoar processos, fundamentado em ciclos PDCA e Kaizen.</t>
        </is>
      </c>
      <c r="C57" s="3" t="inlineStr">
        <is>
          <t xml:space="preserve">Deming / CBOK 4.0</t>
        </is>
      </c>
    </row>
    <row r="58">
      <c r="A58" s="6" t="inlineStr">
        <is>
          <t xml:space="preserve">Maturidade em Processos</t>
        </is>
      </c>
      <c r="B58" s="6" t="inlineStr">
        <is>
          <t xml:space="preserve">Grau de evolução da gestão por processos de uma organização ou de um processo específico. Este repositório usa uma escala de cinco níveis, do menos ao mais maduro: Inicial (processo não documentado nem padronizado), Repetível (executado de forma consistente, mas pouco documentado), Definido (documentado e padronizado), Gerenciado (medido e controlado com indicadores) e Otimizado (em melhoria contínua com base em dados). Preenchimento manual na ficha do processo — o CBOK não fixa uma fórmula única de cálculo.</t>
        </is>
      </c>
      <c r="C58" s="6" t="inlineStr">
        <is>
          <t xml:space="preserve">CMMI / BPM-MM</t>
        </is>
      </c>
    </row>
    <row r="59">
      <c r="A59" s="3" t="inlineStr">
        <is>
          <t xml:space="preserve">Meta</t>
        </is>
      </c>
      <c r="B59" s="3" t="inlineStr">
        <is>
          <t xml:space="preserve">Valor numérico que se deseja alcançar para um indicador em um prazo determinado, geralmente desafiador e mensurável.</t>
        </is>
      </c>
      <c r="C59" s="3" t="inlineStr">
        <is>
          <t xml:space="preserve">BSC</t>
        </is>
      </c>
    </row>
    <row r="60">
      <c r="A60" s="6" t="inlineStr">
        <is>
          <t xml:space="preserve">Matriz de Risco</t>
        </is>
      </c>
      <c r="B60" s="6" t="inlineStr">
        <is>
          <t xml:space="preserve">Ferramenta que cruza probabilidade e impacto para classificar e priorizar riscos (baixo, moderado, alto, extremo).</t>
        </is>
      </c>
      <c r="C60" s="6" t="inlineStr">
        <is>
          <t xml:space="preserve">ISO 31000</t>
        </is>
      </c>
    </row>
    <row r="61">
      <c r="A61" s="3" t="inlineStr">
        <is>
          <t xml:space="preserve">Mitigação</t>
        </is>
      </c>
      <c r="B61" s="3" t="inlineStr">
        <is>
          <t xml:space="preserve">Ação para reduzir a probabilidade ou o impacto de um risco, ou para tratar suas consequências.</t>
        </is>
      </c>
      <c r="C61" s="3" t="inlineStr">
        <is>
          <t xml:space="preserve">PMBOK</t>
        </is>
      </c>
    </row>
    <row r="62">
      <c r="A62" s="6" t="inlineStr">
        <is>
          <t xml:space="preserve">Marco</t>
        </is>
      </c>
      <c r="B62" s="6" t="inlineStr">
        <is>
          <t xml:space="preserve">Ponto significativo no cronograma, normalmente a conclusão de uma entrega importante. Não consome tempo.</t>
        </is>
      </c>
      <c r="C62" s="6" t="inlineStr">
        <is>
          <t xml:space="preserve">PMBOK</t>
        </is>
      </c>
    </row>
    <row r="63">
      <c r="A63" s="3" t="inlineStr">
        <is>
          <t xml:space="preserve">Matriz RACI</t>
        </is>
      </c>
      <c r="B63" s="3" t="inlineStr">
        <is>
          <t xml:space="preserve">Matriz de responsabilidades que define quem é Responsável (executa), Accountable (responde), Consultado e Informado em cada atividade.</t>
        </is>
      </c>
      <c r="C63" s="3" t="inlineStr">
        <is>
          <t xml:space="preserve">PMBOK</t>
        </is>
      </c>
    </row>
    <row r="64">
      <c r="A64" s="6" t="inlineStr">
        <is>
          <t xml:space="preserve">Mapeamento de Processos (Codevasf)</t>
        </is>
      </c>
      <c r="B64" s="6" t="inlineStr">
        <is>
          <t xml:space="preserve">Trabalho conduzido pela UNP em parceria com as unidades gestoras para documentar processos em formato padronizado (SIPOC, BPMN, indicadores e riscos), conforme a RES 031/2025.</t>
        </is>
      </c>
      <c r="C64" s="6" t="inlineStr">
        <is>
          <t xml:space="preserve">RES 031/2025</t>
        </is>
      </c>
    </row>
    <row r="65">
      <c r="A65" s="3" t="inlineStr">
        <is>
          <t xml:space="preserve">Metodologia Codevasf</t>
        </is>
      </c>
      <c r="B65" s="3" t="inlineStr">
        <is>
          <t xml:space="preserve">Conjunto de etapas, artefatos e padrões definidos na Metodologia e no Guia de Gerenciamento de Processos (RES 031/2025) para conduzir o mapeamento e a melhoria dos processos.</t>
        </is>
      </c>
      <c r="C65" s="3" t="inlineStr">
        <is>
          <t xml:space="preserve">RES 031/2025</t>
        </is>
      </c>
    </row>
    <row r="66">
      <c r="A66" s="6" t="inlineStr">
        <is>
          <t xml:space="preserve">Notação</t>
        </is>
      </c>
      <c r="B66" s="6" t="inlineStr">
        <is>
          <t xml:space="preserve">Conjunto padronizado de símbolos para representar processos. BPMN é a mais usada em BPM.</t>
        </is>
      </c>
      <c r="C66" s="6" t="inlineStr">
        <is>
          <t xml:space="preserve">CBOK</t>
        </is>
      </c>
    </row>
    <row r="67">
      <c r="A67" s="3" t="inlineStr">
        <is>
          <t xml:space="preserve">Processo de Negócio</t>
        </is>
      </c>
      <c r="B67" s="3" t="inlineStr">
        <is>
          <t xml:space="preserve">Conjunto definido de atividades, executadas por pessoas ou sistemas, que entrega um resultado de valor a um cliente interno ou externo. Tem início, fim, entradas, saídas e mensuração claros.</t>
        </is>
      </c>
      <c r="C67" s="3" t="inlineStr">
        <is>
          <t xml:space="preserve">CBOK 4.0</t>
        </is>
      </c>
    </row>
    <row r="68">
      <c r="A68" s="6" t="inlineStr">
        <is>
          <t xml:space="preserve">Pool</t>
        </is>
      </c>
      <c r="B68" s="6" t="inlineStr">
        <is>
          <t xml:space="preserve">Contêiner BPMN que representa um participante (organização, sistema ou área) e agrupa raias.</t>
        </is>
      </c>
      <c r="C68" s="6" t="inlineStr">
        <is>
          <t xml:space="preserve">BPMN</t>
        </is>
      </c>
    </row>
    <row r="69">
      <c r="A69" s="3" t="inlineStr">
        <is>
          <t xml:space="preserve">PDCA</t>
        </is>
      </c>
      <c r="B69" s="3" t="inlineStr">
        <is>
          <t xml:space="preserve">Plan-Do-Check-Act — ciclo de melhoria contínua atribuído a Deming/Shewhart: planejar, executar, verificar e agir corretivamente.</t>
        </is>
      </c>
      <c r="C69" s="3" t="inlineStr">
        <is>
          <t xml:space="preserve">Deming</t>
        </is>
      </c>
    </row>
    <row r="70">
      <c r="A70" s="6" t="inlineStr">
        <is>
          <t xml:space="preserve">Processo de Trabalho</t>
        </is>
      </c>
      <c r="B70" s="6" t="inlineStr">
        <is>
          <t xml:space="preserve">Expressão usual na administração pública brasileira para o conjunto de atividades executadas por uma unidade. Não é um nível da hierarquia do CBOK 4.0, que adota processo de negócio → subprocesso → atividade → tarefa — nomenclatura seguida por este painel.</t>
        </is>
      </c>
      <c r="C70" s="6" t="inlineStr">
        <is>
          <t xml:space="preserve">Adm. Pública / CBOK 4.0</t>
        </is>
      </c>
    </row>
    <row r="71">
      <c r="A71" s="3" t="inlineStr">
        <is>
          <t xml:space="preserve">Processo Ponta a Ponta</t>
        </is>
      </c>
      <c r="B71" s="3" t="inlineStr">
        <is>
          <t xml:space="preserve">Visão completa do processo, do primeiro evento desencadeador até a entrega final ao cliente, atravessando todas as áreas envolvidas.</t>
        </is>
      </c>
      <c r="C71" s="3" t="inlineStr">
        <is>
          <t xml:space="preserve">CBOK 4.0</t>
        </is>
      </c>
    </row>
    <row r="72">
      <c r="A72" s="6" t="inlineStr">
        <is>
          <t xml:space="preserve">Probabilidade</t>
        </is>
      </c>
      <c r="B72" s="6" t="inlineStr">
        <is>
          <t xml:space="preserve">Estimativa da chance de ocorrência de um evento de risco, geralmente em escala (muito baixa, baixa, média, alta, muito alta).</t>
        </is>
      </c>
      <c r="C72" s="6" t="inlineStr">
        <is>
          <t xml:space="preserve">ISO 31000</t>
        </is>
      </c>
    </row>
    <row r="73">
      <c r="A73" s="3" t="inlineStr">
        <is>
          <t xml:space="preserve">Plano de Mitigação</t>
        </is>
      </c>
      <c r="B73" s="3" t="inlineStr">
        <is>
          <t xml:space="preserve">Conjunto estruturado de ações, prazos e responsáveis para tratar um risco específico.</t>
        </is>
      </c>
      <c r="C73" s="3" t="inlineStr">
        <is>
          <t xml:space="preserve">PMBOK</t>
        </is>
      </c>
    </row>
    <row r="74">
      <c r="A74" s="6" t="inlineStr">
        <is>
          <t xml:space="preserve">PMBOK</t>
        </is>
      </c>
      <c r="B74" s="6" t="inlineStr">
        <is>
          <t xml:space="preserve">Project Management Body of Knowledge — guia do PMI que consolida boas práticas, princípios e domínios de desempenho em gerenciamento de projetos.</t>
        </is>
      </c>
      <c r="C74" s="6" t="inlineStr">
        <is>
          <t xml:space="preserve">PMI</t>
        </is>
      </c>
    </row>
    <row r="75">
      <c r="A75" s="3" t="inlineStr">
        <is>
          <t xml:space="preserve">PMI</t>
        </is>
      </c>
      <c r="B75" s="3" t="inlineStr">
        <is>
          <t xml:space="preserve">Project Management Institute — instituto internacional que mantém o PMBOK e certificações como PMP.</t>
        </is>
      </c>
      <c r="C75" s="3" t="inlineStr">
        <is>
          <t xml:space="preserve">PMI</t>
        </is>
      </c>
    </row>
    <row r="76">
      <c r="A76" s="6" t="inlineStr">
        <is>
          <t xml:space="preserve">Projeto</t>
        </is>
      </c>
      <c r="B76" s="6" t="inlineStr">
        <is>
          <t xml:space="preserve">Esforço temporário empreendido para criar um produto, serviço ou resultado único. Tem início e fim definidos.</t>
        </is>
      </c>
      <c r="C76" s="6" t="inlineStr">
        <is>
          <t xml:space="preserve">PMBOK</t>
        </is>
      </c>
    </row>
    <row r="77">
      <c r="A77" s="3" t="inlineStr">
        <is>
          <t xml:space="preserve">Programa</t>
        </is>
      </c>
      <c r="B77" s="3" t="inlineStr">
        <is>
          <t xml:space="preserve">Conjunto de projetos relacionados, gerenciados de forma coordenada para obter benefícios que não seriam alcançados se gerenciados individualmente.</t>
        </is>
      </c>
      <c r="C77" s="3" t="inlineStr">
        <is>
          <t xml:space="preserve">PMBOK</t>
        </is>
      </c>
    </row>
    <row r="78">
      <c r="A78" s="6" t="inlineStr">
        <is>
          <t xml:space="preserve">Portfólio</t>
        </is>
      </c>
      <c r="B78" s="6" t="inlineStr">
        <is>
          <t xml:space="preserve">Conjunto de projetos, programas e operações gerenciados em grupo para atingir objetivos estratégicos.</t>
        </is>
      </c>
      <c r="C78" s="6" t="inlineStr">
        <is>
          <t xml:space="preserve">PMBOK</t>
        </is>
      </c>
    </row>
    <row r="79">
      <c r="A79" s="3" t="inlineStr">
        <is>
          <t xml:space="preserve">Pacote de Trabalho</t>
        </is>
      </c>
      <c r="B79" s="3" t="inlineStr">
        <is>
          <t xml:space="preserve">Componente de menor nível da EAP, para o qual se pode estimar custo, prazo e responsável.</t>
        </is>
      </c>
      <c r="C79" s="3" t="inlineStr">
        <is>
          <t xml:space="preserve">PMBOK</t>
        </is>
      </c>
    </row>
    <row r="80">
      <c r="A80" s="6" t="inlineStr">
        <is>
          <t xml:space="preserve">Plano de Ações AE/GPE</t>
        </is>
      </c>
      <c r="B80" s="6" t="inlineStr">
        <is>
          <t xml:space="preserve">Plano de Ações 2026 conduzido pela AE/GPE/UNP para estruturar o escritório de processos, mapear processos prioritários e implantar a governança.</t>
        </is>
      </c>
      <c r="C80" s="6" t="inlineStr">
        <is>
          <t xml:space="preserve">Codevasf 2026</t>
        </is>
      </c>
    </row>
    <row r="81">
      <c r="A81" s="3" t="inlineStr">
        <is>
          <t xml:space="preserve">Raia (Swimlane)</t>
        </is>
      </c>
      <c r="B81" s="3" t="inlineStr">
        <is>
          <t xml:space="preserve">Faixa horizontal ou vertical no diagrama BPMN que indica o papel, área ou sistema responsável pelas atividades nela contidas.</t>
        </is>
      </c>
      <c r="C81" s="3" t="inlineStr">
        <is>
          <t xml:space="preserve">BPMN</t>
        </is>
      </c>
    </row>
    <row r="82">
      <c r="A82" s="6" t="inlineStr">
        <is>
          <t xml:space="preserve">Reengenharia</t>
        </is>
      </c>
      <c r="B82" s="6" t="inlineStr">
        <is>
          <t xml:space="preserve">Repensar e redesenhar radicalmente processos para obter ganhos expressivos em custo, qualidade, serviço e velocidade. Diferente da melhoria contínua incremental.</t>
        </is>
      </c>
      <c r="C82" s="6" t="inlineStr">
        <is>
          <t xml:space="preserve">Hammer &amp; Champy</t>
        </is>
      </c>
    </row>
    <row r="83">
      <c r="A83" s="3" t="inlineStr">
        <is>
          <t xml:space="preserve">Risco</t>
        </is>
      </c>
      <c r="B83" s="3" t="inlineStr">
        <is>
          <t xml:space="preserve">Efeito da incerteza sobre os objetivos. Pode ser ameaça (negativo) ou oportunidade (positivo). Tem causa, evento e consequência.</t>
        </is>
      </c>
      <c r="C83" s="3" t="inlineStr">
        <is>
          <t xml:space="preserve">ISO 31000 / PMBOK</t>
        </is>
      </c>
    </row>
    <row r="84">
      <c r="A84" s="6" t="inlineStr">
        <is>
          <t xml:space="preserve">Subprocesso</t>
        </is>
      </c>
      <c r="B84" s="6" t="inlineStr">
        <is>
          <t xml:space="preserve">Recorte de um processo, com objetivo específico, que pode ser detalhado em atividades e tarefas. Permite gerenciar partes complexas do processo separadamente.</t>
        </is>
      </c>
      <c r="C84" s="6" t="inlineStr">
        <is>
          <t xml:space="preserve">CBOK 4.0</t>
        </is>
      </c>
    </row>
    <row r="85">
      <c r="A85" s="3" t="inlineStr">
        <is>
          <t xml:space="preserve">SIPOC</t>
        </is>
      </c>
      <c r="B85" s="3" t="inlineStr">
        <is>
          <t xml:space="preserve">Ferramenta visual que descreve um processo em alto nível por meio de cinco elementos: Fornecedores, Entradas, Processo, Saídas e Beneficiários.</t>
        </is>
      </c>
      <c r="C85" s="3" t="inlineStr">
        <is>
          <t xml:space="preserve">Six Sigma / CBOK</t>
        </is>
      </c>
    </row>
    <row r="86">
      <c r="A86" s="6" t="inlineStr">
        <is>
          <t xml:space="preserve">Saída</t>
        </is>
      </c>
      <c r="B86" s="6" t="inlineStr">
        <is>
          <t xml:space="preserve">Produto, serviço, informação ou decisão gerada pelo processo e entregue a um cliente.</t>
        </is>
      </c>
      <c r="C86" s="6" t="inlineStr">
        <is>
          <t xml:space="preserve">SIPOC</t>
        </is>
      </c>
    </row>
    <row r="87">
      <c r="A87" s="3" t="inlineStr">
        <is>
          <t xml:space="preserve">SLA</t>
        </is>
      </c>
      <c r="B87" s="3" t="inlineStr">
        <is>
          <t xml:space="preserve">Service Level Agreement — acordo formal entre prestador e cliente que define níveis de serviço, prazos, qualidade e penalidades.</t>
        </is>
      </c>
      <c r="C87" s="3" t="inlineStr">
        <is>
          <t xml:space="preserve">ITIL</t>
        </is>
      </c>
    </row>
    <row r="88">
      <c r="A88" s="6" t="inlineStr">
        <is>
          <t xml:space="preserve">Stakeholder</t>
        </is>
      </c>
      <c r="B88" s="6" t="inlineStr">
        <is>
          <t xml:space="preserve">Parte interessada — pessoa, grupo ou organização que afeta ou é afetada pelo projeto.</t>
        </is>
      </c>
      <c r="C88" s="6" t="inlineStr">
        <is>
          <t xml:space="preserve">PMBOK</t>
        </is>
      </c>
    </row>
    <row r="89">
      <c r="A89" s="3" t="inlineStr">
        <is>
          <t xml:space="preserve">Scrum</t>
        </is>
      </c>
      <c r="B89" s="3" t="inlineStr">
        <is>
          <t xml:space="preserve">Framework ágil baseado em sprints curtas, papéis definidos (Product Owner, Scrum Master, Time) e cerimônias (planning, daily, review, retro).</t>
        </is>
      </c>
      <c r="C89" s="3" t="inlineStr">
        <is>
          <t xml:space="preserve">Schwaber &amp; Sutherland</t>
        </is>
      </c>
    </row>
    <row r="90">
      <c r="A90" s="6" t="inlineStr">
        <is>
          <t xml:space="preserve">Sprint</t>
        </is>
      </c>
      <c r="B90" s="6" t="inlineStr">
        <is>
          <t xml:space="preserve">Iteração de duração fixa (geralmente 1 a 4 semanas) em Scrum, ao final da qual se entrega um incremento potencialmente utilizável.</t>
        </is>
      </c>
      <c r="C90" s="6" t="inlineStr">
        <is>
          <t xml:space="preserve">Scrum</t>
        </is>
      </c>
    </row>
    <row r="91">
      <c r="A91" s="3" t="inlineStr">
        <is>
          <t xml:space="preserve">SPI</t>
        </is>
      </c>
      <c r="B91" s="3" t="inlineStr">
        <is>
          <t xml:space="preserve">Schedule Performance Index — índice de desempenho de prazo do projeto. SPI &lt; 1 indica atraso.</t>
        </is>
      </c>
      <c r="C91" s="3" t="inlineStr">
        <is>
          <t xml:space="preserve">EVM</t>
        </is>
      </c>
    </row>
    <row r="92">
      <c r="A92" s="6" t="inlineStr">
        <is>
          <t xml:space="preserve">Status de Mapeamento</t>
        </is>
      </c>
      <c r="B92" s="6" t="inlineStr">
        <is>
          <t xml:space="preserve">Indicador do estágio em que se encontra o mapeamento de um processo: Não iniciado, Em andamento, Concluído ou Suspenso.</t>
        </is>
      </c>
      <c r="C92" s="6" t="inlineStr">
        <is>
          <t xml:space="preserve">Codevasf</t>
        </is>
      </c>
    </row>
    <row r="93">
      <c r="A93" s="3" t="inlineStr">
        <is>
          <t xml:space="preserve">Semáforo do Processo</t>
        </is>
      </c>
      <c r="B93" s="3" t="inlineStr">
        <is>
          <t xml:space="preserve">Sinal visual (verde, amarelo, vermelho) que combina prazo e percentual de execução do mapeamento.</t>
        </is>
      </c>
      <c r="C93" s="3" t="inlineStr">
        <is>
          <t xml:space="preserve">Codevasf</t>
        </is>
      </c>
    </row>
    <row r="94">
      <c r="A94" s="6" t="inlineStr">
        <is>
          <t xml:space="preserve">Tarefa</t>
        </is>
      </c>
      <c r="B94" s="6" t="inlineStr">
        <is>
          <t xml:space="preserve">Menor unidade de trabalho identificada em uma atividade. Pode ser manual, automatizada ou de regra de negócio.</t>
        </is>
      </c>
      <c r="C94" s="6" t="inlineStr">
        <is>
          <t xml:space="preserve">CBOK 4.0</t>
        </is>
      </c>
    </row>
    <row r="95">
      <c r="A95" s="3" t="inlineStr">
        <is>
          <t xml:space="preserve">TO-BE</t>
        </is>
      </c>
      <c r="B95" s="3" t="inlineStr">
        <is>
          <t xml:space="preserve">Modelo do processo no estado futuro desejado, após análise e proposta de melhorias. Serve de referência para a implementação.</t>
        </is>
      </c>
      <c r="C95" s="3" t="inlineStr">
        <is>
          <t xml:space="preserve">CBOK 4.0</t>
        </is>
      </c>
    </row>
    <row r="96">
      <c r="A96" s="6" t="inlineStr">
        <is>
          <t xml:space="preserve">UNP</t>
        </is>
      </c>
      <c r="B96" s="6" t="inlineStr">
        <is>
          <t xml:space="preserve">Unidade de Gestão Normativa e de Processos da Codevasf — vinculada à GPE/AE. Responsável por conduzir a metodologia de mapeamento e a governança dos processos da Empresa.</t>
        </is>
      </c>
      <c r="C96" s="6" t="inlineStr">
        <is>
          <t xml:space="preserve">RES 031/2025</t>
        </is>
      </c>
    </row>
    <row r="97">
      <c r="A97" s="3" t="inlineStr">
        <is>
          <t xml:space="preserve">Unidade Gestora</t>
        </is>
      </c>
      <c r="B97" s="3" t="inlineStr">
        <is>
          <t xml:space="preserve">Área da Codevasf responsável pelo processo, por seus resultados e pela manutenção da documentação atualizada.</t>
        </is>
      </c>
      <c r="C97" s="3" t="inlineStr">
        <is>
          <t xml:space="preserve">Metodologia Codevasf</t>
        </is>
      </c>
    </row>
    <row r="98">
      <c r="A98" s="6" t="inlineStr">
        <is>
          <t xml:space="preserve">Valor Agregado</t>
        </is>
      </c>
      <c r="B98" s="6" t="inlineStr">
        <is>
          <t xml:space="preserve">Atributo de uma atividade que transforma a entrada de forma percebida como valiosa pelo cliente. Atividades sem valor agregado devem ser eliminadas ou reduzidas.</t>
        </is>
      </c>
      <c r="C98" s="6" t="inlineStr">
        <is>
          <t xml:space="preserve">Lean / CBOK</t>
        </is>
      </c>
    </row>
    <row r="99">
      <c r="A99" s="3" t="inlineStr">
        <is>
          <t xml:space="preserve">WIP</t>
        </is>
      </c>
      <c r="B99" s="3" t="inlineStr">
        <is>
          <t xml:space="preserve">Work in Progress — quantidade de trabalho em andamento. Limitar o WIP reduz multitarefa e acelera entregas.</t>
        </is>
      </c>
      <c r="C99" s="3" t="inlineStr">
        <is>
          <t xml:space="preserve">Kanban / Lean</t>
        </is>
      </c>
    </row>
    <row r="100">
      <c r="A100" s="6" t="inlineStr">
        <is>
          <t xml:space="preserve">Métrica</t>
        </is>
      </c>
      <c r="B100" s="6" t="inlineStr">
        <is>
          <t xml:space="preserve">Medida quantitativa derivada de um cálculo matemático sobre uma ou mais medições — por exemplo, número de defeitos dividido pela produção total. Divide-se em três categorias: métricas de produto (características do produto), de processo (resultados do processo, como satisfação do Cliente) e de projeto (execução do projeto, como custo e prazo). Neste repositório, cada métrica tem uma meta e um histórico de medições ao longo do tempo.</t>
        </is>
      </c>
      <c r="C100" s="6" t="inlineStr">
        <is>
          <t xml:space="preserve">CBOK 4.0</t>
        </is>
      </c>
    </row>
    <row r="101">
      <c r="A101" s="3" t="inlineStr">
        <is>
          <t xml:space="preserve">Medição</t>
        </is>
      </c>
      <c r="B101" s="3" t="inlineStr">
        <is>
          <t xml:space="preserve">Quantificação de um dado, num padrão e qualidade aceitáveis (precisão, completude, consistência, atualidade) — o dado bruto de um único momento no tempo. Uma métrica é calculada a partir de uma ou mais medições.</t>
        </is>
      </c>
      <c r="C101" s="3" t="inlineStr">
        <is>
          <t xml:space="preserve">CBOK 4.0</t>
        </is>
      </c>
    </row>
    <row r="102">
      <c r="A102" s="6" t="inlineStr">
        <is>
          <t xml:space="preserve">Agregação de Valor</t>
        </is>
      </c>
      <c r="B102" s="6" t="inlineStr">
        <is>
          <t xml:space="preserve">Tipo de atividade que contribui para o resultado do processo de forma positiva — por exemplo, confirmar com o Cliente se ficou satisfeito após um serviço. Um dos três tipos de atividade do CBOK, junto com Transferência e Controle.</t>
        </is>
      </c>
      <c r="C102" s="6" t="inlineStr">
        <is>
          <t xml:space="preserve">CBOK 4.0</t>
        </is>
      </c>
    </row>
    <row r="103">
      <c r="A103" s="3" t="inlineStr">
        <is>
          <t xml:space="preserve">Transferência</t>
        </is>
      </c>
      <c r="B103" s="3" t="inlineStr">
        <is>
          <t xml:space="preserve">Tipo de atividade que passa o controle do processo para outro departamento ou organização — por exemplo, encaminhar um Cliente para o setor responsável por resolver seu problema. Também chamada de handoff. Um dos três tipos de atividade do CBOK.</t>
        </is>
      </c>
      <c r="C103" s="3" t="inlineStr">
        <is>
          <t xml:space="preserve">CBOK 4.0</t>
        </is>
      </c>
    </row>
    <row r="104">
      <c r="A104" s="6" t="inlineStr">
        <is>
          <t xml:space="preserve">Atividade de Controle</t>
        </is>
      </c>
      <c r="B104" s="6" t="inlineStr">
        <is>
          <t xml:space="preserve">Ponto de verificação específico num processo, que assegura que ele se comporta dentro das tolerâncias desejadas e adere a padrões, requisitos legais ou regulamentares. Pode prevenir, detectar ou corrigir condições indesejadas. Um dos três tipos de atividade do CBOK.</t>
        </is>
      </c>
      <c r="C104" s="6" t="inlineStr">
        <is>
          <t xml:space="preserve">CBOK 4.0</t>
        </is>
      </c>
    </row>
    <row r="105">
      <c r="A105" s="3" t="inlineStr">
        <is>
          <t xml:space="preserve">RACI</t>
        </is>
      </c>
      <c r="B105" s="3" t="inlineStr">
        <is>
          <t xml:space="preserve">Modelo para registrar os papéis envolvidos numa atividade ou processo: Responsável/Executa (quem faz o trabalho), Aprova (quem responde pelo resultado), Consultado (quem contribui antes da decisão) e Informado (quem é avisado do resultado). Usado neste repositório na seção "Papéis e envolvidos".</t>
        </is>
      </c>
      <c r="C105" s="3" t="inlineStr">
        <is>
          <t xml:space="preserve">Prática de gestão de projetos e processos</t>
        </is>
      </c>
    </row>
    <row r="106">
      <c r="A106" s="6" t="inlineStr">
        <is>
          <t xml:space="preserve">ROI (Retorno sobre o Investimento)</t>
        </is>
      </c>
      <c r="B106" s="6" t="inlineStr">
        <is>
          <t xml:space="preserve">Relação entre o ganho obtido com uma iniciativa (por exemplo, economia de tempo ou de custo com a automatização de um processo) e o valor investido nela. Neste repositório é tratado como uma categoria de métrica, ao lado de SLA, produto, processo e projeto.</t>
        </is>
      </c>
      <c r="C106" s="6" t="inlineStr">
        <is>
          <t xml:space="preserve">CBOK 4.0</t>
        </is>
      </c>
    </row>
    <row r="107">
      <c r="A107" s="3" t="inlineStr">
        <is>
          <t xml:space="preserve">5W2H</t>
        </is>
      </c>
      <c r="B107" s="3" t="inlineStr">
        <is>
          <t xml:space="preserve">Checklist de atividades, prazos e responsabilidades usado no plano de ação da etapa de análise: o que, por que, onde, quando, por quem, como e quanto vai custar.</t>
        </is>
      </c>
      <c r="C107" s="3" t="inlineStr">
        <is>
          <t xml:space="preserve">RES 031/2025</t>
        </is>
      </c>
    </row>
    <row r="108">
      <c r="A108" s="6" t="inlineStr">
        <is>
          <t xml:space="preserve">Ator do Processo</t>
        </is>
      </c>
      <c r="B108" s="6" t="inlineStr">
        <is>
          <t xml:space="preserve">Empregado que participa, em algum momento, da execução do processo.</t>
        </is>
      </c>
      <c r="C108" s="6" t="inlineStr">
        <is>
          <t xml:space="preserve">RES 031/2025</t>
        </is>
      </c>
    </row>
    <row r="109">
      <c r="A109" s="3" t="inlineStr">
        <is>
          <t xml:space="preserve">Diagrama</t>
        </is>
      </c>
      <c r="B109" s="3" t="inlineStr">
        <is>
          <t xml:space="preserve">Representação gráfica que demonstra os principais elementos do fluxo do processo, ajudando a identificar e entender rapidamente suas atividades.</t>
        </is>
      </c>
      <c r="C109" s="3" t="inlineStr">
        <is>
          <t xml:space="preserve">RES 031/2025</t>
        </is>
      </c>
    </row>
    <row r="110">
      <c r="A110" s="6" t="inlineStr">
        <is>
          <t xml:space="preserve">Equipe de Gerenciamento de Processo</t>
        </is>
      </c>
      <c r="B110" s="6" t="inlineStr">
        <is>
          <t xml:space="preserve">Grupo formado pelo ponto focal do Nugep, pelo gestor do processo e por atores do processo, responsável por gerenciar o processo priorizado.</t>
        </is>
      </c>
      <c r="C110" s="6" t="inlineStr">
        <is>
          <t xml:space="preserve">RES 031/2025</t>
        </is>
      </c>
    </row>
    <row r="111">
      <c r="A111" s="3" t="inlineStr">
        <is>
          <t xml:space="preserve">Gestor do Processo</t>
        </is>
      </c>
      <c r="B111" s="3" t="inlineStr">
        <is>
          <t xml:space="preserve">Titular da unidade orgânica responsável pela execução do processo ou, na sua ausência, o demandante do processo. Aprova os processos mapeados pelo ponto focal, forma a equipe de gerenciamento e responde pelos resultados perante a UNP.</t>
        </is>
      </c>
      <c r="C111" s="3" t="inlineStr">
        <is>
          <t xml:space="preserve">RES 031/2025</t>
        </is>
      </c>
    </row>
    <row r="112">
      <c r="A112" s="6" t="inlineStr">
        <is>
          <t xml:space="preserve">Hierarquia de Processos</t>
        </is>
      </c>
      <c r="B112" s="6" t="inlineStr">
        <is>
          <t xml:space="preserve">Forma de visualizar como os processos se desdobram do nível mais alto — a cadeia de valor — até o mais baixo — as tarefas.</t>
        </is>
      </c>
      <c r="C112" s="6" t="inlineStr">
        <is>
          <t xml:space="preserve">RES 031/2025</t>
        </is>
      </c>
    </row>
    <row r="113">
      <c r="A113" s="3" t="inlineStr">
        <is>
          <t xml:space="preserve">Plano de Gerenciamento do Processo (PGP)</t>
        </is>
      </c>
      <c r="B113" s="3" t="inlineStr">
        <is>
          <t xml:space="preserve">Documento da etapa de planejamento, com o cronograma das etapas de conhecimento, análise, transformação, gerenciamento de desempenho, monitoramento e reavaliação do processo.</t>
        </is>
      </c>
      <c r="C113" s="3" t="inlineStr">
        <is>
          <t xml:space="preserve">RES 031/2025</t>
        </is>
      </c>
    </row>
    <row r="114">
      <c r="A114" s="6" t="inlineStr">
        <is>
          <t xml:space="preserve">Ponto Focal do Nugep</t>
        </is>
      </c>
      <c r="B114" s="6" t="inlineStr">
        <is>
          <t xml:space="preserve">Empregado que conduz e coordena os trabalhos de gerenciamento de processos na própria unidade orgânica, como agente multiplicador do Nugep.</t>
        </is>
      </c>
      <c r="C114" s="6" t="inlineStr">
        <is>
          <t xml:space="preserve">RES 031/2025</t>
        </is>
      </c>
    </row>
    <row r="115">
      <c r="A115" s="3" t="inlineStr">
        <is>
          <t xml:space="preserve">Procedimento (PRO)</t>
        </is>
      </c>
      <c r="B115" s="3" t="inlineStr">
        <is>
          <t xml:space="preserve">Documento que reúne objetivo, diagramas, referências legais, classificação na cadeia de valor, unidade responsável, sistemas, produtos, atores, tarefas, regras de negócio, cronograma e indicadores do processo.</t>
        </is>
      </c>
      <c r="C115" s="3" t="inlineStr">
        <is>
          <t xml:space="preserve">RES 031/2025</t>
        </is>
      </c>
    </row>
    <row r="116">
      <c r="A116" s="6" t="inlineStr">
        <is>
          <t xml:space="preserve">Regras de Negócio</t>
        </is>
      </c>
      <c r="B116" s="6" t="inlineStr">
        <is>
          <t xml:space="preserve">Premissas e restrições que garantem o funcionamento adequado da organização: definem o que, onde, por que e como algo será feito, e como será gerenciado e governado.</t>
        </is>
      </c>
      <c r="C116" s="6" t="inlineStr">
        <is>
          <t xml:space="preserve">RES 031/2025</t>
        </is>
      </c>
    </row>
    <row r="117">
      <c r="A117" s="3" t="inlineStr">
        <is>
          <t xml:space="preserve">Unidade Orgânica</t>
        </is>
      </c>
      <c r="B117" s="3" t="inlineStr">
        <is>
          <t xml:space="preserve">Toda e qualquer unidade com representação formal na estrutura orgânica da Empresa.</t>
        </is>
      </c>
      <c r="C117" s="3" t="inlineStr">
        <is>
          <t xml:space="preserve">RES 031/2025</t>
        </is>
      </c>
    </row>
    <row r="118">
      <c r="A118" s="6" t="inlineStr">
        <is>
          <t xml:space="preserve">Mapa</t>
        </is>
      </c>
      <c r="B118" s="6" t="inlineStr">
        <is>
          <t xml:space="preserve">Nível intermediário de detalhamento de um processo: evolução do diagrama que soma atores, eventos, regras e resultados. Usado para representar subprocessos, de preferência pelo “caminho feliz” — as exceções ficam na Tabela de Descrição das Atividades.</t>
        </is>
      </c>
      <c r="C118" s="6" t="inlineStr">
        <is>
          <t xml:space="preserve">RES 031/2025</t>
        </is>
      </c>
    </row>
    <row r="119">
      <c r="A119" s="3" t="inlineStr">
        <is>
          <t xml:space="preserve">Modelo</t>
        </is>
      </c>
      <c r="B119" s="3" t="inlineStr">
        <is>
          <t xml:space="preserve">Nível mais analítico de detalhamento de um processo, usado quando o mapa não é suficiente. Tem alto grau de precisão, mas exige cuidado para não poluir a leitura.</t>
        </is>
      </c>
      <c r="C119" s="3" t="inlineStr">
        <is>
          <t xml:space="preserve">RES 031/2025</t>
        </is>
      </c>
    </row>
  </sheetData>
  <autoFilter ref="A1:C1"/>
</worksheet>
</file>

<file path=xl/worksheets/sheet21.xml><?xml version="1.0" encoding="utf-8"?>
<worksheet xmlns="http://schemas.openxmlformats.org/spreadsheetml/2006/main">
  <sheetPr>
    <tabColor rgb="FF155BCB"/>
  </sheetPr>
  <dimension ref="A1:D25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28" customWidth="1"/>
    <col min="3" max="3" width="50" customWidth="1"/>
    <col min="4" max="4" width="90" customWidth="1"/>
  </cols>
  <sheetData>
    <row r="1">
      <c r="A1" s="1" t="inlineStr">
        <is>
          <t xml:space="preserve">Ordem</t>
        </is>
      </c>
      <c r="B1" s="1" t="inlineStr">
        <is>
          <t xml:space="preserve">Categoria</t>
        </is>
      </c>
      <c r="C1" s="1" t="inlineStr">
        <is>
          <t xml:space="preserve">Pergunta</t>
        </is>
      </c>
      <c r="D1" s="1" t="inlineStr">
        <is>
          <t xml:space="preserve">Resposta</t>
        </is>
      </c>
    </row>
    <row r="2">
      <c r="A2" s="7">
        <v>1</v>
      </c>
      <c r="B2" s="7" t="inlineStr">
        <is>
          <t xml:space="preserve">Conceitos básicos</t>
        </is>
      </c>
      <c r="C2" s="6" t="inlineStr">
        <is>
          <t xml:space="preserve">O que é Gestão de Processos (BPM)?</t>
        </is>
      </c>
      <c r="D2" s="6" t="inlineStr">
        <is>
          <t xml:space="preserve">Business Process Management é uma disciplina gerencial integrada que combina técnicas, métodos e ferramentas para identificar, modelar, executar, monitorar e melhorar continuamente os processos de negócio, alinhando-os à estratégia e à entrega de valor (CBOK 4.0).</t>
        </is>
      </c>
    </row>
    <row r="3">
      <c r="A3" s="4">
        <v>2</v>
      </c>
      <c r="B3" s="4" t="inlineStr">
        <is>
          <t xml:space="preserve">Conceitos básicos</t>
        </is>
      </c>
      <c r="C3" s="3" t="inlineStr">
        <is>
          <t xml:space="preserve">Qual a diferença entre Gestão DE Processos e Gestão POR Processos?</t>
        </is>
      </c>
      <c r="D3" s="3" t="inlineStr">
        <is>
          <t xml:space="preserve">Gestão DE processos é o trabalho de melhorar processos individualmente: mapear, analisar, redesenhar e medir cada um. Gestão POR processos é o modelo de gestão da organização orientado a processos ponta a ponta — com donos, indicadores e decisões estruturadas pelos fluxos de valor, e não pelos silos funcionais. Este painel evidencia os dois: o repositório de processos (DE) e a cadeia de valor com governança (POR).</t>
        </is>
      </c>
    </row>
    <row r="4">
      <c r="A4" s="7">
        <v>3</v>
      </c>
      <c r="B4" s="7" t="inlineStr">
        <is>
          <t xml:space="preserve">Conceitos básicos</t>
        </is>
      </c>
      <c r="C4" s="6" t="inlineStr">
        <is>
          <t xml:space="preserve">Qual a diferença entre macroprocesso, processo, subprocesso, atividade e tarefa?</t>
        </is>
      </c>
      <c r="D4" s="6" t="inlineStr">
        <is>
          <t xml:space="preserve">São os níveis da arquitetura de processos (CBOK 4.0): o macroprocesso agrupa grandes conjuntos de processos da cadeia de valor; o processo entrega um resultado a um cliente interno ou externo; o subprocesso é um recorte gerenciável do processo; a atividade é o nível operacional modelado em BPMN; e a tarefa é a menor unidade de trabalho dentro de uma atividade.</t>
        </is>
      </c>
    </row>
    <row r="5">
      <c r="A5" s="4">
        <v>4</v>
      </c>
      <c r="B5" s="4" t="inlineStr">
        <is>
          <t xml:space="preserve">Conceitos básicos</t>
        </is>
      </c>
      <c r="C5" s="3" t="inlineStr">
        <is>
          <t xml:space="preserve">O que é um processo finalístico, gerencial e de suporte?</t>
        </is>
      </c>
      <c r="D5" s="3" t="inlineStr">
        <is>
          <t xml:space="preserve">Finalísticos (ou primários) entregam valor diretamente ao beneficiário — na Codevasf, irrigação, revitalização e desenvolvimento territorial. De suporte habilitam os demais (licitações, pessoas, TI). Gerenciais medem, controlam e direcionam a organização (estratégia, riscos e governança).</t>
        </is>
      </c>
    </row>
    <row r="6">
      <c r="A6" s="7">
        <v>5</v>
      </c>
      <c r="B6" s="7" t="inlineStr">
        <is>
          <t xml:space="preserve">Modelagem e SIPOC</t>
        </is>
      </c>
      <c r="C6" s="6" t="inlineStr">
        <is>
          <t xml:space="preserve">O que é SIPOC e como ler a ficha de um processo?</t>
        </is>
      </c>
      <c r="D6" s="6" t="inlineStr">
        <is>
          <t xml:space="preserve">SIPOC é a visão de alto nível do processo em cinco colunas: Fornecedores, Entradas, Processo, Saídas e Beneficiários. Na ficha de cada processo deste painel, o SIPOC aparece logo após os dados gerais, seguido dos marcos M1–M10, indicadores, riscos e documentos vinculados.</t>
        </is>
      </c>
    </row>
    <row r="7">
      <c r="A7" s="4">
        <v>6</v>
      </c>
      <c r="B7" s="4" t="inlineStr">
        <is>
          <t xml:space="preserve">Modelagem e SIPOC</t>
        </is>
      </c>
      <c r="C7" s="3" t="inlineStr">
        <is>
          <t xml:space="preserve">O que é AS-IS e TO-BE?</t>
        </is>
      </c>
      <c r="D7" s="3" t="inlineStr">
        <is>
          <t xml:space="preserve">AS-IS é o retrato do processo como ele é executado hoje, usado para diagnóstico. TO-BE é o desenho do processo futuro, após a análise de melhorias. Os dois modelos são validados formalmente com o dono do processo antes da publicação (marcos M5 e M8).</t>
        </is>
      </c>
    </row>
    <row r="8">
      <c r="A8" s="7">
        <v>7</v>
      </c>
      <c r="B8" s="7" t="inlineStr">
        <is>
          <t xml:space="preserve">Modelagem e SIPOC</t>
        </is>
      </c>
      <c r="C8" s="6" t="inlineStr">
        <is>
          <t xml:space="preserve">Que notação a Codevasf usa para modelar processos?</t>
        </is>
      </c>
      <c r="D8" s="6" t="inlineStr">
        <is>
          <t xml:space="preserve">BPMN 2.0, modelada preferencialmente no Bizagi Modeler, conforme o Guia de Gerenciamento de Processos (RES 031/2025). Os diagramas publicados aparecem na ficha de cada macroprocesso, processo e subprocesso.</t>
        </is>
      </c>
    </row>
    <row r="9">
      <c r="A9" s="4">
        <v>8</v>
      </c>
      <c r="B9" s="4" t="inlineStr">
        <is>
          <t xml:space="preserve">Modelagem e SIPOC</t>
        </is>
      </c>
      <c r="C9" s="3" t="inlineStr">
        <is>
          <t xml:space="preserve">Como propor uma mudança em um processo já mapeado?</t>
        </is>
      </c>
      <c r="D9" s="3" t="inlineStr">
        <is>
          <t xml:space="preserve">Use o botão flutuante “Sugerir melhoria de processo” (que abre um e-mail para a UNP) ou procure o dono do processo indicado na ficha. Propostas aceitas abrem um novo ciclo de análise e redesenho, registrado no processo e-Codevasf/e-Codevasf correspondente.</t>
        </is>
      </c>
    </row>
    <row r="10">
      <c r="A10" s="7">
        <v>9</v>
      </c>
      <c r="B10" s="7" t="inlineStr">
        <is>
          <t xml:space="preserve">Cadeia de Valor e governança</t>
        </is>
      </c>
      <c r="C10" s="6" t="inlineStr">
        <is>
          <t xml:space="preserve">O que é a Cadeia de Valor Integrada da Codevasf?</t>
        </is>
      </c>
      <c r="D10" s="6" t="inlineStr">
        <is>
          <t xml:space="preserve">É a representação dos macroprocessos da Companhia organizados por contribuição ao valor público: gerenciais no direcionamento, finalísticos na entrega à sociedade e de suporte na sustentação — emoldurados pela missão, visão, propósito e valores. Ela é a porta de entrada de navegação deste painel.</t>
        </is>
      </c>
    </row>
    <row r="11">
      <c r="A11" s="4">
        <v>10</v>
      </c>
      <c r="B11" s="4" t="inlineStr">
        <is>
          <t xml:space="preserve">Cadeia de Valor e governança</t>
        </is>
      </c>
      <c r="C11" s="3" t="inlineStr">
        <is>
          <t xml:space="preserve">Quem é o dono do processo?</t>
        </is>
      </c>
      <c r="D11" s="3" t="inlineStr">
        <is>
          <t xml:space="preserve">É a pessoa formalmente responsável pelo desempenho, pela integridade e pela melhoria contínua do processo de ponta a ponta, independentemente da hierarquia (CBOK 4.0). O dono está identificado na ficha de cada processo.</t>
        </is>
      </c>
    </row>
    <row r="12">
      <c r="A12" s="7">
        <v>11</v>
      </c>
      <c r="B12" s="7" t="inlineStr">
        <is>
          <t xml:space="preserve">Cadeia de Valor e governança</t>
        </is>
      </c>
      <c r="C12" s="6" t="inlineStr">
        <is>
          <t xml:space="preserve">Qual o papel da UNP, da GPE e da AE?</t>
        </is>
      </c>
      <c r="D12" s="6" t="inlineStr">
        <is>
          <t xml:space="preserve">A UNP é o escritório de processos: conduz a metodologia, mantém o repositório e apoia as áreas. Ela integra a GPE (Gerência de Planejamento Estratégico), que por sua vez se vincula à AE (Área de Estratégia e Finanças), instância superior de governança.</t>
        </is>
      </c>
    </row>
    <row r="13">
      <c r="A13" s="4">
        <v>12</v>
      </c>
      <c r="B13" s="4" t="inlineStr">
        <is>
          <t xml:space="preserve">Cadeia de Valor e governança</t>
        </is>
      </c>
      <c r="C13" s="3" t="inlineStr">
        <is>
          <t xml:space="preserve">Quem aprova as mudanças nos processos?</t>
        </is>
      </c>
      <c r="D13" s="3" t="inlineStr">
        <is>
          <t xml:space="preserve">O dono do processo valida os modelos (AS-IS e TO-BE) e as instâncias de governança definidas na RES 031/2025 aprovam a publicação, com apoio metodológico da UNP. Mudanças que alteram normativos seguem também o fluxo do Sistema Normativo.</t>
        </is>
      </c>
    </row>
    <row r="14">
      <c r="A14" s="7">
        <v>13</v>
      </c>
      <c r="B14" s="7" t="inlineStr">
        <is>
          <t xml:space="preserve">Indicadores, metas e riscos</t>
        </is>
      </c>
      <c r="C14" s="6" t="inlineStr">
        <is>
          <t xml:space="preserve">O que é um KPI?</t>
        </is>
      </c>
      <c r="D14" s="6" t="inlineStr">
        <is>
          <t xml:space="preserve">Key Performance Indicator: um indicador-chave de desempenho, com fórmula, fonte, meta, periodicidade e responsável definidos. A aba Indicadores lista os KPIs por nível (macroprocesso, processo, subprocesso) com a situação calculada em relação à meta.</t>
        </is>
      </c>
    </row>
    <row r="15">
      <c r="A15" s="4">
        <v>14</v>
      </c>
      <c r="B15" s="4" t="inlineStr">
        <is>
          <t xml:space="preserve">Indicadores, metas e riscos</t>
        </is>
      </c>
      <c r="C15" s="3" t="inlineStr">
        <is>
          <t xml:space="preserve">Qual a diferença entre eficiência, eficácia e efetividade?</t>
        </is>
      </c>
      <c r="D15" s="3" t="inlineStr">
        <is>
          <t xml:space="preserve">Eficiência é fazer certo as coisas (relação produto/recursos); eficácia é fazer as coisas certas (alcançar o resultado pretendido); efetividade é o impacto real e duradouro no público-alvo — a combinação das duas com sustentabilidade.</t>
        </is>
      </c>
    </row>
    <row r="16">
      <c r="A16" s="7">
        <v>15</v>
      </c>
      <c r="B16" s="7" t="inlineStr">
        <is>
          <t xml:space="preserve">Indicadores, metas e riscos</t>
        </is>
      </c>
      <c r="C16" s="6" t="inlineStr">
        <is>
          <t xml:space="preserve">Como os riscos são classificados?</t>
        </is>
      </c>
      <c r="D16" s="6" t="inlineStr">
        <is>
          <t xml:space="preserve">Pela matriz 5×5 de probabilidade × impacto: o produto P×I gera o nível — Baixo (até 4), Moderado (5 a 11), Alto (12 a 19) e Extremo (20 a 25). A aba Riscos mostra a matriz com os riscos posicionados e a tabela com resposta, controles e status.</t>
        </is>
      </c>
    </row>
    <row r="17">
      <c r="A17" s="4">
        <v>16</v>
      </c>
      <c r="B17" s="4" t="inlineStr">
        <is>
          <t xml:space="preserve">Indicadores, metas e riscos</t>
        </is>
      </c>
      <c r="C17" s="3" t="inlineStr">
        <is>
          <t xml:space="preserve">Onde vejo os riscos do projeto de mapeamento?</t>
        </is>
      </c>
      <c r="D17" s="3" t="inlineStr">
        <is>
          <t xml:space="preserve">Na aba Riscos (visão geral, com matriz e tabela) e na ficha de cada item da hierarquia, que lista os riscos vinculados àquele macroprocesso, processo, subprocesso ou atividade.</t>
        </is>
      </c>
    </row>
    <row r="18">
      <c r="A18" s="7">
        <v>17</v>
      </c>
      <c r="B18" s="7" t="inlineStr">
        <is>
          <t xml:space="preserve">Plano de Ações AE/GPE</t>
        </is>
      </c>
      <c r="C18" s="6" t="inlineStr">
        <is>
          <t xml:space="preserve">O que é o Plano de Ações AE/GPE 2026?</t>
        </is>
      </c>
      <c r="D18" s="6" t="inlineStr">
        <is>
          <t xml:space="preserve">É o plano conduzido pela AE/GPE/UNP para estruturar o escritório de processos, mapear os processos prioritários e implantar a governança de processos na Codevasf. Os projetos de mapeamento deste painel derivam dele. (Nesta demonstração, os dados são fictícios.)</t>
        </is>
      </c>
    </row>
    <row r="19">
      <c r="A19" s="4">
        <v>18</v>
      </c>
      <c r="B19" s="4" t="inlineStr">
        <is>
          <t xml:space="preserve">Plano de Ações AE/GPE</t>
        </is>
      </c>
      <c r="C19" s="3" t="inlineStr">
        <is>
          <t xml:space="preserve">Quem é a responsável geral pelo plano?</t>
        </is>
      </c>
      <c r="D19" s="3" t="inlineStr">
        <is>
          <t xml:space="preserve">A coordenação do NUGEP — Núcleo de Gestão Normativa e de Processos (ver aba NUGEP), em articulação com a GPE e a AE.</t>
        </is>
      </c>
    </row>
    <row r="20">
      <c r="A20" s="7">
        <v>19</v>
      </c>
      <c r="B20" s="7" t="inlineStr">
        <is>
          <t xml:space="preserve">Plano de Ações AE/GPE</t>
        </is>
      </c>
      <c r="C20" s="6" t="inlineStr">
        <is>
          <t xml:space="preserve">Como o avanço das ações é medido?</t>
        </is>
      </c>
      <c r="D20" s="6" t="inlineStr">
        <is>
          <t xml:space="preserve">Pelos marcos M1–M10 de cada mapeamento, pelo percentual de execução e pelos indicadores da aba Indicadores.</t>
        </is>
      </c>
    </row>
    <row r="21">
      <c r="A21" s="4">
        <v>20</v>
      </c>
      <c r="B21" s="4" t="inlineStr">
        <is>
          <t xml:space="preserve">Plano de Ações AE/GPE</t>
        </is>
      </c>
      <c r="C21" s="3" t="inlineStr">
        <is>
          <t xml:space="preserve">O painel usa PMBOK ou CBOK?</t>
        </is>
      </c>
      <c r="D21" s="3" t="inlineStr">
        <is>
          <t xml:space="preserve">Os dois, com papéis distintos: o CBOK 4.0 orienta o conteúdo de processos (hierarquia, SIPOC, ciclo de vida BPM, indicadores); o PMBOK orienta a gestão de cada mapeamento como projeto (termo de abertura, escopo, marcos, riscos e lições aprendidas).</t>
        </is>
      </c>
    </row>
    <row r="22">
      <c r="A22" s="7">
        <v>21</v>
      </c>
      <c r="B22" s="7" t="inlineStr">
        <is>
          <t xml:space="preserve">Como usar o painel</t>
        </is>
      </c>
      <c r="C22" s="6" t="inlineStr">
        <is>
          <t xml:space="preserve">Como pesquiso um processo?</t>
        </is>
      </c>
      <c r="D22" s="6" t="inlineStr">
        <is>
          <t xml:space="preserve">Use a busca no topo da página (digite e pressione Enter) para pesquisar em processos, documentos, glossário e registros — ou navegue pela aba Processos, filtrando por macroprocesso, status e texto.</t>
        </is>
      </c>
    </row>
    <row r="23">
      <c r="A23" s="4">
        <v>22</v>
      </c>
      <c r="B23" s="4" t="inlineStr">
        <is>
          <t xml:space="preserve">Como usar o painel</t>
        </is>
      </c>
      <c r="C23" s="3" t="inlineStr">
        <is>
          <t xml:space="preserve">Como sugerir uma melhoria ou reportar um erro?</t>
        </is>
      </c>
      <c r="D23" s="3" t="inlineStr">
        <is>
          <t xml:space="preserve">Pelo botão flutuante “Sugerir melhoria de processo”, que abre um e-mail para a UNP (ae.gpe.unp@codevasf.gov.br). Indique o código do processo para agilizar a análise.</t>
        </is>
      </c>
    </row>
    <row r="24">
      <c r="A24" s="7">
        <v>23</v>
      </c>
      <c r="B24" s="7" t="inlineStr">
        <is>
          <t xml:space="preserve">Como usar o painel</t>
        </is>
      </c>
      <c r="C24" s="6" t="inlineStr">
        <is>
          <t xml:space="preserve">Como o painel é alimentado?</t>
        </is>
      </c>
      <c r="D24" s="6" t="inlineStr">
        <is>
          <t xml:space="preserve">Por uma planilha única (Google Sheets ou o arquivo data/painel-processos-dados.xlsx do repositório): cadeia de valor, fichas, documentos, riscos, indicadores, jornada, repositório, NUGEP, glossário e FAQ vêm todos de lá. Os detalhes estão na aba LEIA-ME da planilha e no README.</t>
        </is>
      </c>
    </row>
    <row r="25">
      <c r="A25" s="4">
        <v>24</v>
      </c>
      <c r="B25" s="4" t="inlineStr">
        <is>
          <t xml:space="preserve">Como usar o painel</t>
        </is>
      </c>
      <c r="C25" s="3" t="inlineStr">
        <is>
          <t xml:space="preserve">Onde encontro os modelos, a metodologia e o guia oficiais?</t>
        </is>
      </c>
      <c r="D25" s="3" t="inlineStr">
        <is>
          <t xml:space="preserve">Na aba Repositório: a jornada de mapeamento, a Metodologia e o Guia de Gerenciamento de Processos (RES 031/2025, na intranet/e-Codevasf), os instrumentos por fase do ciclo BPM, os templates e as ferramentas de modelagem.</t>
        </is>
      </c>
    </row>
  </sheetData>
  <autoFilter ref="A1:D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300">
      <formula1>Listas!$X$2:$X$7</formula1>
    </dataValidation>
  </dataValidations>
</worksheet>
</file>

<file path=xl/worksheets/sheet22.xml><?xml version="1.0" encoding="utf-8"?>
<worksheet xmlns="http://schemas.openxmlformats.org/spreadsheetml/2006/main">
  <sheetPr>
    <tabColor rgb="FF888888"/>
  </sheetPr>
  <dimension ref="A1:B421"/>
  <sheetViews>
    <sheetView workbookViewId="0" zoomScale="90">
      <pane ySplit="1" topLeftCell="A2" activePane="bottomLeft" state="frozen"/>
      <selection pane="bottomLeft"/>
    </sheetView>
  </sheetViews>
  <cols>
    <col min="1" max="1" width="20" customWidth="1"/>
    <col min="2" max="2" width="60" customWidth="1"/>
  </cols>
  <sheetData>
    <row r="1">
      <c r="A1" s="1" t="inlineStr">
        <is>
          <t xml:space="preserve">Sigla</t>
        </is>
      </c>
      <c r="B1" s="1" t="inlineStr">
        <is>
          <t xml:space="preserve">Nome</t>
        </is>
      </c>
    </row>
    <row r="2">
      <c r="A2" s="7" t="inlineStr">
        <is>
          <t xml:space="preserve">10ª/AJ</t>
        </is>
      </c>
      <c r="B2" s="6" t="inlineStr">
        <is>
          <t xml:space="preserve">Assessoria Jurídica Regional</t>
        </is>
      </c>
    </row>
    <row r="3">
      <c r="A3" s="4" t="inlineStr">
        <is>
          <t xml:space="preserve">10ª/Cogex</t>
        </is>
      </c>
      <c r="B3" s="3" t="inlineStr">
        <is>
          <t xml:space="preserve">Comitê de Gestão Executiva da Superintendência Regional</t>
        </is>
      </c>
    </row>
    <row r="4">
      <c r="A4" s="7" t="inlineStr">
        <is>
          <t xml:space="preserve">10ª/EAG</t>
        </is>
      </c>
      <c r="B4" s="6" t="inlineStr">
        <is>
          <t xml:space="preserve">Escritório de Apoio Técnico de Araguaína</t>
        </is>
      </c>
    </row>
    <row r="5">
      <c r="A5" s="4" t="inlineStr">
        <is>
          <t xml:space="preserve">10ª/GB</t>
        </is>
      </c>
      <c r="B5" s="3" t="inlineStr">
        <is>
          <t xml:space="preserve">Gabinete da Superintendência Regional</t>
        </is>
      </c>
    </row>
    <row r="6">
      <c r="A6" s="7" t="inlineStr">
        <is>
          <t xml:space="preserve">10ª/GGR</t>
        </is>
      </c>
      <c r="B6" s="6" t="inlineStr">
        <is>
          <t xml:space="preserve">Gerência de Gestão Regional</t>
        </is>
      </c>
    </row>
    <row r="7">
      <c r="A7" s="4" t="inlineStr">
        <is>
          <t xml:space="preserve">10ª/GTR</t>
        </is>
      </c>
      <c r="B7" s="3" t="inlineStr">
        <is>
          <t xml:space="preserve">Gerência Técnica Regional</t>
        </is>
      </c>
    </row>
    <row r="8">
      <c r="A8" s="7" t="inlineStr">
        <is>
          <t xml:space="preserve">10ª/SL</t>
        </is>
      </c>
      <c r="B8" s="6" t="inlineStr">
        <is>
          <t xml:space="preserve">Secretaria Regional de Licitações</t>
        </is>
      </c>
    </row>
    <row r="9">
      <c r="A9" s="4" t="inlineStr">
        <is>
          <t xml:space="preserve">10ª/SR</t>
        </is>
      </c>
      <c r="B9" s="3" t="inlineStr">
        <is>
          <t xml:space="preserve">10ª Superintendência Regional</t>
        </is>
      </c>
    </row>
    <row r="10">
      <c r="A10" s="7" t="inlineStr">
        <is>
          <t xml:space="preserve">11ª/AJ</t>
        </is>
      </c>
      <c r="B10" s="6" t="inlineStr">
        <is>
          <t xml:space="preserve">Assessoria Jurídica Regional</t>
        </is>
      </c>
    </row>
    <row r="11">
      <c r="A11" s="4" t="inlineStr">
        <is>
          <t xml:space="preserve">11ª/Cogex</t>
        </is>
      </c>
      <c r="B11" s="3" t="inlineStr">
        <is>
          <t xml:space="preserve">Comitê de Gestão Executiva da Superintendência Regional</t>
        </is>
      </c>
    </row>
    <row r="12">
      <c r="A12" s="7" t="inlineStr">
        <is>
          <t xml:space="preserve">11ª/GB</t>
        </is>
      </c>
      <c r="B12" s="6" t="inlineStr">
        <is>
          <t xml:space="preserve">Gabinete da Superintendência Regional</t>
        </is>
      </c>
    </row>
    <row r="13">
      <c r="A13" s="4" t="inlineStr">
        <is>
          <t xml:space="preserve">11ª/GGR</t>
        </is>
      </c>
      <c r="B13" s="3" t="inlineStr">
        <is>
          <t xml:space="preserve">Gerência de Gestão Regional</t>
        </is>
      </c>
    </row>
    <row r="14">
      <c r="A14" s="7" t="inlineStr">
        <is>
          <t xml:space="preserve">11ª/GGR/UOF</t>
        </is>
      </c>
      <c r="B14" s="6" t="inlineStr">
        <is>
          <t xml:space="preserve">Unidade Regional de Orçamento e Finanças</t>
        </is>
      </c>
    </row>
    <row r="15">
      <c r="A15" s="4" t="inlineStr">
        <is>
          <t xml:space="preserve">11ª/GGR/UOF/SCO</t>
        </is>
      </c>
      <c r="B15" s="3" t="inlineStr">
        <is>
          <t xml:space="preserve">Setor de Contabilidade</t>
        </is>
      </c>
    </row>
    <row r="16">
      <c r="A16" s="7" t="inlineStr">
        <is>
          <t xml:space="preserve">11ª/GGR/URA</t>
        </is>
      </c>
      <c r="B16" s="6" t="inlineStr">
        <is>
          <t xml:space="preserve">Unidade Regional de Administração</t>
        </is>
      </c>
    </row>
    <row r="17">
      <c r="A17" s="4" t="inlineStr">
        <is>
          <t xml:space="preserve">11ª/GRD</t>
        </is>
      </c>
      <c r="B17" s="3" t="inlineStr">
        <is>
          <t xml:space="preserve">Gerência Regional de Infraestrutura</t>
        </is>
      </c>
    </row>
    <row r="18">
      <c r="A18" s="7" t="inlineStr">
        <is>
          <t xml:space="preserve">11ª/GRD/UEP</t>
        </is>
      </c>
      <c r="B18" s="6" t="inlineStr">
        <is>
          <t xml:space="preserve">Unidade Regional de Estudos e Projetos</t>
        </is>
      </c>
    </row>
    <row r="19">
      <c r="A19" s="4" t="inlineStr">
        <is>
          <t xml:space="preserve">11ª/GRD/UIP</t>
        </is>
      </c>
      <c r="B19" s="3" t="inlineStr">
        <is>
          <t xml:space="preserve">Unidade Regional de Implantação e Acompanhamento de Projetos</t>
        </is>
      </c>
    </row>
    <row r="20">
      <c r="A20" s="7" t="inlineStr">
        <is>
          <t xml:space="preserve">11ª/GRR</t>
        </is>
      </c>
      <c r="B20" s="6" t="inlineStr">
        <is>
          <t xml:space="preserve">Gerência Regional de Revitalização e Desenvolvimento Territorial</t>
        </is>
      </c>
    </row>
    <row r="21">
      <c r="A21" s="4" t="inlineStr">
        <is>
          <t xml:space="preserve">11ª/GRR/UDT</t>
        </is>
      </c>
      <c r="B21" s="3" t="inlineStr">
        <is>
          <t xml:space="preserve">Unidade Regional de Desenvolvimento Territorial</t>
        </is>
      </c>
    </row>
    <row r="22">
      <c r="A22" s="7" t="inlineStr">
        <is>
          <t xml:space="preserve">11ª/GRR/UES</t>
        </is>
      </c>
      <c r="B22" s="6" t="inlineStr">
        <is>
          <t xml:space="preserve">Unidade Regional de Empreendimentos Socioambientais</t>
        </is>
      </c>
    </row>
    <row r="23">
      <c r="A23" s="4" t="inlineStr">
        <is>
          <t xml:space="preserve">11ª/SL</t>
        </is>
      </c>
      <c r="B23" s="3" t="inlineStr">
        <is>
          <t xml:space="preserve">Secretaria Regional de Licitações</t>
        </is>
      </c>
    </row>
    <row r="24">
      <c r="A24" s="7" t="inlineStr">
        <is>
          <t xml:space="preserve">11ª/SR</t>
        </is>
      </c>
      <c r="B24" s="6" t="inlineStr">
        <is>
          <t xml:space="preserve">11ª Superintendência Regional</t>
        </is>
      </c>
    </row>
    <row r="25">
      <c r="A25" s="4" t="inlineStr">
        <is>
          <t xml:space="preserve">12ª/AJ</t>
        </is>
      </c>
      <c r="B25" s="3" t="inlineStr">
        <is>
          <t xml:space="preserve">Assessoria Jurídica Regional</t>
        </is>
      </c>
    </row>
    <row r="26">
      <c r="A26" s="7" t="inlineStr">
        <is>
          <t xml:space="preserve">12ª/Cogex</t>
        </is>
      </c>
      <c r="B26" s="6" t="inlineStr">
        <is>
          <t xml:space="preserve">Comitê de Gestão Executiva da Superintendência Regional</t>
        </is>
      </c>
    </row>
    <row r="27">
      <c r="A27" s="4" t="inlineStr">
        <is>
          <t xml:space="preserve">12ª/EMO</t>
        </is>
      </c>
      <c r="B27" s="3" t="inlineStr">
        <is>
          <t xml:space="preserve">Escritório de Apoio Técnico de Mossoró</t>
        </is>
      </c>
    </row>
    <row r="28">
      <c r="A28" s="7" t="inlineStr">
        <is>
          <t xml:space="preserve">12ª/GB</t>
        </is>
      </c>
      <c r="B28" s="6" t="inlineStr">
        <is>
          <t xml:space="preserve">Gabinete da Superintendência Regional</t>
        </is>
      </c>
    </row>
    <row r="29">
      <c r="A29" s="4" t="inlineStr">
        <is>
          <t xml:space="preserve">12ª/GGR</t>
        </is>
      </c>
      <c r="B29" s="3" t="inlineStr">
        <is>
          <t xml:space="preserve">Gerência de Gestão Regional</t>
        </is>
      </c>
    </row>
    <row r="30">
      <c r="A30" s="7" t="inlineStr">
        <is>
          <t xml:space="preserve">12ª/GTR</t>
        </is>
      </c>
      <c r="B30" s="6" t="inlineStr">
        <is>
          <t xml:space="preserve">Gerência Técnica Regional</t>
        </is>
      </c>
    </row>
    <row r="31">
      <c r="A31" s="4" t="inlineStr">
        <is>
          <t xml:space="preserve">12ª/SL</t>
        </is>
      </c>
      <c r="B31" s="3" t="inlineStr">
        <is>
          <t xml:space="preserve">Secretaria Regional de Licitações</t>
        </is>
      </c>
    </row>
    <row r="32">
      <c r="A32" s="7" t="inlineStr">
        <is>
          <t xml:space="preserve">12ª/SR</t>
        </is>
      </c>
      <c r="B32" s="6" t="inlineStr">
        <is>
          <t xml:space="preserve">12ª Superintendência Regional</t>
        </is>
      </c>
    </row>
    <row r="33">
      <c r="A33" s="4" t="inlineStr">
        <is>
          <t xml:space="preserve">13ª/AJ</t>
        </is>
      </c>
      <c r="B33" s="3" t="inlineStr">
        <is>
          <t xml:space="preserve">Assessoria Jurídica Regional</t>
        </is>
      </c>
    </row>
    <row r="34">
      <c r="A34" s="7" t="inlineStr">
        <is>
          <t xml:space="preserve">13ª/Cogex</t>
        </is>
      </c>
      <c r="B34" s="6" t="inlineStr">
        <is>
          <t xml:space="preserve">Comitê de Gestão Executiva da Superintendência Regional</t>
        </is>
      </c>
    </row>
    <row r="35">
      <c r="A35" s="4" t="inlineStr">
        <is>
          <t xml:space="preserve">13ª/EPT</t>
        </is>
      </c>
      <c r="B35" s="3" t="inlineStr">
        <is>
          <t xml:space="preserve">Escritório de Apoio Técnico de Patos</t>
        </is>
      </c>
    </row>
    <row r="36">
      <c r="A36" s="7" t="inlineStr">
        <is>
          <t xml:space="preserve">13ª/GB</t>
        </is>
      </c>
      <c r="B36" s="6" t="inlineStr">
        <is>
          <t xml:space="preserve">Gabinete da Superintendência Regional</t>
        </is>
      </c>
    </row>
    <row r="37">
      <c r="A37" s="4" t="inlineStr">
        <is>
          <t xml:space="preserve">13ª/GGR</t>
        </is>
      </c>
      <c r="B37" s="3" t="inlineStr">
        <is>
          <t xml:space="preserve">Gerência de Gestão Regional</t>
        </is>
      </c>
    </row>
    <row r="38">
      <c r="A38" s="7" t="inlineStr">
        <is>
          <t xml:space="preserve">13ª/GTR</t>
        </is>
      </c>
      <c r="B38" s="6" t="inlineStr">
        <is>
          <t xml:space="preserve">Gerência Técnica Regional</t>
        </is>
      </c>
    </row>
    <row r="39">
      <c r="A39" s="4" t="inlineStr">
        <is>
          <t xml:space="preserve">13ª/SL</t>
        </is>
      </c>
      <c r="B39" s="3" t="inlineStr">
        <is>
          <t xml:space="preserve">Secretaria Regional de Licitações</t>
        </is>
      </c>
    </row>
    <row r="40">
      <c r="A40" s="7" t="inlineStr">
        <is>
          <t xml:space="preserve">13ª/SR</t>
        </is>
      </c>
      <c r="B40" s="6" t="inlineStr">
        <is>
          <t xml:space="preserve">13ª Superintendência Regional</t>
        </is>
      </c>
    </row>
    <row r="41">
      <c r="A41" s="4" t="inlineStr">
        <is>
          <t xml:space="preserve">14ª/AJ</t>
        </is>
      </c>
      <c r="B41" s="3" t="inlineStr">
        <is>
          <t xml:space="preserve">Assessoria Jurídica Regional</t>
        </is>
      </c>
    </row>
    <row r="42">
      <c r="A42" s="7" t="inlineStr">
        <is>
          <t xml:space="preserve">14ª/Cogex</t>
        </is>
      </c>
      <c r="B42" s="6" t="inlineStr">
        <is>
          <t xml:space="preserve">Comitê de Gestão Executiva da Superintendência Regional</t>
        </is>
      </c>
    </row>
    <row r="43">
      <c r="A43" s="4" t="inlineStr">
        <is>
          <t xml:space="preserve">14ª/ETA</t>
        </is>
      </c>
      <c r="B43" s="3" t="inlineStr">
        <is>
          <t xml:space="preserve">Escritório de Apoio Técnico de Tauá</t>
        </is>
      </c>
    </row>
    <row r="44">
      <c r="A44" s="7" t="inlineStr">
        <is>
          <t xml:space="preserve">14ª/GB</t>
        </is>
      </c>
      <c r="B44" s="6" t="inlineStr">
        <is>
          <t xml:space="preserve">Gabinete da Superintendência Regional</t>
        </is>
      </c>
    </row>
    <row r="45">
      <c r="A45" s="4" t="inlineStr">
        <is>
          <t xml:space="preserve">14ª/GGR</t>
        </is>
      </c>
      <c r="B45" s="3" t="inlineStr">
        <is>
          <t xml:space="preserve">Gerência de Gestão Regional</t>
        </is>
      </c>
    </row>
    <row r="46">
      <c r="A46" s="7" t="inlineStr">
        <is>
          <t xml:space="preserve">14ª/GTR</t>
        </is>
      </c>
      <c r="B46" s="6" t="inlineStr">
        <is>
          <t xml:space="preserve">Gerência Técnica Regional</t>
        </is>
      </c>
    </row>
    <row r="47">
      <c r="A47" s="4" t="inlineStr">
        <is>
          <t xml:space="preserve">14ª/SL</t>
        </is>
      </c>
      <c r="B47" s="3" t="inlineStr">
        <is>
          <t xml:space="preserve">Secretaria Regional de Licitações</t>
        </is>
      </c>
    </row>
    <row r="48">
      <c r="A48" s="7" t="inlineStr">
        <is>
          <t xml:space="preserve">14ª/SR</t>
        </is>
      </c>
      <c r="B48" s="6" t="inlineStr">
        <is>
          <t xml:space="preserve">14ª Superintendência Regional</t>
        </is>
      </c>
    </row>
    <row r="49">
      <c r="A49" s="4" t="inlineStr">
        <is>
          <t xml:space="preserve">15ª/AJ</t>
        </is>
      </c>
      <c r="B49" s="3" t="inlineStr">
        <is>
          <t xml:space="preserve">Assessoria Jurídica Regional</t>
        </is>
      </c>
    </row>
    <row r="50">
      <c r="A50" s="7" t="inlineStr">
        <is>
          <t xml:space="preserve">15ª/Cogex</t>
        </is>
      </c>
      <c r="B50" s="6" t="inlineStr">
        <is>
          <t xml:space="preserve">Comitê de Gestão Executiva da Superintendência Regional</t>
        </is>
      </c>
    </row>
    <row r="51">
      <c r="A51" s="4" t="inlineStr">
        <is>
          <t xml:space="preserve">15ª/GB</t>
        </is>
      </c>
      <c r="B51" s="3" t="inlineStr">
        <is>
          <t xml:space="preserve">Gabinete da Superintendência Regional</t>
        </is>
      </c>
    </row>
    <row r="52">
      <c r="A52" s="7" t="inlineStr">
        <is>
          <t xml:space="preserve">15ª/GGR</t>
        </is>
      </c>
      <c r="B52" s="6" t="inlineStr">
        <is>
          <t xml:space="preserve">Gerência de Gestão Regional</t>
        </is>
      </c>
    </row>
    <row r="53">
      <c r="A53" s="4" t="inlineStr">
        <is>
          <t xml:space="preserve">15ª/GTR</t>
        </is>
      </c>
      <c r="B53" s="3" t="inlineStr">
        <is>
          <t xml:space="preserve">Gerência Técnica Regional</t>
        </is>
      </c>
    </row>
    <row r="54">
      <c r="A54" s="7" t="inlineStr">
        <is>
          <t xml:space="preserve">15ª/SL</t>
        </is>
      </c>
      <c r="B54" s="6" t="inlineStr">
        <is>
          <t xml:space="preserve">Secretaria Regional de Licitações</t>
        </is>
      </c>
    </row>
    <row r="55">
      <c r="A55" s="4" t="inlineStr">
        <is>
          <t xml:space="preserve">15ª/SR</t>
        </is>
      </c>
      <c r="B55" s="3" t="inlineStr">
        <is>
          <t xml:space="preserve">15ª Superintendência Regional</t>
        </is>
      </c>
    </row>
    <row r="56">
      <c r="A56" s="7" t="inlineStr">
        <is>
          <t xml:space="preserve">16ª/AJ</t>
        </is>
      </c>
      <c r="B56" s="6" t="inlineStr">
        <is>
          <t xml:space="preserve">Assessoria Jurídica Regional</t>
        </is>
      </c>
    </row>
    <row r="57">
      <c r="A57" s="4" t="inlineStr">
        <is>
          <t xml:space="preserve">16ª/Cogex</t>
        </is>
      </c>
      <c r="B57" s="3" t="inlineStr">
        <is>
          <t xml:space="preserve">Comitê de Gestão Executiva da Superintendência Regional</t>
        </is>
      </c>
    </row>
    <row r="58">
      <c r="A58" s="7" t="inlineStr">
        <is>
          <t xml:space="preserve">16ª/EPI</t>
        </is>
      </c>
      <c r="B58" s="6" t="inlineStr">
        <is>
          <t xml:space="preserve">Escritório de Apoio Técnico de Piumhi</t>
        </is>
      </c>
    </row>
    <row r="59">
      <c r="A59" s="4" t="inlineStr">
        <is>
          <t xml:space="preserve">16ª/GB</t>
        </is>
      </c>
      <c r="B59" s="3" t="inlineStr">
        <is>
          <t xml:space="preserve">Gabinete da Superintendência Regional</t>
        </is>
      </c>
    </row>
    <row r="60">
      <c r="A60" s="7" t="inlineStr">
        <is>
          <t xml:space="preserve">16ª/GGR</t>
        </is>
      </c>
      <c r="B60" s="6" t="inlineStr">
        <is>
          <t xml:space="preserve">Gerência de Gestão Regional</t>
        </is>
      </c>
    </row>
    <row r="61">
      <c r="A61" s="4" t="inlineStr">
        <is>
          <t xml:space="preserve">16ª/GTR</t>
        </is>
      </c>
      <c r="B61" s="3" t="inlineStr">
        <is>
          <t xml:space="preserve">Gerência Técnica Regional</t>
        </is>
      </c>
    </row>
    <row r="62">
      <c r="A62" s="7" t="inlineStr">
        <is>
          <t xml:space="preserve">16ª/SL</t>
        </is>
      </c>
      <c r="B62" s="6" t="inlineStr">
        <is>
          <t xml:space="preserve">Secretaria Regional de Licitações</t>
        </is>
      </c>
    </row>
    <row r="63">
      <c r="A63" s="4" t="inlineStr">
        <is>
          <t xml:space="preserve">16ª/SR</t>
        </is>
      </c>
      <c r="B63" s="3" t="inlineStr">
        <is>
          <t xml:space="preserve">16ª Superintendência Regional</t>
        </is>
      </c>
    </row>
    <row r="64">
      <c r="A64" s="7" t="inlineStr">
        <is>
          <t xml:space="preserve">1ª/AJ</t>
        </is>
      </c>
      <c r="B64" s="6" t="inlineStr">
        <is>
          <t xml:space="preserve">Assessoria Jurídica Regional</t>
        </is>
      </c>
    </row>
    <row r="65">
      <c r="A65" s="4" t="inlineStr">
        <is>
          <t xml:space="preserve">1ª/CIG</t>
        </is>
      </c>
      <c r="B65" s="3" t="inlineStr">
        <is>
          <t xml:space="preserve">Centro Integrado de Recursos Pesqueiros e Aquicultura de Gorutuba</t>
        </is>
      </c>
    </row>
    <row r="66">
      <c r="A66" s="7" t="inlineStr">
        <is>
          <t xml:space="preserve">1ª/CIM</t>
        </is>
      </c>
      <c r="B66" s="6" t="inlineStr">
        <is>
          <t xml:space="preserve">Centro Integrado de Recursos Pesqueiros e Aquicultura de Três Marias</t>
        </is>
      </c>
    </row>
    <row r="67">
      <c r="A67" s="4" t="inlineStr">
        <is>
          <t xml:space="preserve">1ª/Cogex</t>
        </is>
      </c>
      <c r="B67" s="3" t="inlineStr">
        <is>
          <t xml:space="preserve">Comitê de Gestão Executiva da Superintendência Regional</t>
        </is>
      </c>
    </row>
    <row r="68">
      <c r="A68" s="7" t="inlineStr">
        <is>
          <t xml:space="preserve">1ª/EAL</t>
        </is>
      </c>
      <c r="B68" s="6" t="inlineStr">
        <is>
          <t xml:space="preserve">Escritório de Apoio Técnico de Almenara</t>
        </is>
      </c>
    </row>
    <row r="69">
      <c r="A69" s="4" t="inlineStr">
        <is>
          <t xml:space="preserve">1ª/GB</t>
        </is>
      </c>
      <c r="B69" s="3" t="inlineStr">
        <is>
          <t xml:space="preserve">Gabinete da Superintendência Regional</t>
        </is>
      </c>
    </row>
    <row r="70">
      <c r="A70" s="7" t="inlineStr">
        <is>
          <t xml:space="preserve">1ª/GB/URC</t>
        </is>
      </c>
      <c r="B70" s="6" t="inlineStr">
        <is>
          <t xml:space="preserve">Unidade Regional de Comunicação</t>
        </is>
      </c>
    </row>
    <row r="71">
      <c r="A71" s="4" t="inlineStr">
        <is>
          <t xml:space="preserve">1ª/GRA</t>
        </is>
      </c>
      <c r="B71" s="3" t="inlineStr">
        <is>
          <t xml:space="preserve">Gerência Regional de Administração e Tecnologia</t>
        </is>
      </c>
    </row>
    <row r="72">
      <c r="A72" s="7" t="inlineStr">
        <is>
          <t xml:space="preserve">1ª/GRA/UGP</t>
        </is>
      </c>
      <c r="B72" s="6" t="inlineStr">
        <is>
          <t xml:space="preserve">Unidade Regional de Gestão de Pessoas</t>
        </is>
      </c>
    </row>
    <row r="73">
      <c r="A73" s="4" t="inlineStr">
        <is>
          <t xml:space="preserve">1ª/GRA/USA</t>
        </is>
      </c>
      <c r="B73" s="3" t="inlineStr">
        <is>
          <t xml:space="preserve">Unidade Regional de Patrimônio, Logística e Serviços Auxiliares</t>
        </is>
      </c>
    </row>
    <row r="74">
      <c r="A74" s="7" t="inlineStr">
        <is>
          <t xml:space="preserve">1ª/GRA/UTI</t>
        </is>
      </c>
      <c r="B74" s="6" t="inlineStr">
        <is>
          <t xml:space="preserve">Unidade Regional de Tecnologia da Informação</t>
        </is>
      </c>
    </row>
    <row r="75">
      <c r="A75" s="4" t="inlineStr">
        <is>
          <t xml:space="preserve">1ª/GRD</t>
        </is>
      </c>
      <c r="B75" s="3" t="inlineStr">
        <is>
          <t xml:space="preserve">Gerência Regional de Infraestrutura</t>
        </is>
      </c>
    </row>
    <row r="76">
      <c r="A76" s="7" t="inlineStr">
        <is>
          <t xml:space="preserve">1ª/GRD/UEP</t>
        </is>
      </c>
      <c r="B76" s="6" t="inlineStr">
        <is>
          <t xml:space="preserve">Unidade Regional de Estudos e Projetos</t>
        </is>
      </c>
    </row>
    <row r="77">
      <c r="A77" s="4" t="inlineStr">
        <is>
          <t xml:space="preserve">1ª/GRD/UIP</t>
        </is>
      </c>
      <c r="B77" s="3" t="inlineStr">
        <is>
          <t xml:space="preserve">Unidade Regional de Implantação e Acompanhamento de Projetos</t>
        </is>
      </c>
    </row>
    <row r="78">
      <c r="A78" s="7" t="inlineStr">
        <is>
          <t xml:space="preserve">1ª/GRG</t>
        </is>
      </c>
      <c r="B78" s="6" t="inlineStr">
        <is>
          <t xml:space="preserve">Gerência Regional de Estratégia e Finanças</t>
        </is>
      </c>
    </row>
    <row r="79">
      <c r="A79" s="4" t="inlineStr">
        <is>
          <t xml:space="preserve">1ª/GRG/UCB</t>
        </is>
      </c>
      <c r="B79" s="3" t="inlineStr">
        <is>
          <t xml:space="preserve">Unidade Regional de Contabilidade</t>
        </is>
      </c>
    </row>
    <row r="80">
      <c r="A80" s="7" t="inlineStr">
        <is>
          <t xml:space="preserve">1ª/GRG/UFN</t>
        </is>
      </c>
      <c r="B80" s="6" t="inlineStr">
        <is>
          <t xml:space="preserve">Unidade Regional de Finanças e Cobrança</t>
        </is>
      </c>
    </row>
    <row r="81">
      <c r="A81" s="4" t="inlineStr">
        <is>
          <t xml:space="preserve">1ª/GRG/UFN/SCB</t>
        </is>
      </c>
      <c r="B81" s="3" t="inlineStr">
        <is>
          <t xml:space="preserve">Setor de Cobrança</t>
        </is>
      </c>
    </row>
    <row r="82">
      <c r="A82" s="7" t="inlineStr">
        <is>
          <t xml:space="preserve">1ª/GRG/UMC</t>
        </is>
      </c>
      <c r="B82" s="6" t="inlineStr">
        <is>
          <t xml:space="preserve">Unidade Regional de Monitoramento e de Controle de Contratos e Convênios</t>
        </is>
      </c>
    </row>
    <row r="83">
      <c r="A83" s="4" t="inlineStr">
        <is>
          <t xml:space="preserve">1ª/GRG/URO</t>
        </is>
      </c>
      <c r="B83" s="3" t="inlineStr">
        <is>
          <t xml:space="preserve">Unidade Regional Orçamentária</t>
        </is>
      </c>
    </row>
    <row r="84">
      <c r="A84" s="7" t="inlineStr">
        <is>
          <t xml:space="preserve">1ª/GRI</t>
        </is>
      </c>
      <c r="B84" s="6" t="inlineStr">
        <is>
          <t xml:space="preserve">Gerência Regional de Irrigação e Operações</t>
        </is>
      </c>
    </row>
    <row r="85">
      <c r="A85" s="4" t="inlineStr">
        <is>
          <t xml:space="preserve">1ª/GRI/UEI</t>
        </is>
      </c>
      <c r="B85" s="3" t="inlineStr">
        <is>
          <t xml:space="preserve">Unidade Regional de Gestão dos Empreendimentos de Irrigação</t>
        </is>
      </c>
    </row>
    <row r="86">
      <c r="A86" s="7" t="inlineStr">
        <is>
          <t xml:space="preserve">1ª/GRI/URP</t>
        </is>
      </c>
      <c r="B86" s="6" t="inlineStr">
        <is>
          <t xml:space="preserve">Unidade Regional de Apoio à Produção</t>
        </is>
      </c>
    </row>
    <row r="87">
      <c r="A87" s="4" t="inlineStr">
        <is>
          <t xml:space="preserve">1ª/GRR</t>
        </is>
      </c>
      <c r="B87" s="3" t="inlineStr">
        <is>
          <t xml:space="preserve">Gerência Regional de Revitalização e Desenvolvimento Territorial</t>
        </is>
      </c>
    </row>
    <row r="88">
      <c r="A88" s="7" t="inlineStr">
        <is>
          <t xml:space="preserve">1ª/GRR/UDT</t>
        </is>
      </c>
      <c r="B88" s="6" t="inlineStr">
        <is>
          <t xml:space="preserve">Unidade Regional de Desenvolvimento Territorial</t>
        </is>
      </c>
    </row>
    <row r="89">
      <c r="A89" s="4" t="inlineStr">
        <is>
          <t xml:space="preserve">1ª/GRR/UES</t>
        </is>
      </c>
      <c r="B89" s="3" t="inlineStr">
        <is>
          <t xml:space="preserve">Unidade Regional de Empreendimentos Socioambientais</t>
        </is>
      </c>
    </row>
    <row r="90">
      <c r="A90" s="7" t="inlineStr">
        <is>
          <t xml:space="preserve">1ª/GRS</t>
        </is>
      </c>
      <c r="B90" s="6" t="inlineStr">
        <is>
          <t xml:space="preserve">Gerência Regional de Suporte Integrado</t>
        </is>
      </c>
    </row>
    <row r="91">
      <c r="A91" s="4" t="inlineStr">
        <is>
          <t xml:space="preserve">1ª/GRS/ULF</t>
        </is>
      </c>
      <c r="B91" s="3" t="inlineStr">
        <is>
          <t xml:space="preserve">Unidade Regional de Licenciamento Ambiental e Administração Fundiária</t>
        </is>
      </c>
    </row>
    <row r="92">
      <c r="A92" s="7" t="inlineStr">
        <is>
          <t xml:space="preserve">1ª/SL</t>
        </is>
      </c>
      <c r="B92" s="6" t="inlineStr">
        <is>
          <t xml:space="preserve">Secretaria Regional de Licitações</t>
        </is>
      </c>
    </row>
    <row r="93">
      <c r="A93" s="4" t="inlineStr">
        <is>
          <t xml:space="preserve">1ª/SR</t>
        </is>
      </c>
      <c r="B93" s="3" t="inlineStr">
        <is>
          <t xml:space="preserve">1ª Superintendência Regional</t>
        </is>
      </c>
    </row>
    <row r="94">
      <c r="A94" s="7" t="inlineStr">
        <is>
          <t xml:space="preserve">2ª/AJ</t>
        </is>
      </c>
      <c r="B94" s="6" t="inlineStr">
        <is>
          <t xml:space="preserve">Assessoria Jurídica Regional</t>
        </is>
      </c>
    </row>
    <row r="95">
      <c r="A95" s="4" t="inlineStr">
        <is>
          <t xml:space="preserve">2ª/CIX</t>
        </is>
      </c>
      <c r="B95" s="3" t="inlineStr">
        <is>
          <t xml:space="preserve">Centro Integrado de Recursos Pesqueiros e Aquicultura de Xique-Xique</t>
        </is>
      </c>
    </row>
    <row r="96">
      <c r="A96" s="7" t="inlineStr">
        <is>
          <t xml:space="preserve">2ª/Cogex</t>
        </is>
      </c>
      <c r="B96" s="6" t="inlineStr">
        <is>
          <t xml:space="preserve">Comitê de Gestão Executiva da Superintendência Regional</t>
        </is>
      </c>
    </row>
    <row r="97">
      <c r="A97" s="4" t="inlineStr">
        <is>
          <t xml:space="preserve">2ª/EGU</t>
        </is>
      </c>
      <c r="B97" s="3" t="inlineStr">
        <is>
          <t xml:space="preserve">Escritório de Apoio Técnico de Guanambi</t>
        </is>
      </c>
    </row>
    <row r="98">
      <c r="A98" s="7" t="inlineStr">
        <is>
          <t xml:space="preserve">2ª/EIR</t>
        </is>
      </c>
      <c r="B98" s="6" t="inlineStr">
        <is>
          <t xml:space="preserve">Escritório de Apoio Técnico de Irecê</t>
        </is>
      </c>
    </row>
    <row r="99">
      <c r="A99" s="4" t="inlineStr">
        <is>
          <t xml:space="preserve">2ª/GB</t>
        </is>
      </c>
      <c r="B99" s="3" t="inlineStr">
        <is>
          <t xml:space="preserve">Gabinete da Superintendência Regional</t>
        </is>
      </c>
    </row>
    <row r="100">
      <c r="A100" s="7" t="inlineStr">
        <is>
          <t xml:space="preserve">2ª/GB/URC</t>
        </is>
      </c>
      <c r="B100" s="6" t="inlineStr">
        <is>
          <t xml:space="preserve">Unidade Regional de Comunicação</t>
        </is>
      </c>
    </row>
    <row r="101">
      <c r="A101" s="4" t="inlineStr">
        <is>
          <t xml:space="preserve">2ª/GRA</t>
        </is>
      </c>
      <c r="B101" s="3" t="inlineStr">
        <is>
          <t xml:space="preserve">Gerência Regional de Administração e Tecnologia</t>
        </is>
      </c>
    </row>
    <row r="102">
      <c r="A102" s="7" t="inlineStr">
        <is>
          <t xml:space="preserve">2ª/GRA/UGP</t>
        </is>
      </c>
      <c r="B102" s="6" t="inlineStr">
        <is>
          <t xml:space="preserve">Unidade Regional de Gestão de Pessoas</t>
        </is>
      </c>
    </row>
    <row r="103">
      <c r="A103" s="4" t="inlineStr">
        <is>
          <t xml:space="preserve">2ª/GRA/USA</t>
        </is>
      </c>
      <c r="B103" s="3" t="inlineStr">
        <is>
          <t xml:space="preserve">Unidade Regional de Patrimônio, Logística e Serviços Auxiliares</t>
        </is>
      </c>
    </row>
    <row r="104">
      <c r="A104" s="7" t="inlineStr">
        <is>
          <t xml:space="preserve">2ª/GRA/UTI</t>
        </is>
      </c>
      <c r="B104" s="6" t="inlineStr">
        <is>
          <t xml:space="preserve">Unidade Regional de Tecnologia da Informação</t>
        </is>
      </c>
    </row>
    <row r="105">
      <c r="A105" s="4" t="inlineStr">
        <is>
          <t xml:space="preserve">2ª/GRD</t>
        </is>
      </c>
      <c r="B105" s="3" t="inlineStr">
        <is>
          <t xml:space="preserve">Gerência Regional de Infraestrutura</t>
        </is>
      </c>
    </row>
    <row r="106">
      <c r="A106" s="7" t="inlineStr">
        <is>
          <t xml:space="preserve">2ª/GRD/UEP</t>
        </is>
      </c>
      <c r="B106" s="6" t="inlineStr">
        <is>
          <t xml:space="preserve">Unidade Regional de Estudos e Projetos</t>
        </is>
      </c>
    </row>
    <row r="107">
      <c r="A107" s="4" t="inlineStr">
        <is>
          <t xml:space="preserve">2ª/GRD/UIP</t>
        </is>
      </c>
      <c r="B107" s="3" t="inlineStr">
        <is>
          <t xml:space="preserve">Unidade Regional de Implantação e Acompanhamento de Projetos</t>
        </is>
      </c>
    </row>
    <row r="108">
      <c r="A108" s="7" t="inlineStr">
        <is>
          <t xml:space="preserve">2ª/GRG</t>
        </is>
      </c>
      <c r="B108" s="6" t="inlineStr">
        <is>
          <t xml:space="preserve">Gerência Regional de Estratégia e Finanças</t>
        </is>
      </c>
    </row>
    <row r="109">
      <c r="A109" s="4" t="inlineStr">
        <is>
          <t xml:space="preserve">2ª/GRG/UCB</t>
        </is>
      </c>
      <c r="B109" s="3" t="inlineStr">
        <is>
          <t xml:space="preserve">Unidade Regional de Contabilidade</t>
        </is>
      </c>
    </row>
    <row r="110">
      <c r="A110" s="7" t="inlineStr">
        <is>
          <t xml:space="preserve">2ª/GRG/UFN</t>
        </is>
      </c>
      <c r="B110" s="6" t="inlineStr">
        <is>
          <t xml:space="preserve">Unidade Regional de Finanças e Cobrança</t>
        </is>
      </c>
    </row>
    <row r="111">
      <c r="A111" s="4" t="inlineStr">
        <is>
          <t xml:space="preserve">2ª/GRG/UFN/SCB</t>
        </is>
      </c>
      <c r="B111" s="3" t="inlineStr">
        <is>
          <t xml:space="preserve">Setor de Cobrança</t>
        </is>
      </c>
    </row>
    <row r="112">
      <c r="A112" s="7" t="inlineStr">
        <is>
          <t xml:space="preserve">2ª/GRG/UMC</t>
        </is>
      </c>
      <c r="B112" s="6" t="inlineStr">
        <is>
          <t xml:space="preserve">Unidade Regional de Monitoramento e de Controle de Contratos e Convênios</t>
        </is>
      </c>
    </row>
    <row r="113">
      <c r="A113" s="4" t="inlineStr">
        <is>
          <t xml:space="preserve">2ª/GRG/URO</t>
        </is>
      </c>
      <c r="B113" s="3" t="inlineStr">
        <is>
          <t xml:space="preserve">Unidade Regional Orçamentária</t>
        </is>
      </c>
    </row>
    <row r="114">
      <c r="A114" s="7" t="inlineStr">
        <is>
          <t xml:space="preserve">2ª/GRI</t>
        </is>
      </c>
      <c r="B114" s="6" t="inlineStr">
        <is>
          <t xml:space="preserve">Gerência Regional de Irrigação e Operações</t>
        </is>
      </c>
    </row>
    <row r="115">
      <c r="A115" s="4" t="inlineStr">
        <is>
          <t xml:space="preserve">2ª/GRI/UEI</t>
        </is>
      </c>
      <c r="B115" s="3" t="inlineStr">
        <is>
          <t xml:space="preserve">Unidade Regional de Gestão dos Empreendimentos de Irrigação</t>
        </is>
      </c>
    </row>
    <row r="116">
      <c r="A116" s="7" t="inlineStr">
        <is>
          <t xml:space="preserve">2ª/GRI/URP</t>
        </is>
      </c>
      <c r="B116" s="6" t="inlineStr">
        <is>
          <t xml:space="preserve">Unidade Regional de Apoio à Produção</t>
        </is>
      </c>
    </row>
    <row r="117">
      <c r="A117" s="4" t="inlineStr">
        <is>
          <t xml:space="preserve">2ª/GRR</t>
        </is>
      </c>
      <c r="B117" s="3" t="inlineStr">
        <is>
          <t xml:space="preserve">Gerência Regional de Revitalização e Desenvolvimento Territorial</t>
        </is>
      </c>
    </row>
    <row r="118">
      <c r="A118" s="7" t="inlineStr">
        <is>
          <t xml:space="preserve">2ª/GRR/UDT</t>
        </is>
      </c>
      <c r="B118" s="6" t="inlineStr">
        <is>
          <t xml:space="preserve">Unidade Regional de Desenvolvimento Territorial</t>
        </is>
      </c>
    </row>
    <row r="119">
      <c r="A119" s="4" t="inlineStr">
        <is>
          <t xml:space="preserve">2ª/GRR/UES</t>
        </is>
      </c>
      <c r="B119" s="3" t="inlineStr">
        <is>
          <t xml:space="preserve">Unidade Regional de Empreendimentos Socioambientais</t>
        </is>
      </c>
    </row>
    <row r="120">
      <c r="A120" s="7" t="inlineStr">
        <is>
          <t xml:space="preserve">2ª/GRS</t>
        </is>
      </c>
      <c r="B120" s="6" t="inlineStr">
        <is>
          <t xml:space="preserve">Gerência Regional de Suporte Integrado</t>
        </is>
      </c>
    </row>
    <row r="121">
      <c r="A121" s="4" t="inlineStr">
        <is>
          <t xml:space="preserve">2ª/GRS/ULF</t>
        </is>
      </c>
      <c r="B121" s="3" t="inlineStr">
        <is>
          <t xml:space="preserve">Unidade Regional de Licenciamento Ambiental e Administração Fundiária</t>
        </is>
      </c>
    </row>
    <row r="122">
      <c r="A122" s="7" t="inlineStr">
        <is>
          <t xml:space="preserve">2ª/SL</t>
        </is>
      </c>
      <c r="B122" s="6" t="inlineStr">
        <is>
          <t xml:space="preserve">Secretaria Regional de Licitações</t>
        </is>
      </c>
    </row>
    <row r="123">
      <c r="A123" s="4" t="inlineStr">
        <is>
          <t xml:space="preserve">2ª/SR</t>
        </is>
      </c>
      <c r="B123" s="3" t="inlineStr">
        <is>
          <t xml:space="preserve">2ª Superintendência Regional</t>
        </is>
      </c>
    </row>
    <row r="124">
      <c r="A124" s="7" t="inlineStr">
        <is>
          <t xml:space="preserve">2ª/UBA</t>
        </is>
      </c>
      <c r="B124" s="6" t="inlineStr">
        <is>
          <t xml:space="preserve">Unidade Regional Descentralizada de Barreiras</t>
        </is>
      </c>
    </row>
    <row r="125">
      <c r="A125" s="4" t="inlineStr">
        <is>
          <t xml:space="preserve">2ª/UVC</t>
        </is>
      </c>
      <c r="B125" s="3" t="inlineStr">
        <is>
          <t xml:space="preserve">Unidade Regional Descentralizada de Vitória da Conquista</t>
        </is>
      </c>
    </row>
    <row r="126">
      <c r="A126" s="7" t="inlineStr">
        <is>
          <t xml:space="preserve">3ª/AJ</t>
        </is>
      </c>
      <c r="B126" s="6" t="inlineStr">
        <is>
          <t xml:space="preserve">Assessoria Jurídica Regional</t>
        </is>
      </c>
    </row>
    <row r="127">
      <c r="A127" s="4" t="inlineStr">
        <is>
          <t xml:space="preserve">3ª/CIB</t>
        </is>
      </c>
      <c r="B127" s="3" t="inlineStr">
        <is>
          <t xml:space="preserve">Centro Integrado de Recursos Pesqueiros e Aquicultura de Bebedouro</t>
        </is>
      </c>
    </row>
    <row r="128">
      <c r="A128" s="7" t="inlineStr">
        <is>
          <t xml:space="preserve">3ª/Cogex</t>
        </is>
      </c>
      <c r="B128" s="6" t="inlineStr">
        <is>
          <t xml:space="preserve">Comitê de Gestão Executiva da Superintendência Regional</t>
        </is>
      </c>
    </row>
    <row r="129">
      <c r="A129" s="4" t="inlineStr">
        <is>
          <t xml:space="preserve">3ª/GB</t>
        </is>
      </c>
      <c r="B129" s="3" t="inlineStr">
        <is>
          <t xml:space="preserve">Gabinete da Superintendência Regional</t>
        </is>
      </c>
    </row>
    <row r="130">
      <c r="A130" s="7" t="inlineStr">
        <is>
          <t xml:space="preserve">3ª/GB/URC</t>
        </is>
      </c>
      <c r="B130" s="6" t="inlineStr">
        <is>
          <t xml:space="preserve">Unidade Regional de Comunicação</t>
        </is>
      </c>
    </row>
    <row r="131">
      <c r="A131" s="4" t="inlineStr">
        <is>
          <t xml:space="preserve">3ª/GRA</t>
        </is>
      </c>
      <c r="B131" s="3" t="inlineStr">
        <is>
          <t xml:space="preserve">Gerência Regional de Administração e Tecnologia</t>
        </is>
      </c>
    </row>
    <row r="132">
      <c r="A132" s="7" t="inlineStr">
        <is>
          <t xml:space="preserve">3ª/GRA/UGP</t>
        </is>
      </c>
      <c r="B132" s="6" t="inlineStr">
        <is>
          <t xml:space="preserve">Unidade Regional de Gestão de Pessoas</t>
        </is>
      </c>
    </row>
    <row r="133">
      <c r="A133" s="4" t="inlineStr">
        <is>
          <t xml:space="preserve">3ª/GRA/USA</t>
        </is>
      </c>
      <c r="B133" s="3" t="inlineStr">
        <is>
          <t xml:space="preserve">Unidade Regional de Patrimônio, Logística e Serviços Auxiliares</t>
        </is>
      </c>
    </row>
    <row r="134">
      <c r="A134" s="7" t="inlineStr">
        <is>
          <t xml:space="preserve">3ª/GRA/UTI</t>
        </is>
      </c>
      <c r="B134" s="6" t="inlineStr">
        <is>
          <t xml:space="preserve">Unidade Regional de Tecnologia da Informação</t>
        </is>
      </c>
    </row>
    <row r="135">
      <c r="A135" s="4" t="inlineStr">
        <is>
          <t xml:space="preserve">3ª/GRD</t>
        </is>
      </c>
      <c r="B135" s="3" t="inlineStr">
        <is>
          <t xml:space="preserve">Gerência Regional de Infraestrutura</t>
        </is>
      </c>
    </row>
    <row r="136">
      <c r="A136" s="7" t="inlineStr">
        <is>
          <t xml:space="preserve">3ª/GRD/UEP</t>
        </is>
      </c>
      <c r="B136" s="6" t="inlineStr">
        <is>
          <t xml:space="preserve">Unidade Regional de Estudos e Projetos</t>
        </is>
      </c>
    </row>
    <row r="137">
      <c r="A137" s="4" t="inlineStr">
        <is>
          <t xml:space="preserve">3ª/GRD/UIP</t>
        </is>
      </c>
      <c r="B137" s="3" t="inlineStr">
        <is>
          <t xml:space="preserve">Unidade Regional de Implantação e Acompanhamento de Projetos</t>
        </is>
      </c>
    </row>
    <row r="138">
      <c r="A138" s="7" t="inlineStr">
        <is>
          <t xml:space="preserve">3ª/GRG</t>
        </is>
      </c>
      <c r="B138" s="6" t="inlineStr">
        <is>
          <t xml:space="preserve">Gerência Regional de Estratégia e Finanças</t>
        </is>
      </c>
    </row>
    <row r="139">
      <c r="A139" s="4" t="inlineStr">
        <is>
          <t xml:space="preserve">3ª/GRG/UCB</t>
        </is>
      </c>
      <c r="B139" s="3" t="inlineStr">
        <is>
          <t xml:space="preserve">Unidade Regional de Contabilidade</t>
        </is>
      </c>
    </row>
    <row r="140">
      <c r="A140" s="7" t="inlineStr">
        <is>
          <t xml:space="preserve">3ª/GRG/UFN</t>
        </is>
      </c>
      <c r="B140" s="6" t="inlineStr">
        <is>
          <t xml:space="preserve">Unidade Regional de Finanças e Cobrança</t>
        </is>
      </c>
    </row>
    <row r="141">
      <c r="A141" s="4" t="inlineStr">
        <is>
          <t xml:space="preserve">3ª/GRG/UFN/SCB</t>
        </is>
      </c>
      <c r="B141" s="3" t="inlineStr">
        <is>
          <t xml:space="preserve">Setor de Cobrança</t>
        </is>
      </c>
    </row>
    <row r="142">
      <c r="A142" s="7" t="inlineStr">
        <is>
          <t xml:space="preserve">3ª/GRG/UMC</t>
        </is>
      </c>
      <c r="B142" s="6" t="inlineStr">
        <is>
          <t xml:space="preserve">Unidade Regional de Monitoramento e de Controle de Contratos e Convênios</t>
        </is>
      </c>
    </row>
    <row r="143">
      <c r="A143" s="4" t="inlineStr">
        <is>
          <t xml:space="preserve">3ª/GRG/URO</t>
        </is>
      </c>
      <c r="B143" s="3" t="inlineStr">
        <is>
          <t xml:space="preserve">Unidade Regional Orçamentária</t>
        </is>
      </c>
    </row>
    <row r="144">
      <c r="A144" s="7" t="inlineStr">
        <is>
          <t xml:space="preserve">3ª/GRI</t>
        </is>
      </c>
      <c r="B144" s="6" t="inlineStr">
        <is>
          <t xml:space="preserve">Gerência Regional de Irrigação e Operações</t>
        </is>
      </c>
    </row>
    <row r="145">
      <c r="A145" s="4" t="inlineStr">
        <is>
          <t xml:space="preserve">3ª/GRI/UEI</t>
        </is>
      </c>
      <c r="B145" s="3" t="inlineStr">
        <is>
          <t xml:space="preserve">Unidade Regional de Gestão dos Empreendimentos de Irrigação</t>
        </is>
      </c>
    </row>
    <row r="146">
      <c r="A146" s="7" t="inlineStr">
        <is>
          <t xml:space="preserve">3ª/GRI/URP</t>
        </is>
      </c>
      <c r="B146" s="6" t="inlineStr">
        <is>
          <t xml:space="preserve">Unidade Regional de Apoio à Produção</t>
        </is>
      </c>
    </row>
    <row r="147">
      <c r="A147" s="4" t="inlineStr">
        <is>
          <t xml:space="preserve">3ª/GRR</t>
        </is>
      </c>
      <c r="B147" s="3" t="inlineStr">
        <is>
          <t xml:space="preserve">Gerência Regional de Revitalização e Desenvolvimento Territorial</t>
        </is>
      </c>
    </row>
    <row r="148">
      <c r="A148" s="7" t="inlineStr">
        <is>
          <t xml:space="preserve">3ª/GRR/UDT</t>
        </is>
      </c>
      <c r="B148" s="6" t="inlineStr">
        <is>
          <t xml:space="preserve">Unidade Regional de Desenvolvimento Territorial</t>
        </is>
      </c>
    </row>
    <row r="149">
      <c r="A149" s="4" t="inlineStr">
        <is>
          <t xml:space="preserve">3ª/GRR/UES</t>
        </is>
      </c>
      <c r="B149" s="3" t="inlineStr">
        <is>
          <t xml:space="preserve">Unidade Regional de Empreendimentos Socioambientais</t>
        </is>
      </c>
    </row>
    <row r="150">
      <c r="A150" s="7" t="inlineStr">
        <is>
          <t xml:space="preserve">3ª/GRS</t>
        </is>
      </c>
      <c r="B150" s="6" t="inlineStr">
        <is>
          <t xml:space="preserve">Gerência Regional de Suporte Integrado</t>
        </is>
      </c>
    </row>
    <row r="151">
      <c r="A151" s="4" t="inlineStr">
        <is>
          <t xml:space="preserve">3ª/GRS/ULF</t>
        </is>
      </c>
      <c r="B151" s="3" t="inlineStr">
        <is>
          <t xml:space="preserve">Unidade Regional de Licenciamento Ambiental e Administração Fundiária</t>
        </is>
      </c>
    </row>
    <row r="152">
      <c r="A152" s="7" t="inlineStr">
        <is>
          <t xml:space="preserve">3ª/SL</t>
        </is>
      </c>
      <c r="B152" s="6" t="inlineStr">
        <is>
          <t xml:space="preserve">Secretaria Regional de Licitações</t>
        </is>
      </c>
    </row>
    <row r="153">
      <c r="A153" s="4" t="inlineStr">
        <is>
          <t xml:space="preserve">3ª/SR</t>
        </is>
      </c>
      <c r="B153" s="3" t="inlineStr">
        <is>
          <t xml:space="preserve">3ª Superintendência Regional</t>
        </is>
      </c>
    </row>
    <row r="154">
      <c r="A154" s="7" t="inlineStr">
        <is>
          <t xml:space="preserve">4ª/AJ</t>
        </is>
      </c>
      <c r="B154" s="6" t="inlineStr">
        <is>
          <t xml:space="preserve">Assessoria Jurídica Regional</t>
        </is>
      </c>
    </row>
    <row r="155">
      <c r="A155" s="4" t="inlineStr">
        <is>
          <t xml:space="preserve">4ª/CIT</t>
        </is>
      </c>
      <c r="B155" s="3" t="inlineStr">
        <is>
          <t xml:space="preserve">Centro Integrado de Recursos Pesqueiros e Aquicultura de Betume</t>
        </is>
      </c>
    </row>
    <row r="156">
      <c r="A156" s="7" t="inlineStr">
        <is>
          <t xml:space="preserve">4ª/Cogex</t>
        </is>
      </c>
      <c r="B156" s="6" t="inlineStr">
        <is>
          <t xml:space="preserve">Comitê de Gestão Executiva da Superintendência Regional</t>
        </is>
      </c>
    </row>
    <row r="157">
      <c r="A157" s="4" t="inlineStr">
        <is>
          <t xml:space="preserve">4ª/EPR</t>
        </is>
      </c>
      <c r="B157" s="3" t="inlineStr">
        <is>
          <t xml:space="preserve">Escritório de Apoio Técnico de Propriá</t>
        </is>
      </c>
    </row>
    <row r="158">
      <c r="A158" s="7" t="inlineStr">
        <is>
          <t xml:space="preserve">4ª/GB</t>
        </is>
      </c>
      <c r="B158" s="6" t="inlineStr">
        <is>
          <t xml:space="preserve">Gabinete da Superintendência Regional</t>
        </is>
      </c>
    </row>
    <row r="159">
      <c r="A159" s="4" t="inlineStr">
        <is>
          <t xml:space="preserve">4ª/GB/URC</t>
        </is>
      </c>
      <c r="B159" s="3" t="inlineStr">
        <is>
          <t xml:space="preserve">Unidade Regional de Comunicação</t>
        </is>
      </c>
    </row>
    <row r="160">
      <c r="A160" s="7" t="inlineStr">
        <is>
          <t xml:space="preserve">4ª/GRA</t>
        </is>
      </c>
      <c r="B160" s="6" t="inlineStr">
        <is>
          <t xml:space="preserve">Gerência Regional de Administração e Tecnologia</t>
        </is>
      </c>
    </row>
    <row r="161">
      <c r="A161" s="4" t="inlineStr">
        <is>
          <t xml:space="preserve">4ª/GRA/UGP</t>
        </is>
      </c>
      <c r="B161" s="3" t="inlineStr">
        <is>
          <t xml:space="preserve">Unidade Regional de Gestão de Pessoas</t>
        </is>
      </c>
    </row>
    <row r="162">
      <c r="A162" s="7" t="inlineStr">
        <is>
          <t xml:space="preserve">4ª/GRA/USA</t>
        </is>
      </c>
      <c r="B162" s="6" t="inlineStr">
        <is>
          <t xml:space="preserve">Unidade Regional de Patrimônio, Logística e Serviços Auxiliares</t>
        </is>
      </c>
    </row>
    <row r="163">
      <c r="A163" s="4" t="inlineStr">
        <is>
          <t xml:space="preserve">4ª/GRA/UTI</t>
        </is>
      </c>
      <c r="B163" s="3" t="inlineStr">
        <is>
          <t xml:space="preserve">Unidade Regional de Tecnologia da Informação</t>
        </is>
      </c>
    </row>
    <row r="164">
      <c r="A164" s="7" t="inlineStr">
        <is>
          <t xml:space="preserve">4ª/GRD</t>
        </is>
      </c>
      <c r="B164" s="6" t="inlineStr">
        <is>
          <t xml:space="preserve">Gerência Regional de Infraestrutura</t>
        </is>
      </c>
    </row>
    <row r="165">
      <c r="A165" s="4" t="inlineStr">
        <is>
          <t xml:space="preserve">4ª/GRD/UEP</t>
        </is>
      </c>
      <c r="B165" s="3" t="inlineStr">
        <is>
          <t xml:space="preserve">Unidade Regional de Estudos e Projetos</t>
        </is>
      </c>
    </row>
    <row r="166">
      <c r="A166" s="7" t="inlineStr">
        <is>
          <t xml:space="preserve">4ª/GRD/UIP</t>
        </is>
      </c>
      <c r="B166" s="6" t="inlineStr">
        <is>
          <t xml:space="preserve">Unidade Regional de Implantação e Acompanhamento de Projetos</t>
        </is>
      </c>
    </row>
    <row r="167">
      <c r="A167" s="4" t="inlineStr">
        <is>
          <t xml:space="preserve">4ª/GRG</t>
        </is>
      </c>
      <c r="B167" s="3" t="inlineStr">
        <is>
          <t xml:space="preserve">Gerência Regional de Estratégia e Finanças</t>
        </is>
      </c>
    </row>
    <row r="168">
      <c r="A168" s="7" t="inlineStr">
        <is>
          <t xml:space="preserve">4ª/GRG/UCB</t>
        </is>
      </c>
      <c r="B168" s="6" t="inlineStr">
        <is>
          <t xml:space="preserve">Unidade Regional de Contabilidade</t>
        </is>
      </c>
    </row>
    <row r="169">
      <c r="A169" s="4" t="inlineStr">
        <is>
          <t xml:space="preserve">4ª/GRG/UFN</t>
        </is>
      </c>
      <c r="B169" s="3" t="inlineStr">
        <is>
          <t xml:space="preserve">Unidade Regional de Finanças e Cobrança</t>
        </is>
      </c>
    </row>
    <row r="170">
      <c r="A170" s="7" t="inlineStr">
        <is>
          <t xml:space="preserve">4ª/GRG/UMC</t>
        </is>
      </c>
      <c r="B170" s="6" t="inlineStr">
        <is>
          <t xml:space="preserve">Unidade Regional de Monitoramento e de Controle de Contratos e Convênios</t>
        </is>
      </c>
    </row>
    <row r="171">
      <c r="A171" s="4" t="inlineStr">
        <is>
          <t xml:space="preserve">4ª/GRG/URO</t>
        </is>
      </c>
      <c r="B171" s="3" t="inlineStr">
        <is>
          <t xml:space="preserve">Unidade Regional Orçamentária</t>
        </is>
      </c>
    </row>
    <row r="172">
      <c r="A172" s="7" t="inlineStr">
        <is>
          <t xml:space="preserve">4ª/GRI</t>
        </is>
      </c>
      <c r="B172" s="6" t="inlineStr">
        <is>
          <t xml:space="preserve">Gerência Regional de Irrigação e Operações</t>
        </is>
      </c>
    </row>
    <row r="173">
      <c r="A173" s="4" t="inlineStr">
        <is>
          <t xml:space="preserve">4ª/GRI/UEI</t>
        </is>
      </c>
      <c r="B173" s="3" t="inlineStr">
        <is>
          <t xml:space="preserve">Unidade Regional de Gestão dos Empreendimentos de Irrigação</t>
        </is>
      </c>
    </row>
    <row r="174">
      <c r="A174" s="7" t="inlineStr">
        <is>
          <t xml:space="preserve">4ª/GRI/URP</t>
        </is>
      </c>
      <c r="B174" s="6" t="inlineStr">
        <is>
          <t xml:space="preserve">Unidade Regional de Apoio à Produção</t>
        </is>
      </c>
    </row>
    <row r="175">
      <c r="A175" s="4" t="inlineStr">
        <is>
          <t xml:space="preserve">4ª/GRR</t>
        </is>
      </c>
      <c r="B175" s="3" t="inlineStr">
        <is>
          <t xml:space="preserve">Gerência Regional de Revitalização e Desenvolvimento Territorial</t>
        </is>
      </c>
    </row>
    <row r="176">
      <c r="A176" s="7" t="inlineStr">
        <is>
          <t xml:space="preserve">4ª/GRR/UDT</t>
        </is>
      </c>
      <c r="B176" s="6" t="inlineStr">
        <is>
          <t xml:space="preserve">Unidade Regional de Desenvolvimento Territorial</t>
        </is>
      </c>
    </row>
    <row r="177">
      <c r="A177" s="4" t="inlineStr">
        <is>
          <t xml:space="preserve">4ª/GRR/UES</t>
        </is>
      </c>
      <c r="B177" s="3" t="inlineStr">
        <is>
          <t xml:space="preserve">Unidade Regional de Empreendimentos Socioambientais</t>
        </is>
      </c>
    </row>
    <row r="178">
      <c r="A178" s="7" t="inlineStr">
        <is>
          <t xml:space="preserve">4ª/GRS</t>
        </is>
      </c>
      <c r="B178" s="6" t="inlineStr">
        <is>
          <t xml:space="preserve">Gerência Regional de Suporte Integrado</t>
        </is>
      </c>
    </row>
    <row r="179">
      <c r="A179" s="4" t="inlineStr">
        <is>
          <t xml:space="preserve">4ª/GRS/ULF</t>
        </is>
      </c>
      <c r="B179" s="3" t="inlineStr">
        <is>
          <t xml:space="preserve">Unidade Regional de Licenciamento Ambiental e Administração Fundiária</t>
        </is>
      </c>
    </row>
    <row r="180">
      <c r="A180" s="7" t="inlineStr">
        <is>
          <t xml:space="preserve">4ª/SL</t>
        </is>
      </c>
      <c r="B180" s="6" t="inlineStr">
        <is>
          <t xml:space="preserve">Secretaria Regional de Licitações</t>
        </is>
      </c>
    </row>
    <row r="181">
      <c r="A181" s="4" t="inlineStr">
        <is>
          <t xml:space="preserve">4ª/SR</t>
        </is>
      </c>
      <c r="B181" s="3" t="inlineStr">
        <is>
          <t xml:space="preserve">4ª Superintendência Regional</t>
        </is>
      </c>
    </row>
    <row r="182">
      <c r="A182" s="7" t="inlineStr">
        <is>
          <t xml:space="preserve">5ª/AJ</t>
        </is>
      </c>
      <c r="B182" s="6" t="inlineStr">
        <is>
          <t xml:space="preserve">Assessoria Jurídica Regional</t>
        </is>
      </c>
    </row>
    <row r="183">
      <c r="A183" s="4" t="inlineStr">
        <is>
          <t xml:space="preserve">5ª/CII</t>
        </is>
      </c>
      <c r="B183" s="3" t="inlineStr">
        <is>
          <t xml:space="preserve">Centro Integrado de Recursos Pesqueiros e Aquicultura de Itiúba</t>
        </is>
      </c>
    </row>
    <row r="184">
      <c r="A184" s="7" t="inlineStr">
        <is>
          <t xml:space="preserve">5ª/Cogex</t>
        </is>
      </c>
      <c r="B184" s="6" t="inlineStr">
        <is>
          <t xml:space="preserve">Comitê de Gestão Executiva da Superintendência Regional</t>
        </is>
      </c>
    </row>
    <row r="185">
      <c r="A185" s="4" t="inlineStr">
        <is>
          <t xml:space="preserve">5ª/EPE</t>
        </is>
      </c>
      <c r="B185" s="3" t="inlineStr">
        <is>
          <t xml:space="preserve">Escritório de Apoio Técnico de Penedo</t>
        </is>
      </c>
    </row>
    <row r="186">
      <c r="A186" s="7" t="inlineStr">
        <is>
          <t xml:space="preserve">5ª/GB</t>
        </is>
      </c>
      <c r="B186" s="6" t="inlineStr">
        <is>
          <t xml:space="preserve">Gabinete da Superintendência Regional</t>
        </is>
      </c>
    </row>
    <row r="187">
      <c r="A187" s="4" t="inlineStr">
        <is>
          <t xml:space="preserve">5ª/GB/URC</t>
        </is>
      </c>
      <c r="B187" s="3" t="inlineStr">
        <is>
          <t xml:space="preserve">Unidade Regional de Comunicação</t>
        </is>
      </c>
    </row>
    <row r="188">
      <c r="A188" s="7" t="inlineStr">
        <is>
          <t xml:space="preserve">5ª/GRA</t>
        </is>
      </c>
      <c r="B188" s="6" t="inlineStr">
        <is>
          <t xml:space="preserve">Gerência Regional de Administração e Tecnologia</t>
        </is>
      </c>
    </row>
    <row r="189">
      <c r="A189" s="4" t="inlineStr">
        <is>
          <t xml:space="preserve">5ª/GRA/UGP</t>
        </is>
      </c>
      <c r="B189" s="3" t="inlineStr">
        <is>
          <t xml:space="preserve">Unidade Regional de Gestão de Pessoas</t>
        </is>
      </c>
    </row>
    <row r="190">
      <c r="A190" s="7" t="inlineStr">
        <is>
          <t xml:space="preserve">5ª/GRA/USA</t>
        </is>
      </c>
      <c r="B190" s="6" t="inlineStr">
        <is>
          <t xml:space="preserve">Unidade Regional de Patrimônio, Logística e Serviços Auxiliares</t>
        </is>
      </c>
    </row>
    <row r="191">
      <c r="A191" s="4" t="inlineStr">
        <is>
          <t xml:space="preserve">5ª/GRA/UTI</t>
        </is>
      </c>
      <c r="B191" s="3" t="inlineStr">
        <is>
          <t xml:space="preserve">Unidade Regional de Tecnologia da Informação</t>
        </is>
      </c>
    </row>
    <row r="192">
      <c r="A192" s="7" t="inlineStr">
        <is>
          <t xml:space="preserve">5ª/GRD</t>
        </is>
      </c>
      <c r="B192" s="6" t="inlineStr">
        <is>
          <t xml:space="preserve">Gerência Regional de Infraestrutura</t>
        </is>
      </c>
    </row>
    <row r="193">
      <c r="A193" s="4" t="inlineStr">
        <is>
          <t xml:space="preserve">5ª/GRD/UEP</t>
        </is>
      </c>
      <c r="B193" s="3" t="inlineStr">
        <is>
          <t xml:space="preserve">Unidade Regional de Estudos e Projetos</t>
        </is>
      </c>
    </row>
    <row r="194">
      <c r="A194" s="7" t="inlineStr">
        <is>
          <t xml:space="preserve">5ª/GRD/UIP</t>
        </is>
      </c>
      <c r="B194" s="6" t="inlineStr">
        <is>
          <t xml:space="preserve">Unidade Regional de Implantação e Acompanhamento de Projetos</t>
        </is>
      </c>
    </row>
    <row r="195">
      <c r="A195" s="4" t="inlineStr">
        <is>
          <t xml:space="preserve">5ª/GRG</t>
        </is>
      </c>
      <c r="B195" s="3" t="inlineStr">
        <is>
          <t xml:space="preserve">Gerência Regional de Estratégia e Finanças</t>
        </is>
      </c>
    </row>
    <row r="196">
      <c r="A196" s="7" t="inlineStr">
        <is>
          <t xml:space="preserve">5ª/GRG/UCB</t>
        </is>
      </c>
      <c r="B196" s="6" t="inlineStr">
        <is>
          <t xml:space="preserve">Unidade Regional de Contabilidade</t>
        </is>
      </c>
    </row>
    <row r="197">
      <c r="A197" s="4" t="inlineStr">
        <is>
          <t xml:space="preserve">5ª/GRG/UFN</t>
        </is>
      </c>
      <c r="B197" s="3" t="inlineStr">
        <is>
          <t xml:space="preserve">Unidade Regional de Finanças e Cobrança</t>
        </is>
      </c>
    </row>
    <row r="198">
      <c r="A198" s="7" t="inlineStr">
        <is>
          <t xml:space="preserve">5ª/GRG/UMC</t>
        </is>
      </c>
      <c r="B198" s="6" t="inlineStr">
        <is>
          <t xml:space="preserve">Unidade Regional de Monitoramento e de Controle de Contratos e Convênios</t>
        </is>
      </c>
    </row>
    <row r="199">
      <c r="A199" s="4" t="inlineStr">
        <is>
          <t xml:space="preserve">5ª/GRG/URO</t>
        </is>
      </c>
      <c r="B199" s="3" t="inlineStr">
        <is>
          <t xml:space="preserve">Unidade Regional Orçamentária</t>
        </is>
      </c>
    </row>
    <row r="200">
      <c r="A200" s="7" t="inlineStr">
        <is>
          <t xml:space="preserve">5ª/GRI</t>
        </is>
      </c>
      <c r="B200" s="6" t="inlineStr">
        <is>
          <t xml:space="preserve">Gerência Regional de Irrigação e Operações</t>
        </is>
      </c>
    </row>
    <row r="201">
      <c r="A201" s="4" t="inlineStr">
        <is>
          <t xml:space="preserve">5ª/GRI/UEI</t>
        </is>
      </c>
      <c r="B201" s="3" t="inlineStr">
        <is>
          <t xml:space="preserve">Unidade Regional de Gestão dos Empreendimentos de Irrigação</t>
        </is>
      </c>
    </row>
    <row r="202">
      <c r="A202" s="7" t="inlineStr">
        <is>
          <t xml:space="preserve">5ª/GRI/URP</t>
        </is>
      </c>
      <c r="B202" s="6" t="inlineStr">
        <is>
          <t xml:space="preserve">Unidade Regional de Apoio à Produção</t>
        </is>
      </c>
    </row>
    <row r="203">
      <c r="A203" s="4" t="inlineStr">
        <is>
          <t xml:space="preserve">5ª/GRR</t>
        </is>
      </c>
      <c r="B203" s="3" t="inlineStr">
        <is>
          <t xml:space="preserve">Gerência Regional de Revitalização e Desenvolvimento Territorial</t>
        </is>
      </c>
    </row>
    <row r="204">
      <c r="A204" s="7" t="inlineStr">
        <is>
          <t xml:space="preserve">5ª/GRR/UDT</t>
        </is>
      </c>
      <c r="B204" s="6" t="inlineStr">
        <is>
          <t xml:space="preserve">Unidade Regional de Desenvolvimento Territorial</t>
        </is>
      </c>
    </row>
    <row r="205">
      <c r="A205" s="4" t="inlineStr">
        <is>
          <t xml:space="preserve">5ª/GRR/UES</t>
        </is>
      </c>
      <c r="B205" s="3" t="inlineStr">
        <is>
          <t xml:space="preserve">Unidade Regional de Empreendimentos Socioambientais</t>
        </is>
      </c>
    </row>
    <row r="206">
      <c r="A206" s="7" t="inlineStr">
        <is>
          <t xml:space="preserve">5ª/GRS</t>
        </is>
      </c>
      <c r="B206" s="6" t="inlineStr">
        <is>
          <t xml:space="preserve">Gerência Regional de Suporte Integrado</t>
        </is>
      </c>
    </row>
    <row r="207">
      <c r="A207" s="4" t="inlineStr">
        <is>
          <t xml:space="preserve">5ª/GRS/ULF</t>
        </is>
      </c>
      <c r="B207" s="3" t="inlineStr">
        <is>
          <t xml:space="preserve">Unidade Regional de Licenciamento Ambiental e Administração Fundiária</t>
        </is>
      </c>
    </row>
    <row r="208">
      <c r="A208" s="7" t="inlineStr">
        <is>
          <t xml:space="preserve">5ª/SL</t>
        </is>
      </c>
      <c r="B208" s="6" t="inlineStr">
        <is>
          <t xml:space="preserve">Secretaria Regional de Licitações</t>
        </is>
      </c>
    </row>
    <row r="209">
      <c r="A209" s="4" t="inlineStr">
        <is>
          <t xml:space="preserve">5ª/SR</t>
        </is>
      </c>
      <c r="B209" s="3" t="inlineStr">
        <is>
          <t xml:space="preserve">5ª Superintendência Regional</t>
        </is>
      </c>
    </row>
    <row r="210">
      <c r="A210" s="7" t="inlineStr">
        <is>
          <t xml:space="preserve">6ª/AJ</t>
        </is>
      </c>
      <c r="B210" s="6" t="inlineStr">
        <is>
          <t xml:space="preserve">Assessoria Jurídica Regional</t>
        </is>
      </c>
    </row>
    <row r="211">
      <c r="A211" s="4" t="inlineStr">
        <is>
          <t xml:space="preserve">6ª/Cogex</t>
        </is>
      </c>
      <c r="B211" s="3" t="inlineStr">
        <is>
          <t xml:space="preserve">Comitê de Gestão Executiva da Superintendência Regional</t>
        </is>
      </c>
    </row>
    <row r="212">
      <c r="A212" s="7" t="inlineStr">
        <is>
          <t xml:space="preserve">6ª/ESA</t>
        </is>
      </c>
      <c r="B212" s="6" t="inlineStr">
        <is>
          <t xml:space="preserve">Escritório de Representação de Salvador</t>
        </is>
      </c>
    </row>
    <row r="213">
      <c r="A213" s="4" t="inlineStr">
        <is>
          <t xml:space="preserve">6ª/GB</t>
        </is>
      </c>
      <c r="B213" s="3" t="inlineStr">
        <is>
          <t xml:space="preserve">Gabinete da Superintendência Regional</t>
        </is>
      </c>
    </row>
    <row r="214">
      <c r="A214" s="7" t="inlineStr">
        <is>
          <t xml:space="preserve">6ª/GB/URC</t>
        </is>
      </c>
      <c r="B214" s="6" t="inlineStr">
        <is>
          <t xml:space="preserve">Unidade Regional de Comunicação</t>
        </is>
      </c>
    </row>
    <row r="215">
      <c r="A215" s="4" t="inlineStr">
        <is>
          <t xml:space="preserve">6ª/GRA</t>
        </is>
      </c>
      <c r="B215" s="3" t="inlineStr">
        <is>
          <t xml:space="preserve">Gerência Regional de Administração e Tecnologia</t>
        </is>
      </c>
    </row>
    <row r="216">
      <c r="A216" s="7" t="inlineStr">
        <is>
          <t xml:space="preserve">6ª/GRA/UGP</t>
        </is>
      </c>
      <c r="B216" s="6" t="inlineStr">
        <is>
          <t xml:space="preserve">Unidade Regional de Gestão de Pessoas</t>
        </is>
      </c>
    </row>
    <row r="217">
      <c r="A217" s="4" t="inlineStr">
        <is>
          <t xml:space="preserve">6ª/GRA/USA</t>
        </is>
      </c>
      <c r="B217" s="3" t="inlineStr">
        <is>
          <t xml:space="preserve">Unidade Regional de Patrimônio, Logística e Serviços Auxiliares</t>
        </is>
      </c>
    </row>
    <row r="218">
      <c r="A218" s="7" t="inlineStr">
        <is>
          <t xml:space="preserve">6ª/GRA/UTI</t>
        </is>
      </c>
      <c r="B218" s="6" t="inlineStr">
        <is>
          <t xml:space="preserve">Unidade Regional de Tecnologia da Informação</t>
        </is>
      </c>
    </row>
    <row r="219">
      <c r="A219" s="4" t="inlineStr">
        <is>
          <t xml:space="preserve">6ª/GRD</t>
        </is>
      </c>
      <c r="B219" s="3" t="inlineStr">
        <is>
          <t xml:space="preserve">Gerência Regional de Infraestrutura</t>
        </is>
      </c>
    </row>
    <row r="220">
      <c r="A220" s="7" t="inlineStr">
        <is>
          <t xml:space="preserve">6ª/GRD/UEP</t>
        </is>
      </c>
      <c r="B220" s="6" t="inlineStr">
        <is>
          <t xml:space="preserve">Unidade Regional de Estudos e Projetos</t>
        </is>
      </c>
    </row>
    <row r="221">
      <c r="A221" s="4" t="inlineStr">
        <is>
          <t xml:space="preserve">6ª/GRD/UIP</t>
        </is>
      </c>
      <c r="B221" s="3" t="inlineStr">
        <is>
          <t xml:space="preserve">Unidade Regional de Implantação e Acompanhamento de Projetos</t>
        </is>
      </c>
    </row>
    <row r="222">
      <c r="A222" s="7" t="inlineStr">
        <is>
          <t xml:space="preserve">6ª/GRG</t>
        </is>
      </c>
      <c r="B222" s="6" t="inlineStr">
        <is>
          <t xml:space="preserve">Gerência Regional de Estratégia e Finanças</t>
        </is>
      </c>
    </row>
    <row r="223">
      <c r="A223" s="4" t="inlineStr">
        <is>
          <t xml:space="preserve">6ª/GRG/UCB</t>
        </is>
      </c>
      <c r="B223" s="3" t="inlineStr">
        <is>
          <t xml:space="preserve">Unidade Regional de Contabilidade</t>
        </is>
      </c>
    </row>
    <row r="224">
      <c r="A224" s="7" t="inlineStr">
        <is>
          <t xml:space="preserve">6ª/GRG/UFN</t>
        </is>
      </c>
      <c r="B224" s="6" t="inlineStr">
        <is>
          <t xml:space="preserve">Unidade Regional de Finanças e Cobrança</t>
        </is>
      </c>
    </row>
    <row r="225">
      <c r="A225" s="4" t="inlineStr">
        <is>
          <t xml:space="preserve">6ª/GRG/UFN/SCB</t>
        </is>
      </c>
      <c r="B225" s="3" t="inlineStr">
        <is>
          <t xml:space="preserve">Setor de Cobrança</t>
        </is>
      </c>
    </row>
    <row r="226">
      <c r="A226" s="7" t="inlineStr">
        <is>
          <t xml:space="preserve">6ª/GRG/UMC</t>
        </is>
      </c>
      <c r="B226" s="6" t="inlineStr">
        <is>
          <t xml:space="preserve">Unidade Regional de Monitoramento e de Controle de Contratos e Convênios</t>
        </is>
      </c>
    </row>
    <row r="227">
      <c r="A227" s="4" t="inlineStr">
        <is>
          <t xml:space="preserve">6ª/GRG/URO</t>
        </is>
      </c>
      <c r="B227" s="3" t="inlineStr">
        <is>
          <t xml:space="preserve">Unidade Regional Orçamentária</t>
        </is>
      </c>
    </row>
    <row r="228">
      <c r="A228" s="7" t="inlineStr">
        <is>
          <t xml:space="preserve">6ª/GRI</t>
        </is>
      </c>
      <c r="B228" s="6" t="inlineStr">
        <is>
          <t xml:space="preserve">Gerência Regional de Irrigação e Operações</t>
        </is>
      </c>
    </row>
    <row r="229">
      <c r="A229" s="4" t="inlineStr">
        <is>
          <t xml:space="preserve">6ª/GRI/UEI</t>
        </is>
      </c>
      <c r="B229" s="3" t="inlineStr">
        <is>
          <t xml:space="preserve">Unidade Regional de Gestão dos Empreendimentos de Irrigação</t>
        </is>
      </c>
    </row>
    <row r="230">
      <c r="A230" s="7" t="inlineStr">
        <is>
          <t xml:space="preserve">6ª/GRI/URP</t>
        </is>
      </c>
      <c r="B230" s="6" t="inlineStr">
        <is>
          <t xml:space="preserve">Unidade Regional de Apoio à Produção</t>
        </is>
      </c>
    </row>
    <row r="231">
      <c r="A231" s="4" t="inlineStr">
        <is>
          <t xml:space="preserve">6ª/GRR</t>
        </is>
      </c>
      <c r="B231" s="3" t="inlineStr">
        <is>
          <t xml:space="preserve">Gerência Regional de Revitalização e Desenvolvimento Territorial</t>
        </is>
      </c>
    </row>
    <row r="232">
      <c r="A232" s="7" t="inlineStr">
        <is>
          <t xml:space="preserve">6ª/GRR/UDT</t>
        </is>
      </c>
      <c r="B232" s="6" t="inlineStr">
        <is>
          <t xml:space="preserve">Unidade Regional de Desenvolvimento Territorial</t>
        </is>
      </c>
    </row>
    <row r="233">
      <c r="A233" s="4" t="inlineStr">
        <is>
          <t xml:space="preserve">6ª/GRR/UES</t>
        </is>
      </c>
      <c r="B233" s="3" t="inlineStr">
        <is>
          <t xml:space="preserve">Unidade Regional de Empreendimentos Socioambientais</t>
        </is>
      </c>
    </row>
    <row r="234">
      <c r="A234" s="7" t="inlineStr">
        <is>
          <t xml:space="preserve">6ª/GRS</t>
        </is>
      </c>
      <c r="B234" s="6" t="inlineStr">
        <is>
          <t xml:space="preserve">Gerência Regional de Suporte Integrado</t>
        </is>
      </c>
    </row>
    <row r="235">
      <c r="A235" s="4" t="inlineStr">
        <is>
          <t xml:space="preserve">6ª/GRS/ULF</t>
        </is>
      </c>
      <c r="B235" s="3" t="inlineStr">
        <is>
          <t xml:space="preserve">Unidade Regional de Licenciamento Ambiental e Administração Fundiária</t>
        </is>
      </c>
    </row>
    <row r="236">
      <c r="A236" s="7" t="inlineStr">
        <is>
          <t xml:space="preserve">6ª/SL</t>
        </is>
      </c>
      <c r="B236" s="6" t="inlineStr">
        <is>
          <t xml:space="preserve">Secretaria Regional de Licitações</t>
        </is>
      </c>
    </row>
    <row r="237">
      <c r="A237" s="4" t="inlineStr">
        <is>
          <t xml:space="preserve">6ª/SR</t>
        </is>
      </c>
      <c r="B237" s="3" t="inlineStr">
        <is>
          <t xml:space="preserve">6ª Superintendência Regional</t>
        </is>
      </c>
    </row>
    <row r="238">
      <c r="A238" s="7" t="inlineStr">
        <is>
          <t xml:space="preserve">6ª/UPF</t>
        </is>
      </c>
      <c r="B238" s="6" t="inlineStr">
        <is>
          <t xml:space="preserve">Unidade Regional Descentralizada de Paulo Afonso</t>
        </is>
      </c>
    </row>
    <row r="239">
      <c r="A239" s="4" t="inlineStr">
        <is>
          <t xml:space="preserve">7ª/AJ</t>
        </is>
      </c>
      <c r="B239" s="3" t="inlineStr">
        <is>
          <t xml:space="preserve">Assessoria Jurídica Regional</t>
        </is>
      </c>
    </row>
    <row r="240">
      <c r="A240" s="7" t="inlineStr">
        <is>
          <t xml:space="preserve">7ª/Cogex</t>
        </is>
      </c>
      <c r="B240" s="6" t="inlineStr">
        <is>
          <t xml:space="preserve">Comitê de Gestão Executiva da Superintendência Regional</t>
        </is>
      </c>
    </row>
    <row r="241">
      <c r="A241" s="4" t="inlineStr">
        <is>
          <t xml:space="preserve">7ª/EOE</t>
        </is>
      </c>
      <c r="B241" s="3" t="inlineStr">
        <is>
          <t xml:space="preserve">Escritório de Apoio Técnico de Oeiras</t>
        </is>
      </c>
    </row>
    <row r="242">
      <c r="A242" s="7" t="inlineStr">
        <is>
          <t xml:space="preserve">7ª/EPA</t>
        </is>
      </c>
      <c r="B242" s="6" t="inlineStr">
        <is>
          <t xml:space="preserve">Escritório de Apoio Técnico de Parnaíba</t>
        </is>
      </c>
    </row>
    <row r="243">
      <c r="A243" s="4" t="inlineStr">
        <is>
          <t xml:space="preserve">7ª/ERN</t>
        </is>
      </c>
      <c r="B243" s="3" t="inlineStr">
        <is>
          <t xml:space="preserve">Escritório de Apoio Técnico de São Raimundo Nonato</t>
        </is>
      </c>
    </row>
    <row r="244">
      <c r="A244" s="7" t="inlineStr">
        <is>
          <t xml:space="preserve">7ª/GB</t>
        </is>
      </c>
      <c r="B244" s="6" t="inlineStr">
        <is>
          <t xml:space="preserve">Gabinete da Superintendência Regional</t>
        </is>
      </c>
    </row>
    <row r="245">
      <c r="A245" s="4" t="inlineStr">
        <is>
          <t xml:space="preserve">7ª/GB/URC</t>
        </is>
      </c>
      <c r="B245" s="3" t="inlineStr">
        <is>
          <t xml:space="preserve">Unidade Regional de Comunicação</t>
        </is>
      </c>
    </row>
    <row r="246">
      <c r="A246" s="7" t="inlineStr">
        <is>
          <t xml:space="preserve">7ª/GRA</t>
        </is>
      </c>
      <c r="B246" s="6" t="inlineStr">
        <is>
          <t xml:space="preserve">Gerência Regional de Administração e Tecnologia</t>
        </is>
      </c>
    </row>
    <row r="247">
      <c r="A247" s="4" t="inlineStr">
        <is>
          <t xml:space="preserve">7ª/GRA/UGP</t>
        </is>
      </c>
      <c r="B247" s="3" t="inlineStr">
        <is>
          <t xml:space="preserve">Unidade Regional de Gestão de Pessoas</t>
        </is>
      </c>
    </row>
    <row r="248">
      <c r="A248" s="7" t="inlineStr">
        <is>
          <t xml:space="preserve">7ª/GRA/USA</t>
        </is>
      </c>
      <c r="B248" s="6" t="inlineStr">
        <is>
          <t xml:space="preserve">Unidade Regional de Patrimônio, Logística e Serviços Auxiliares</t>
        </is>
      </c>
    </row>
    <row r="249">
      <c r="A249" s="4" t="inlineStr">
        <is>
          <t xml:space="preserve">7ª/GRA/UTI</t>
        </is>
      </c>
      <c r="B249" s="3" t="inlineStr">
        <is>
          <t xml:space="preserve">Unidade Regional de Tecnologia da Informação</t>
        </is>
      </c>
    </row>
    <row r="250">
      <c r="A250" s="7" t="inlineStr">
        <is>
          <t xml:space="preserve">7ª/GRD</t>
        </is>
      </c>
      <c r="B250" s="6" t="inlineStr">
        <is>
          <t xml:space="preserve">Gerência Regional de Infraestrutura</t>
        </is>
      </c>
    </row>
    <row r="251">
      <c r="A251" s="4" t="inlineStr">
        <is>
          <t xml:space="preserve">7ª/GRD/UEP</t>
        </is>
      </c>
      <c r="B251" s="3" t="inlineStr">
        <is>
          <t xml:space="preserve">Unidade Regional de Estudos e Projetos</t>
        </is>
      </c>
    </row>
    <row r="252">
      <c r="A252" s="7" t="inlineStr">
        <is>
          <t xml:space="preserve">7ª/GRD/UIP</t>
        </is>
      </c>
      <c r="B252" s="6" t="inlineStr">
        <is>
          <t xml:space="preserve">Unidade Regional de Implantação e Acompanhamento de Projetos</t>
        </is>
      </c>
    </row>
    <row r="253">
      <c r="A253" s="4" t="inlineStr">
        <is>
          <t xml:space="preserve">7ª/GRD/UPS</t>
        </is>
      </c>
      <c r="B253" s="3" t="inlineStr">
        <is>
          <t xml:space="preserve">Unidade Regional de Projetos Especiais</t>
        </is>
      </c>
    </row>
    <row r="254">
      <c r="A254" s="7" t="inlineStr">
        <is>
          <t xml:space="preserve">7ª/GRG</t>
        </is>
      </c>
      <c r="B254" s="6" t="inlineStr">
        <is>
          <t xml:space="preserve">Gerência Regional de Estratégia e Finanças</t>
        </is>
      </c>
    </row>
    <row r="255">
      <c r="A255" s="4" t="inlineStr">
        <is>
          <t xml:space="preserve">7ª/GRG/UCB</t>
        </is>
      </c>
      <c r="B255" s="3" t="inlineStr">
        <is>
          <t xml:space="preserve">Unidade Regional de Contabilidade</t>
        </is>
      </c>
    </row>
    <row r="256">
      <c r="A256" s="7" t="inlineStr">
        <is>
          <t xml:space="preserve">7ª/GRG/UFN</t>
        </is>
      </c>
      <c r="B256" s="6" t="inlineStr">
        <is>
          <t xml:space="preserve">Unidade Regional de Finanças e Cobrança</t>
        </is>
      </c>
    </row>
    <row r="257">
      <c r="A257" s="4" t="inlineStr">
        <is>
          <t xml:space="preserve">7ª/GRG/UMC</t>
        </is>
      </c>
      <c r="B257" s="3" t="inlineStr">
        <is>
          <t xml:space="preserve">Unidade Regional de Monitoramento e de Controle de Contratos e Convênios</t>
        </is>
      </c>
    </row>
    <row r="258">
      <c r="A258" s="7" t="inlineStr">
        <is>
          <t xml:space="preserve">7ª/GRG/URO</t>
        </is>
      </c>
      <c r="B258" s="6" t="inlineStr">
        <is>
          <t xml:space="preserve">Unidade Regional Orçamentária</t>
        </is>
      </c>
    </row>
    <row r="259">
      <c r="A259" s="4" t="inlineStr">
        <is>
          <t xml:space="preserve">7ª/GRI</t>
        </is>
      </c>
      <c r="B259" s="3" t="inlineStr">
        <is>
          <t xml:space="preserve">Gerência Regional de Irrigação e Operações</t>
        </is>
      </c>
    </row>
    <row r="260">
      <c r="A260" s="7" t="inlineStr">
        <is>
          <t xml:space="preserve">7ª/GRI/UEI</t>
        </is>
      </c>
      <c r="B260" s="6" t="inlineStr">
        <is>
          <t xml:space="preserve">Unidade Regional de Gestão dos Empreendimentos de Irrigação</t>
        </is>
      </c>
    </row>
    <row r="261">
      <c r="A261" s="4" t="inlineStr">
        <is>
          <t xml:space="preserve">7ª/GRI/URP</t>
        </is>
      </c>
      <c r="B261" s="3" t="inlineStr">
        <is>
          <t xml:space="preserve">Unidade Regional de Apoio à Produção</t>
        </is>
      </c>
    </row>
    <row r="262">
      <c r="A262" s="7" t="inlineStr">
        <is>
          <t xml:space="preserve">7ª/GRR</t>
        </is>
      </c>
      <c r="B262" s="6" t="inlineStr">
        <is>
          <t xml:space="preserve">Gerência Regional de Revitalização e Desenvolvimento Territorial</t>
        </is>
      </c>
    </row>
    <row r="263">
      <c r="A263" s="4" t="inlineStr">
        <is>
          <t xml:space="preserve">7ª/GRR/UDT</t>
        </is>
      </c>
      <c r="B263" s="3" t="inlineStr">
        <is>
          <t xml:space="preserve">Unidade Regional de Desenvolvimento Territorial</t>
        </is>
      </c>
    </row>
    <row r="264">
      <c r="A264" s="7" t="inlineStr">
        <is>
          <t xml:space="preserve">7ª/GRR/UES</t>
        </is>
      </c>
      <c r="B264" s="6" t="inlineStr">
        <is>
          <t xml:space="preserve">Unidade Regional de Empreendimentos Socioambientais</t>
        </is>
      </c>
    </row>
    <row r="265">
      <c r="A265" s="4" t="inlineStr">
        <is>
          <t xml:space="preserve">7ª/GRS</t>
        </is>
      </c>
      <c r="B265" s="3" t="inlineStr">
        <is>
          <t xml:space="preserve">Gerência Regional de Suporte Integrado</t>
        </is>
      </c>
    </row>
    <row r="266">
      <c r="A266" s="7" t="inlineStr">
        <is>
          <t xml:space="preserve">7ª/GRS/ULF</t>
        </is>
      </c>
      <c r="B266" s="6" t="inlineStr">
        <is>
          <t xml:space="preserve">Unidade Regional de Licenciamento Ambiental e Administração Fundiária</t>
        </is>
      </c>
    </row>
    <row r="267">
      <c r="A267" s="4" t="inlineStr">
        <is>
          <t xml:space="preserve">7ª/SL</t>
        </is>
      </c>
      <c r="B267" s="3" t="inlineStr">
        <is>
          <t xml:space="preserve">Secretaria Regional de Licitações</t>
        </is>
      </c>
    </row>
    <row r="268">
      <c r="A268" s="7" t="inlineStr">
        <is>
          <t xml:space="preserve">7ª/SR</t>
        </is>
      </c>
      <c r="B268" s="6" t="inlineStr">
        <is>
          <t xml:space="preserve">7ª Superintendência Regional</t>
        </is>
      </c>
    </row>
    <row r="269">
      <c r="A269" s="4" t="inlineStr">
        <is>
          <t xml:space="preserve">8ª/AJ</t>
        </is>
      </c>
      <c r="B269" s="3" t="inlineStr">
        <is>
          <t xml:space="preserve">Assessoria Jurídica Regional</t>
        </is>
      </c>
    </row>
    <row r="270">
      <c r="A270" s="7" t="inlineStr">
        <is>
          <t xml:space="preserve">8ª/Cogex</t>
        </is>
      </c>
      <c r="B270" s="6" t="inlineStr">
        <is>
          <t xml:space="preserve">Comitê de Gestão Executiva da Superintendência Regional</t>
        </is>
      </c>
    </row>
    <row r="271">
      <c r="A271" s="4" t="inlineStr">
        <is>
          <t xml:space="preserve">8ª/EIM</t>
        </is>
      </c>
      <c r="B271" s="3" t="inlineStr">
        <is>
          <t xml:space="preserve">Escritório de Apoio Técnico de Imperatriz</t>
        </is>
      </c>
    </row>
    <row r="272">
      <c r="A272" s="7" t="inlineStr">
        <is>
          <t xml:space="preserve">8ª/EPD</t>
        </is>
      </c>
      <c r="B272" s="6" t="inlineStr">
        <is>
          <t xml:space="preserve">Escritório de Apoio Técnico de Presidente Dutra</t>
        </is>
      </c>
    </row>
    <row r="273">
      <c r="A273" s="4" t="inlineStr">
        <is>
          <t xml:space="preserve">8ª/GB</t>
        </is>
      </c>
      <c r="B273" s="3" t="inlineStr">
        <is>
          <t xml:space="preserve">Gabinete da Superintendência Regional</t>
        </is>
      </c>
    </row>
    <row r="274">
      <c r="A274" s="7" t="inlineStr">
        <is>
          <t xml:space="preserve">8ª/GB/URC</t>
        </is>
      </c>
      <c r="B274" s="6" t="inlineStr">
        <is>
          <t xml:space="preserve">Unidade Regional de Comunicação</t>
        </is>
      </c>
    </row>
    <row r="275">
      <c r="A275" s="4" t="inlineStr">
        <is>
          <t xml:space="preserve">8ª/GRA</t>
        </is>
      </c>
      <c r="B275" s="3" t="inlineStr">
        <is>
          <t xml:space="preserve">Gerência Regional de Administração e Tecnologia</t>
        </is>
      </c>
    </row>
    <row r="276">
      <c r="A276" s="7" t="inlineStr">
        <is>
          <t xml:space="preserve">8ª/GRA/UGP</t>
        </is>
      </c>
      <c r="B276" s="6" t="inlineStr">
        <is>
          <t xml:space="preserve">Unidade Regional de Gestão de Pessoas</t>
        </is>
      </c>
    </row>
    <row r="277">
      <c r="A277" s="4" t="inlineStr">
        <is>
          <t xml:space="preserve">8ª/GRA/USA</t>
        </is>
      </c>
      <c r="B277" s="3" t="inlineStr">
        <is>
          <t xml:space="preserve">Unidade Regional de Patrimônio, Logística e Serviços Auxiliares</t>
        </is>
      </c>
    </row>
    <row r="278">
      <c r="A278" s="7" t="inlineStr">
        <is>
          <t xml:space="preserve">8ª/GRA/UTI</t>
        </is>
      </c>
      <c r="B278" s="6" t="inlineStr">
        <is>
          <t xml:space="preserve">Unidade Regional de Tecnologia da Informação</t>
        </is>
      </c>
    </row>
    <row r="279">
      <c r="A279" s="4" t="inlineStr">
        <is>
          <t xml:space="preserve">8ª/GRD</t>
        </is>
      </c>
      <c r="B279" s="3" t="inlineStr">
        <is>
          <t xml:space="preserve">Gerência Regional de Infraestrutura</t>
        </is>
      </c>
    </row>
    <row r="280">
      <c r="A280" s="7" t="inlineStr">
        <is>
          <t xml:space="preserve">8ª/GRD/UEP</t>
        </is>
      </c>
      <c r="B280" s="6" t="inlineStr">
        <is>
          <t xml:space="preserve">Unidade Regional de Estudos e Projetos</t>
        </is>
      </c>
    </row>
    <row r="281">
      <c r="A281" s="4" t="inlineStr">
        <is>
          <t xml:space="preserve">8ª/GRD/UIP</t>
        </is>
      </c>
      <c r="B281" s="3" t="inlineStr">
        <is>
          <t xml:space="preserve">Unidade Regional de Implantação e Acompanhamento de Projetos</t>
        </is>
      </c>
    </row>
    <row r="282">
      <c r="A282" s="7" t="inlineStr">
        <is>
          <t xml:space="preserve">8ª/GRD/UPS</t>
        </is>
      </c>
      <c r="B282" s="6" t="inlineStr">
        <is>
          <t xml:space="preserve">Unidade Regional de Projetos Especiais</t>
        </is>
      </c>
    </row>
    <row r="283">
      <c r="A283" s="4" t="inlineStr">
        <is>
          <t xml:space="preserve">8ª/GRG</t>
        </is>
      </c>
      <c r="B283" s="3" t="inlineStr">
        <is>
          <t xml:space="preserve">Gerência Regional de Estratégia e Finanças</t>
        </is>
      </c>
    </row>
    <row r="284">
      <c r="A284" s="7" t="inlineStr">
        <is>
          <t xml:space="preserve">8ª/GRG/UCB</t>
        </is>
      </c>
      <c r="B284" s="6" t="inlineStr">
        <is>
          <t xml:space="preserve">Unidade Regional de Contabilidade</t>
        </is>
      </c>
    </row>
    <row r="285">
      <c r="A285" s="4" t="inlineStr">
        <is>
          <t xml:space="preserve">8ª/GRG/UFN</t>
        </is>
      </c>
      <c r="B285" s="3" t="inlineStr">
        <is>
          <t xml:space="preserve">Unidade Regional de Finanças e Cobrança</t>
        </is>
      </c>
    </row>
    <row r="286">
      <c r="A286" s="7" t="inlineStr">
        <is>
          <t xml:space="preserve">8ª/GRG/UMC</t>
        </is>
      </c>
      <c r="B286" s="6" t="inlineStr">
        <is>
          <t xml:space="preserve">Unidade Regional de Monitoramento e de Controle de Contratos e Convênios</t>
        </is>
      </c>
    </row>
    <row r="287">
      <c r="A287" s="4" t="inlineStr">
        <is>
          <t xml:space="preserve">8ª/GRG/URO</t>
        </is>
      </c>
      <c r="B287" s="3" t="inlineStr">
        <is>
          <t xml:space="preserve">Unidade Regional Orçamentária</t>
        </is>
      </c>
    </row>
    <row r="288">
      <c r="A288" s="7" t="inlineStr">
        <is>
          <t xml:space="preserve">8ª/GRR</t>
        </is>
      </c>
      <c r="B288" s="6" t="inlineStr">
        <is>
          <t xml:space="preserve">Gerência Regional de Revitalização e Desenvolvimento Territorial</t>
        </is>
      </c>
    </row>
    <row r="289">
      <c r="A289" s="4" t="inlineStr">
        <is>
          <t xml:space="preserve">8ª/GRR/UDT</t>
        </is>
      </c>
      <c r="B289" s="3" t="inlineStr">
        <is>
          <t xml:space="preserve">Unidade Regional de Desenvolvimento Territorial</t>
        </is>
      </c>
    </row>
    <row r="290">
      <c r="A290" s="7" t="inlineStr">
        <is>
          <t xml:space="preserve">8ª/GRR/UES</t>
        </is>
      </c>
      <c r="B290" s="6" t="inlineStr">
        <is>
          <t xml:space="preserve">Unidade Regional de Empreendimentos Socioambientais</t>
        </is>
      </c>
    </row>
    <row r="291">
      <c r="A291" s="4" t="inlineStr">
        <is>
          <t xml:space="preserve">8ª/GRS</t>
        </is>
      </c>
      <c r="B291" s="3" t="inlineStr">
        <is>
          <t xml:space="preserve">Gerência Regional de Suporte Integrado</t>
        </is>
      </c>
    </row>
    <row r="292">
      <c r="A292" s="7" t="inlineStr">
        <is>
          <t xml:space="preserve">8ª/GRS/ULF</t>
        </is>
      </c>
      <c r="B292" s="6" t="inlineStr">
        <is>
          <t xml:space="preserve">Unidade Regional de Licenciamento Ambiental e Administração Fundiária</t>
        </is>
      </c>
    </row>
    <row r="293">
      <c r="A293" s="4" t="inlineStr">
        <is>
          <t xml:space="preserve">8ª/SL</t>
        </is>
      </c>
      <c r="B293" s="3" t="inlineStr">
        <is>
          <t xml:space="preserve">Secretaria Regional de Licitações</t>
        </is>
      </c>
    </row>
    <row r="294">
      <c r="A294" s="7" t="inlineStr">
        <is>
          <t xml:space="preserve">8ª/SR</t>
        </is>
      </c>
      <c r="B294" s="6" t="inlineStr">
        <is>
          <t xml:space="preserve">8ª Superintendência Regional</t>
        </is>
      </c>
    </row>
    <row r="295">
      <c r="A295" s="4" t="inlineStr">
        <is>
          <t xml:space="preserve">9ª/AJ</t>
        </is>
      </c>
      <c r="B295" s="3" t="inlineStr">
        <is>
          <t xml:space="preserve">Assessoria Jurídica Regional</t>
        </is>
      </c>
    </row>
    <row r="296">
      <c r="A296" s="7" t="inlineStr">
        <is>
          <t xml:space="preserve">9ª/Cogex</t>
        </is>
      </c>
      <c r="B296" s="6" t="inlineStr">
        <is>
          <t xml:space="preserve">Comitê de Gestão Executiva da Superintendência Regional</t>
        </is>
      </c>
    </row>
    <row r="297">
      <c r="A297" s="4" t="inlineStr">
        <is>
          <t xml:space="preserve">9ª/GB</t>
        </is>
      </c>
      <c r="B297" s="3" t="inlineStr">
        <is>
          <t xml:space="preserve">Gabinete da Superintendência Regional</t>
        </is>
      </c>
    </row>
    <row r="298">
      <c r="A298" s="7" t="inlineStr">
        <is>
          <t xml:space="preserve">9ª/GGR</t>
        </is>
      </c>
      <c r="B298" s="6" t="inlineStr">
        <is>
          <t xml:space="preserve">Gerência de Gestão Regional</t>
        </is>
      </c>
    </row>
    <row r="299">
      <c r="A299" s="4" t="inlineStr">
        <is>
          <t xml:space="preserve">9ª/GGR/UOF</t>
        </is>
      </c>
      <c r="B299" s="3" t="inlineStr">
        <is>
          <t xml:space="preserve">Unidade Regional de Orçamento e Finanças</t>
        </is>
      </c>
    </row>
    <row r="300">
      <c r="A300" s="7" t="inlineStr">
        <is>
          <t xml:space="preserve">9ª/GGR/UOF/SCO</t>
        </is>
      </c>
      <c r="B300" s="6" t="inlineStr">
        <is>
          <t xml:space="preserve">Setor de Contabilidade</t>
        </is>
      </c>
    </row>
    <row r="301">
      <c r="A301" s="4" t="inlineStr">
        <is>
          <t xml:space="preserve">9ª/GGR/URA</t>
        </is>
      </c>
      <c r="B301" s="3" t="inlineStr">
        <is>
          <t xml:space="preserve">Unidade Regional de Administração</t>
        </is>
      </c>
    </row>
    <row r="302">
      <c r="A302" s="7" t="inlineStr">
        <is>
          <t xml:space="preserve">9ª/GRD</t>
        </is>
      </c>
      <c r="B302" s="6" t="inlineStr">
        <is>
          <t xml:space="preserve">Gerência Regional de Infraestrutura</t>
        </is>
      </c>
    </row>
    <row r="303">
      <c r="A303" s="4" t="inlineStr">
        <is>
          <t xml:space="preserve">9ª/GRD/UEP</t>
        </is>
      </c>
      <c r="B303" s="3" t="inlineStr">
        <is>
          <t xml:space="preserve">Unidade Regional de Estudos e Projetos</t>
        </is>
      </c>
    </row>
    <row r="304">
      <c r="A304" s="7" t="inlineStr">
        <is>
          <t xml:space="preserve">9ª/GRD/UIP</t>
        </is>
      </c>
      <c r="B304" s="6" t="inlineStr">
        <is>
          <t xml:space="preserve">Unidade Regional de Implantação e Acompanhamento de Projetos</t>
        </is>
      </c>
    </row>
    <row r="305">
      <c r="A305" s="4" t="inlineStr">
        <is>
          <t xml:space="preserve">9ª/GRR</t>
        </is>
      </c>
      <c r="B305" s="3" t="inlineStr">
        <is>
          <t xml:space="preserve">Gerência Regional de Revitalização e Desenvolvimento Territorial</t>
        </is>
      </c>
    </row>
    <row r="306">
      <c r="A306" s="7" t="inlineStr">
        <is>
          <t xml:space="preserve">9ª/GRR/UDT</t>
        </is>
      </c>
      <c r="B306" s="6" t="inlineStr">
        <is>
          <t xml:space="preserve">Unidade Regional de Desenvolvimento Territorial</t>
        </is>
      </c>
    </row>
    <row r="307">
      <c r="A307" s="4" t="inlineStr">
        <is>
          <t xml:space="preserve">9ª/GRR/UES</t>
        </is>
      </c>
      <c r="B307" s="3" t="inlineStr">
        <is>
          <t xml:space="preserve">Unidade Regional de Empreendimentos Socioambientais</t>
        </is>
      </c>
    </row>
    <row r="308">
      <c r="A308" s="7" t="inlineStr">
        <is>
          <t xml:space="preserve">9ª/SL</t>
        </is>
      </c>
      <c r="B308" s="6" t="inlineStr">
        <is>
          <t xml:space="preserve">Secretaria Regional de Licitações</t>
        </is>
      </c>
    </row>
    <row r="309">
      <c r="A309" s="4" t="inlineStr">
        <is>
          <t xml:space="preserve">9ª/SR</t>
        </is>
      </c>
      <c r="B309" s="3" t="inlineStr">
        <is>
          <t xml:space="preserve">9ª Superintendência Regional</t>
        </is>
      </c>
    </row>
    <row r="310">
      <c r="A310" s="7" t="inlineStr">
        <is>
          <t xml:space="preserve">AA</t>
        </is>
      </c>
      <c r="B310" s="6" t="inlineStr">
        <is>
          <t xml:space="preserve">Área de Administração e Tecnologia</t>
        </is>
      </c>
    </row>
    <row r="311">
      <c r="A311" s="4" t="inlineStr">
        <is>
          <t xml:space="preserve">AA/GGP</t>
        </is>
      </c>
      <c r="B311" s="3" t="inlineStr">
        <is>
          <t xml:space="preserve">Gerência de Gestão de Pessoas</t>
        </is>
      </c>
    </row>
    <row r="312">
      <c r="A312" s="7" t="inlineStr">
        <is>
          <t xml:space="preserve">AA/GGP/UBS</t>
        </is>
      </c>
      <c r="B312" s="6" t="inlineStr">
        <is>
          <t xml:space="preserve">Unidade de Benefícios e Saúde Ocupacional</t>
        </is>
      </c>
    </row>
    <row r="313">
      <c r="A313" s="4" t="inlineStr">
        <is>
          <t xml:space="preserve">AA/GGP/UCP</t>
        </is>
      </c>
      <c r="B313" s="3" t="inlineStr">
        <is>
          <t xml:space="preserve">Unidade de Cadastro e Pagamento</t>
        </is>
      </c>
    </row>
    <row r="314">
      <c r="A314" s="7" t="inlineStr">
        <is>
          <t xml:space="preserve">AA/GGP/UDP</t>
        </is>
      </c>
      <c r="B314" s="6" t="inlineStr">
        <is>
          <t xml:space="preserve">Unidade de Desenvolvimento de Pessoas</t>
        </is>
      </c>
    </row>
    <row r="315">
      <c r="A315" s="4" t="inlineStr">
        <is>
          <t xml:space="preserve">AA/GGP/URT</t>
        </is>
      </c>
      <c r="B315" s="3" t="inlineStr">
        <is>
          <t xml:space="preserve">Unidade de Relações de Trabalho</t>
        </is>
      </c>
    </row>
    <row r="316">
      <c r="A316" s="7" t="inlineStr">
        <is>
          <t xml:space="preserve">AA/GPA</t>
        </is>
      </c>
      <c r="B316" s="6" t="inlineStr">
        <is>
          <t xml:space="preserve">Gerência de Patrimônio, Logística e Serviços Auxiliares</t>
        </is>
      </c>
    </row>
    <row r="317">
      <c r="A317" s="4" t="inlineStr">
        <is>
          <t xml:space="preserve">AA/GPA/SBI</t>
        </is>
      </c>
      <c r="B317" s="3" t="inlineStr">
        <is>
          <t xml:space="preserve">Setor de Biblioteca</t>
        </is>
      </c>
    </row>
    <row r="318">
      <c r="A318" s="7" t="inlineStr">
        <is>
          <t xml:space="preserve">AA/GPA/SDP</t>
        </is>
      </c>
      <c r="B318" s="6" t="inlineStr">
        <is>
          <t xml:space="preserve">Setor de Documentação e Protocolo</t>
        </is>
      </c>
    </row>
    <row r="319">
      <c r="A319" s="4" t="inlineStr">
        <is>
          <t xml:space="preserve">AA/GPA/UAL</t>
        </is>
      </c>
      <c r="B319" s="3" t="inlineStr">
        <is>
          <t xml:space="preserve">Unidade de Administração Predial e Logística</t>
        </is>
      </c>
    </row>
    <row r="320">
      <c r="A320" s="7" t="inlineStr">
        <is>
          <t xml:space="preserve">AA/GPA/UCS</t>
        </is>
      </c>
      <c r="B320" s="6" t="inlineStr">
        <is>
          <t xml:space="preserve">Unidade de Compras Administrativas</t>
        </is>
      </c>
    </row>
    <row r="321">
      <c r="A321" s="4" t="inlineStr">
        <is>
          <t xml:space="preserve">AA/GPA/UPM</t>
        </is>
      </c>
      <c r="B321" s="3" t="inlineStr">
        <is>
          <t xml:space="preserve">Unidade de Patrimônio e Material</t>
        </is>
      </c>
    </row>
    <row r="322">
      <c r="A322" s="7" t="inlineStr">
        <is>
          <t xml:space="preserve">AA/GTI</t>
        </is>
      </c>
      <c r="B322" s="6" t="inlineStr">
        <is>
          <t xml:space="preserve">Gerência de Tecnologia da Informação</t>
        </is>
      </c>
    </row>
    <row r="323">
      <c r="A323" s="4" t="inlineStr">
        <is>
          <t xml:space="preserve">AA/GTI/UIT</t>
        </is>
      </c>
      <c r="B323" s="3" t="inlineStr">
        <is>
          <t xml:space="preserve">Unidade de Infraestrutura e Tecnologia</t>
        </is>
      </c>
    </row>
    <row r="324">
      <c r="A324" s="7" t="inlineStr">
        <is>
          <t xml:space="preserve">AA/GTI/UPC</t>
        </is>
      </c>
      <c r="B324" s="6" t="inlineStr">
        <is>
          <t xml:space="preserve">Unidade de Conformidade e Controle de Tecnologia da Informação</t>
        </is>
      </c>
    </row>
    <row r="325">
      <c r="A325" s="4" t="inlineStr">
        <is>
          <t xml:space="preserve">AA/GTI/USC</t>
        </is>
      </c>
      <c r="B325" s="3" t="inlineStr">
        <is>
          <t xml:space="preserve">Unidade de Segurança Cibernética</t>
        </is>
      </c>
    </row>
    <row r="326">
      <c r="A326" s="7" t="inlineStr">
        <is>
          <t xml:space="preserve">AA/GTI/USI</t>
        </is>
      </c>
      <c r="B326" s="6" t="inlineStr">
        <is>
          <t xml:space="preserve">Unidade de Sistemas de Informações</t>
        </is>
      </c>
    </row>
    <row r="327">
      <c r="A327" s="4" t="inlineStr">
        <is>
          <t xml:space="preserve">AD</t>
        </is>
      </c>
      <c r="B327" s="3" t="inlineStr">
        <is>
          <t xml:space="preserve">Área de Desenvolvimento e Infraestrutura</t>
        </is>
      </c>
    </row>
    <row r="328">
      <c r="A328" s="7" t="inlineStr">
        <is>
          <t xml:space="preserve">AD/GEP</t>
        </is>
      </c>
      <c r="B328" s="6" t="inlineStr">
        <is>
          <t xml:space="preserve">Gerência de Estudos e Projetos</t>
        </is>
      </c>
    </row>
    <row r="329">
      <c r="A329" s="4" t="inlineStr">
        <is>
          <t xml:space="preserve">AD/GEP/UPE</t>
        </is>
      </c>
      <c r="B329" s="3" t="inlineStr">
        <is>
          <t xml:space="preserve">Unidade de Estudos e Projetos de Infraestrutura Urbana e Edificações</t>
        </is>
      </c>
    </row>
    <row r="330">
      <c r="A330" s="7" t="inlineStr">
        <is>
          <t xml:space="preserve">AD/GEP/UPH</t>
        </is>
      </c>
      <c r="B330" s="6" t="inlineStr">
        <is>
          <t xml:space="preserve">Unidade de Estudos e Projetos de Infraestrutura Hídrica e Irrigação</t>
        </is>
      </c>
    </row>
    <row r="331">
      <c r="A331" s="4" t="inlineStr">
        <is>
          <t xml:space="preserve">AD/GIM</t>
        </is>
      </c>
      <c r="B331" s="3" t="inlineStr">
        <is>
          <t xml:space="preserve">Gerência de Implantação de Obras</t>
        </is>
      </c>
    </row>
    <row r="332">
      <c r="A332" s="7" t="inlineStr">
        <is>
          <t xml:space="preserve">AD/GIM/UOE</t>
        </is>
      </c>
      <c r="B332" s="6" t="inlineStr">
        <is>
          <t xml:space="preserve">Unidade de Implantação de Obras de Infraestrutura Urbana e Edificações</t>
        </is>
      </c>
    </row>
    <row r="333">
      <c r="A333" s="4" t="inlineStr">
        <is>
          <t xml:space="preserve">AD/GIM/UOH</t>
        </is>
      </c>
      <c r="B333" s="3" t="inlineStr">
        <is>
          <t xml:space="preserve">Unidade de Implantação de Obras de Infraestrutura Hídrica e Irrigação</t>
        </is>
      </c>
    </row>
    <row r="334">
      <c r="A334" s="7" t="inlineStr">
        <is>
          <t xml:space="preserve">AD/GPI</t>
        </is>
      </c>
      <c r="B334" s="6" t="inlineStr">
        <is>
          <t xml:space="preserve">Gerência de Parcerias e Investimentos</t>
        </is>
      </c>
    </row>
    <row r="335">
      <c r="A335" s="4" t="inlineStr">
        <is>
          <t xml:space="preserve">AD/GQV</t>
        </is>
      </c>
      <c r="B335" s="3" t="inlineStr">
        <is>
          <t xml:space="preserve">Gerência de Qualificação Viária</t>
        </is>
      </c>
    </row>
    <row r="336">
      <c r="A336" s="7" t="inlineStr">
        <is>
          <t xml:space="preserve">AD/GQV/UGV</t>
        </is>
      </c>
      <c r="B336" s="6" t="inlineStr">
        <is>
          <t xml:space="preserve">Unidade de Gestão e Controle de Projetos de Qualificação Viária</t>
        </is>
      </c>
    </row>
    <row r="337">
      <c r="A337" s="4" t="inlineStr">
        <is>
          <t xml:space="preserve">AD/GQV/UIO</t>
        </is>
      </c>
      <c r="B337" s="3" t="inlineStr">
        <is>
          <t xml:space="preserve">Unidade de Implantação de Obras de Qualificação Viária</t>
        </is>
      </c>
    </row>
    <row r="338">
      <c r="A338" s="7" t="inlineStr">
        <is>
          <t xml:space="preserve">AD/SE</t>
        </is>
      </c>
      <c r="B338" s="6" t="inlineStr">
        <is>
          <t xml:space="preserve">Secretaria Executiva</t>
        </is>
      </c>
    </row>
    <row r="339">
      <c r="A339" s="4" t="inlineStr">
        <is>
          <t xml:space="preserve">AE</t>
        </is>
      </c>
      <c r="B339" s="3" t="inlineStr">
        <is>
          <t xml:space="preserve">Área de Estratégia e Finanças</t>
        </is>
      </c>
    </row>
    <row r="340">
      <c r="A340" s="7" t="inlineStr">
        <is>
          <t xml:space="preserve">AE/GCB</t>
        </is>
      </c>
      <c r="B340" s="6" t="inlineStr">
        <is>
          <t xml:space="preserve">Gerência de Contabilidade</t>
        </is>
      </c>
    </row>
    <row r="341">
      <c r="A341" s="4" t="inlineStr">
        <is>
          <t xml:space="preserve">AE/GCB/UCC</t>
        </is>
      </c>
      <c r="B341" s="3" t="inlineStr">
        <is>
          <t xml:space="preserve">Unidade de Conformidade Contábil</t>
        </is>
      </c>
    </row>
    <row r="342">
      <c r="A342" s="7" t="inlineStr">
        <is>
          <t xml:space="preserve">AE/GCB/UEC</t>
        </is>
      </c>
      <c r="B342" s="6" t="inlineStr">
        <is>
          <t xml:space="preserve">Unidade de Execução Contábil</t>
        </is>
      </c>
    </row>
    <row r="343">
      <c r="A343" s="4" t="inlineStr">
        <is>
          <t xml:space="preserve">AE/GCB/UER</t>
        </is>
      </c>
      <c r="B343" s="3" t="inlineStr">
        <is>
          <t xml:space="preserve">Unidade de Escrituração e Revisão Contábil</t>
        </is>
      </c>
    </row>
    <row r="344">
      <c r="A344" s="7" t="inlineStr">
        <is>
          <t xml:space="preserve">AE/GFN</t>
        </is>
      </c>
      <c r="B344" s="6" t="inlineStr">
        <is>
          <t xml:space="preserve">Gerência de Finanças</t>
        </is>
      </c>
    </row>
    <row r="345">
      <c r="A345" s="4" t="inlineStr">
        <is>
          <t xml:space="preserve">AE/GFN/UCR</t>
        </is>
      </c>
      <c r="B345" s="3" t="inlineStr">
        <is>
          <t xml:space="preserve">Unidade de Gestão da Cobrança</t>
        </is>
      </c>
    </row>
    <row r="346">
      <c r="A346" s="7" t="inlineStr">
        <is>
          <t xml:space="preserve">AE/GFN/UEF</t>
        </is>
      </c>
      <c r="B346" s="6" t="inlineStr">
        <is>
          <t xml:space="preserve">Unidade de Programação e Execução Financeira</t>
        </is>
      </c>
    </row>
    <row r="347">
      <c r="A347" s="4" t="inlineStr">
        <is>
          <t xml:space="preserve">AE/GGO</t>
        </is>
      </c>
      <c r="B347" s="3" t="inlineStr">
        <is>
          <t xml:space="preserve">Gerência de Gestão Orçamentária</t>
        </is>
      </c>
    </row>
    <row r="348">
      <c r="A348" s="7" t="inlineStr">
        <is>
          <t xml:space="preserve">AE/GGO/UEO</t>
        </is>
      </c>
      <c r="B348" s="6" t="inlineStr">
        <is>
          <t xml:space="preserve">Unidade de Execução Orçamentária</t>
        </is>
      </c>
    </row>
    <row r="349">
      <c r="A349" s="4" t="inlineStr">
        <is>
          <t xml:space="preserve">AE/GGO/UPO</t>
        </is>
      </c>
      <c r="B349" s="3" t="inlineStr">
        <is>
          <t xml:space="preserve">Unidade de Programação Orçamentária</t>
        </is>
      </c>
    </row>
    <row r="350">
      <c r="A350" s="7" t="inlineStr">
        <is>
          <t xml:space="preserve">AE/GPE</t>
        </is>
      </c>
      <c r="B350" s="6" t="inlineStr">
        <is>
          <t xml:space="preserve">Gerência de Planejamento Estratégico</t>
        </is>
      </c>
    </row>
    <row r="351">
      <c r="A351" s="4" t="inlineStr">
        <is>
          <t xml:space="preserve">AE/GPE/UAT</t>
        </is>
      </c>
      <c r="B351" s="3" t="inlineStr">
        <is>
          <t xml:space="preserve">Unidade de Acompanhamento de Transferências</t>
        </is>
      </c>
    </row>
    <row r="352">
      <c r="A352" s="7" t="inlineStr">
        <is>
          <t xml:space="preserve">AE/GPE/UNP</t>
        </is>
      </c>
      <c r="B352" s="6" t="inlineStr">
        <is>
          <t xml:space="preserve">Unidade de Gestão Normativa e de Processos</t>
        </is>
      </c>
    </row>
    <row r="353">
      <c r="A353" s="4" t="inlineStr">
        <is>
          <t xml:space="preserve">AE/GPE/UPL</t>
        </is>
      </c>
      <c r="B353" s="3" t="inlineStr">
        <is>
          <t xml:space="preserve">Unidade de Planejamento Institucional</t>
        </is>
      </c>
    </row>
    <row r="354">
      <c r="A354" s="7" t="inlineStr">
        <is>
          <t xml:space="preserve">AG</t>
        </is>
      </c>
      <c r="B354" s="6" t="inlineStr">
        <is>
          <t xml:space="preserve">Área de Governança e Sustentabilidade</t>
        </is>
      </c>
    </row>
    <row r="355">
      <c r="A355" s="4" t="inlineStr">
        <is>
          <t xml:space="preserve">AG/GAF</t>
        </is>
      </c>
      <c r="B355" s="3" t="inlineStr">
        <is>
          <t xml:space="preserve">Gerência de Administração Fundiária e Geotecnologia</t>
        </is>
      </c>
    </row>
    <row r="356">
      <c r="A356" s="7" t="inlineStr">
        <is>
          <t xml:space="preserve">AG/GAF/UDF</t>
        </is>
      </c>
      <c r="B356" s="6" t="inlineStr">
        <is>
          <t xml:space="preserve">Unidade de Documentação Fundiária</t>
        </is>
      </c>
    </row>
    <row r="357">
      <c r="A357" s="4" t="inlineStr">
        <is>
          <t xml:space="preserve">AG/GAF/UGG</t>
        </is>
      </c>
      <c r="B357" s="3" t="inlineStr">
        <is>
          <t xml:space="preserve">Unidade de Gestão Geotecnológica</t>
        </is>
      </c>
    </row>
    <row r="358">
      <c r="A358" s="7" t="inlineStr">
        <is>
          <t xml:space="preserve">AG/GCT</t>
        </is>
      </c>
      <c r="B358" s="6" t="inlineStr">
        <is>
          <t xml:space="preserve">Gerência de Custos</t>
        </is>
      </c>
    </row>
    <row r="359">
      <c r="A359" s="4" t="inlineStr">
        <is>
          <t xml:space="preserve">AG/GCT/UCT</t>
        </is>
      </c>
      <c r="B359" s="3" t="inlineStr">
        <is>
          <t xml:space="preserve">Unidade de Custos e Orçamentação</t>
        </is>
      </c>
    </row>
    <row r="360">
      <c r="A360" s="7" t="inlineStr">
        <is>
          <t xml:space="preserve">AG/GCT/UTR</t>
        </is>
      </c>
      <c r="B360" s="6" t="inlineStr">
        <is>
          <t xml:space="preserve">Unidade de Procedimentos Técnicos Referenciais</t>
        </is>
      </c>
    </row>
    <row r="361">
      <c r="A361" s="4" t="inlineStr">
        <is>
          <t xml:space="preserve">AG/GMA</t>
        </is>
      </c>
      <c r="B361" s="3" t="inlineStr">
        <is>
          <t xml:space="preserve">Gerência de Meio Ambiente</t>
        </is>
      </c>
    </row>
    <row r="362">
      <c r="A362" s="7" t="inlineStr">
        <is>
          <t xml:space="preserve">AG/GMA/UCA</t>
        </is>
      </c>
      <c r="B362" s="6" t="inlineStr">
        <is>
          <t xml:space="preserve">Unidade de Conservação Ambiental</t>
        </is>
      </c>
    </row>
    <row r="363">
      <c r="A363" s="4" t="inlineStr">
        <is>
          <t xml:space="preserve">AG/GMA/ULA</t>
        </is>
      </c>
      <c r="B363" s="3" t="inlineStr">
        <is>
          <t xml:space="preserve">Unidade de Licenciamento Ambiental</t>
        </is>
      </c>
    </row>
    <row r="364">
      <c r="A364" s="7" t="inlineStr">
        <is>
          <t xml:space="preserve">AG/SE</t>
        </is>
      </c>
      <c r="B364" s="6" t="inlineStr">
        <is>
          <t xml:space="preserve">Secretaria Executiva</t>
        </is>
      </c>
    </row>
    <row r="365">
      <c r="A365" s="4" t="inlineStr">
        <is>
          <t xml:space="preserve">AGE</t>
        </is>
      </c>
      <c r="B365" s="3" t="inlineStr">
        <is>
          <t xml:space="preserve">Assembleia Geral</t>
        </is>
      </c>
    </row>
    <row r="366">
      <c r="A366" s="7" t="inlineStr">
        <is>
          <t xml:space="preserve">AI</t>
        </is>
      </c>
      <c r="B366" s="6" t="inlineStr">
        <is>
          <t xml:space="preserve">Área de Irrigação e Operações</t>
        </is>
      </c>
    </row>
    <row r="367">
      <c r="A367" s="4" t="inlineStr">
        <is>
          <t xml:space="preserve">AI/GAP</t>
        </is>
      </c>
      <c r="B367" s="3" t="inlineStr">
        <is>
          <t xml:space="preserve">Gerência de Apoio à Produção Irrigada</t>
        </is>
      </c>
    </row>
    <row r="368">
      <c r="A368" s="7" t="inlineStr">
        <is>
          <t xml:space="preserve">AI/GAP/UGI</t>
        </is>
      </c>
      <c r="B368" s="6" t="inlineStr">
        <is>
          <t xml:space="preserve">Unidade de Gestão de Áreas Irrigadas</t>
        </is>
      </c>
    </row>
    <row r="369">
      <c r="A369" s="4" t="inlineStr">
        <is>
          <t xml:space="preserve">AI/GAP/UPI</t>
        </is>
      </c>
      <c r="B369" s="3" t="inlineStr">
        <is>
          <t xml:space="preserve">Unidade de Apoio aos Projetos Públicos de Irrigação</t>
        </is>
      </c>
    </row>
    <row r="370">
      <c r="A370" s="7" t="inlineStr">
        <is>
          <t xml:space="preserve">AI/GEE</t>
        </is>
      </c>
      <c r="B370" s="6" t="inlineStr">
        <is>
          <t xml:space="preserve">Gerência de Eficiência Energética</t>
        </is>
      </c>
    </row>
    <row r="371">
      <c r="A371" s="4" t="inlineStr">
        <is>
          <t xml:space="preserve">AI/GEE/UEE</t>
        </is>
      </c>
      <c r="B371" s="3" t="inlineStr">
        <is>
          <t xml:space="preserve">Unidade de Gestão de Energia e Apoio ao PISF</t>
        </is>
      </c>
    </row>
    <row r="372">
      <c r="A372" s="7" t="inlineStr">
        <is>
          <t xml:space="preserve">AI/GEE/USB</t>
        </is>
      </c>
      <c r="B372" s="6" t="inlineStr">
        <is>
          <t xml:space="preserve">Unidade de Gestão e Segurança de Barragens</t>
        </is>
      </c>
    </row>
    <row r="373">
      <c r="A373" s="4" t="inlineStr">
        <is>
          <t xml:space="preserve">AI/GGE</t>
        </is>
      </c>
      <c r="B373" s="3" t="inlineStr">
        <is>
          <t xml:space="preserve">Gerência de Gestão de Empreendimentos</t>
        </is>
      </c>
    </row>
    <row r="374">
      <c r="A374" s="7" t="inlineStr">
        <is>
          <t xml:space="preserve">AI/GGE/UGM</t>
        </is>
      </c>
      <c r="B374" s="6" t="inlineStr">
        <is>
          <t xml:space="preserve">Unidade de Gestão e Monitoramento de Empreendimentos</t>
        </is>
      </c>
    </row>
    <row r="375">
      <c r="A375" s="4" t="inlineStr">
        <is>
          <t xml:space="preserve">AI/GGE/UOR</t>
        </is>
      </c>
      <c r="B375" s="3" t="inlineStr">
        <is>
          <t xml:space="preserve">Unidade de Operação e Reabilitação de Empreendimentos</t>
        </is>
      </c>
    </row>
    <row r="376">
      <c r="A376" s="7" t="inlineStr">
        <is>
          <t xml:space="preserve">AI/SE</t>
        </is>
      </c>
      <c r="B376" s="6" t="inlineStr">
        <is>
          <t xml:space="preserve">Secretaria Executiva</t>
        </is>
      </c>
    </row>
    <row r="377">
      <c r="A377" s="4" t="inlineStr">
        <is>
          <t xml:space="preserve">AR</t>
        </is>
      </c>
      <c r="B377" s="3" t="inlineStr">
        <is>
          <t xml:space="preserve">Área de Revitalização e Desenvolvimento Territorial</t>
        </is>
      </c>
    </row>
    <row r="378">
      <c r="A378" s="7" t="inlineStr">
        <is>
          <t xml:space="preserve">AR/GDT</t>
        </is>
      </c>
      <c r="B378" s="6" t="inlineStr">
        <is>
          <t xml:space="preserve">Gerência de Desenvolvimento Territorial</t>
        </is>
      </c>
    </row>
    <row r="379">
      <c r="A379" s="4" t="inlineStr">
        <is>
          <t xml:space="preserve">AR/GDT/UAP</t>
        </is>
      </c>
      <c r="B379" s="3" t="inlineStr">
        <is>
          <t xml:space="preserve">Unidade de Desenvolvimento dos Arranjos Produtivos</t>
        </is>
      </c>
    </row>
    <row r="380">
      <c r="A380" s="7" t="inlineStr">
        <is>
          <t xml:space="preserve">AR/GDT/UPA</t>
        </is>
      </c>
      <c r="B380" s="6" t="inlineStr">
        <is>
          <t xml:space="preserve">Unidade de Recursos Pesqueiros, Aquicultura e Beneficiamento</t>
        </is>
      </c>
    </row>
    <row r="381">
      <c r="A381" s="4" t="inlineStr">
        <is>
          <t xml:space="preserve">AR/GMT</t>
        </is>
      </c>
      <c r="B381" s="3" t="inlineStr">
        <is>
          <t xml:space="preserve">Gerência de Mecanização e Modernização Territorial</t>
        </is>
      </c>
    </row>
    <row r="382">
      <c r="A382" s="7" t="inlineStr">
        <is>
          <t xml:space="preserve">AR/GMT/UCM</t>
        </is>
      </c>
      <c r="B382" s="6" t="inlineStr">
        <is>
          <t xml:space="preserve">Unidade de Gestão e Controle da Modernização Territorial</t>
        </is>
      </c>
    </row>
    <row r="383">
      <c r="A383" s="4" t="inlineStr">
        <is>
          <t xml:space="preserve">AR/GMT/UME</t>
        </is>
      </c>
      <c r="B383" s="3" t="inlineStr">
        <is>
          <t xml:space="preserve">Unidade de Aquisição de Máquinas e Equipamentos</t>
        </is>
      </c>
    </row>
    <row r="384">
      <c r="A384" s="7" t="inlineStr">
        <is>
          <t xml:space="preserve">AR/GSA</t>
        </is>
      </c>
      <c r="B384" s="6" t="inlineStr">
        <is>
          <t xml:space="preserve">Gerência de Saneamento e Acesso à Água</t>
        </is>
      </c>
    </row>
    <row r="385">
      <c r="A385" s="4" t="inlineStr">
        <is>
          <t xml:space="preserve">AR/GSA/UAS</t>
        </is>
      </c>
      <c r="B385" s="3" t="inlineStr">
        <is>
          <t xml:space="preserve">Unidade de Água e Saneamento Básico</t>
        </is>
      </c>
    </row>
    <row r="386">
      <c r="A386" s="7" t="inlineStr">
        <is>
          <t xml:space="preserve">AR/GSA/UEA</t>
        </is>
      </c>
      <c r="B386" s="6" t="inlineStr">
        <is>
          <t xml:space="preserve">Unidade de Esgotamento Rural e Acesso a Água</t>
        </is>
      </c>
    </row>
    <row r="387">
      <c r="A387" s="4" t="inlineStr">
        <is>
          <t xml:space="preserve">AR/SE</t>
        </is>
      </c>
      <c r="B387" s="3" t="inlineStr">
        <is>
          <t xml:space="preserve">Secretaria Executiva</t>
        </is>
      </c>
    </row>
    <row r="388">
      <c r="A388" s="7" t="inlineStr">
        <is>
          <t xml:space="preserve">CEC</t>
        </is>
      </c>
      <c r="B388" s="6" t="inlineStr">
        <is>
          <t xml:space="preserve">Comissão de Ética da Codevasf</t>
        </is>
      </c>
    </row>
    <row r="389">
      <c r="A389" s="4" t="inlineStr">
        <is>
          <t xml:space="preserve">Coaud</t>
        </is>
      </c>
      <c r="B389" s="3" t="inlineStr">
        <is>
          <t xml:space="preserve">Comitê de Auditoria Estatutário</t>
        </is>
      </c>
    </row>
    <row r="390">
      <c r="A390" s="7" t="inlineStr">
        <is>
          <t xml:space="preserve">Cogid</t>
        </is>
      </c>
      <c r="B390" s="6" t="inlineStr">
        <is>
          <t xml:space="preserve">Comitê de Governança Interna e Digital</t>
        </is>
      </c>
    </row>
    <row r="391">
      <c r="A391" s="4" t="inlineStr">
        <is>
          <t xml:space="preserve">Cogid/SPDP</t>
        </is>
      </c>
      <c r="B391" s="3" t="inlineStr">
        <is>
          <t xml:space="preserve">Subcomitê de Proteção de Dados Pessoais</t>
        </is>
      </c>
    </row>
    <row r="392">
      <c r="A392" s="7" t="inlineStr">
        <is>
          <t xml:space="preserve">Cogid/SSI</t>
        </is>
      </c>
      <c r="B392" s="6" t="inlineStr">
        <is>
          <t xml:space="preserve">Subcomitê de Segurança da Informação</t>
        </is>
      </c>
    </row>
    <row r="393">
      <c r="A393" s="4" t="inlineStr">
        <is>
          <t xml:space="preserve">Cogid/STIC</t>
        </is>
      </c>
      <c r="B393" s="3" t="inlineStr">
        <is>
          <t xml:space="preserve">Subcomitê de Tecnologia da Informação</t>
        </is>
      </c>
    </row>
    <row r="394">
      <c r="A394" s="7" t="inlineStr">
        <is>
          <t xml:space="preserve">Confis</t>
        </is>
      </c>
      <c r="B394" s="6" t="inlineStr">
        <is>
          <t xml:space="preserve">Conselho Fiscal</t>
        </is>
      </c>
    </row>
    <row r="395">
      <c r="A395" s="4" t="inlineStr">
        <is>
          <t xml:space="preserve">Consad</t>
        </is>
      </c>
      <c r="B395" s="3" t="inlineStr">
        <is>
          <t xml:space="preserve">Conselho de Administração</t>
        </is>
      </c>
    </row>
    <row r="396">
      <c r="A396" s="7" t="inlineStr">
        <is>
          <t xml:space="preserve">Consad/AUD</t>
        </is>
      </c>
      <c r="B396" s="6" t="inlineStr">
        <is>
          <t xml:space="preserve">Auditoria Interna</t>
        </is>
      </c>
    </row>
    <row r="397">
      <c r="A397" s="4" t="inlineStr">
        <is>
          <t xml:space="preserve">Consad/AUD/UGE</t>
        </is>
      </c>
      <c r="B397" s="3" t="inlineStr">
        <is>
          <t xml:space="preserve">Unidade de Acompanhamento e Avaliação da Gestão</t>
        </is>
      </c>
    </row>
    <row r="398">
      <c r="A398" s="7" t="inlineStr">
        <is>
          <t xml:space="preserve">Consad/AUD/UIN</t>
        </is>
      </c>
      <c r="B398" s="6" t="inlineStr">
        <is>
          <t xml:space="preserve">Unidade de Apoio e Informação</t>
        </is>
      </c>
    </row>
    <row r="399">
      <c r="A399" s="4" t="inlineStr">
        <is>
          <t xml:space="preserve">Consad/AUD/UPR</t>
        </is>
      </c>
      <c r="B399" s="3" t="inlineStr">
        <is>
          <t xml:space="preserve">Unidade de Acompanhamento e Avaliação de Programas</t>
        </is>
      </c>
    </row>
    <row r="400">
      <c r="A400" s="7" t="inlineStr">
        <is>
          <t xml:space="preserve">Consad/COR</t>
        </is>
      </c>
      <c r="B400" s="6" t="inlineStr">
        <is>
          <t xml:space="preserve">Corregedoria</t>
        </is>
      </c>
    </row>
    <row r="401">
      <c r="A401" s="4" t="inlineStr">
        <is>
          <t xml:space="preserve">Consad/COR/UIV</t>
        </is>
      </c>
      <c r="B401" s="3" t="inlineStr">
        <is>
          <t xml:space="preserve">Unidade Especial de Admissibilidade e Investigação</t>
        </is>
      </c>
    </row>
    <row r="402">
      <c r="A402" s="7" t="inlineStr">
        <is>
          <t xml:space="preserve">Consad/COR/UPJ</t>
        </is>
      </c>
      <c r="B402" s="6" t="inlineStr">
        <is>
          <t xml:space="preserve">Unidade Especial de Processos Acusatórios e Julgamento</t>
        </is>
      </c>
    </row>
    <row r="403">
      <c r="A403" s="4" t="inlineStr">
        <is>
          <t xml:space="preserve">Consad/OUV</t>
        </is>
      </c>
      <c r="B403" s="3" t="inlineStr">
        <is>
          <t xml:space="preserve">Ouvidoria</t>
        </is>
      </c>
    </row>
    <row r="404">
      <c r="A404" s="7" t="inlineStr">
        <is>
          <t xml:space="preserve">Copes</t>
        </is>
      </c>
      <c r="B404" s="6" t="inlineStr">
        <is>
          <t xml:space="preserve">Comitê de Pessoas, Elegibilidade, Sucessão e Remuneração</t>
        </is>
      </c>
    </row>
    <row r="405">
      <c r="A405" s="4" t="inlineStr">
        <is>
          <t xml:space="preserve">DEX</t>
        </is>
      </c>
      <c r="B405" s="3" t="inlineStr">
        <is>
          <t xml:space="preserve">Diretoria Executiva</t>
        </is>
      </c>
    </row>
    <row r="406">
      <c r="A406" s="7" t="inlineStr">
        <is>
          <t xml:space="preserve">PR</t>
        </is>
      </c>
      <c r="B406" s="6" t="inlineStr">
        <is>
          <t xml:space="preserve">Presidência</t>
        </is>
      </c>
    </row>
    <row r="407">
      <c r="A407" s="4" t="inlineStr">
        <is>
          <t xml:space="preserve">PR/AC</t>
        </is>
      </c>
      <c r="B407" s="3" t="inlineStr">
        <is>
          <t xml:space="preserve">Assessoria de Comunicação</t>
        </is>
      </c>
    </row>
    <row r="408">
      <c r="A408" s="7" t="inlineStr">
        <is>
          <t xml:space="preserve">PR/AC/UCE</t>
        </is>
      </c>
      <c r="B408" s="6" t="inlineStr">
        <is>
          <t xml:space="preserve">Unidade Especial de Cerimonial e Eventos</t>
        </is>
      </c>
    </row>
    <row r="409">
      <c r="A409" s="4" t="inlineStr">
        <is>
          <t xml:space="preserve">PR/AC/UIM</t>
        </is>
      </c>
      <c r="B409" s="3" t="inlineStr">
        <is>
          <t xml:space="preserve">Unidade Especial de Imagem e Promoção Institucional</t>
        </is>
      </c>
    </row>
    <row r="410">
      <c r="A410" s="7" t="inlineStr">
        <is>
          <t xml:space="preserve">PR/AJ</t>
        </is>
      </c>
      <c r="B410" s="6" t="inlineStr">
        <is>
          <t xml:space="preserve">Assessoria Jurídica</t>
        </is>
      </c>
    </row>
    <row r="411">
      <c r="A411" s="4" t="inlineStr">
        <is>
          <t xml:space="preserve">PR/AJ/UAA</t>
        </is>
      </c>
      <c r="B411" s="3" t="inlineStr">
        <is>
          <t xml:space="preserve">Unidade de Assuntos Administrativos</t>
        </is>
      </c>
    </row>
    <row r="412">
      <c r="A412" s="7" t="inlineStr">
        <is>
          <t xml:space="preserve">PR/AJ/UCO</t>
        </is>
      </c>
      <c r="B412" s="6" t="inlineStr">
        <is>
          <t xml:space="preserve">Unidade do Contencioso</t>
        </is>
      </c>
    </row>
    <row r="413">
      <c r="A413" s="4" t="inlineStr">
        <is>
          <t xml:space="preserve">PR/EBE</t>
        </is>
      </c>
      <c r="B413" s="3" t="inlineStr">
        <is>
          <t xml:space="preserve">Escritório de Representação de Belém</t>
        </is>
      </c>
    </row>
    <row r="414">
      <c r="A414" s="7" t="inlineStr">
        <is>
          <t xml:space="preserve">PR/GB</t>
        </is>
      </c>
      <c r="B414" s="6" t="inlineStr">
        <is>
          <t xml:space="preserve">Gabinete da Presidência</t>
        </is>
      </c>
    </row>
    <row r="415">
      <c r="A415" s="4" t="inlineStr">
        <is>
          <t xml:space="preserve">PR/SC</t>
        </is>
      </c>
      <c r="B415" s="3" t="inlineStr">
        <is>
          <t xml:space="preserve">Secretaria de Órgãos Colegiados</t>
        </is>
      </c>
    </row>
    <row r="416">
      <c r="A416" s="7" t="inlineStr">
        <is>
          <t xml:space="preserve">PR/SI</t>
        </is>
      </c>
      <c r="B416" s="6" t="inlineStr">
        <is>
          <t xml:space="preserve">Secretaria de Integridade</t>
        </is>
      </c>
    </row>
    <row r="417">
      <c r="A417" s="4" t="inlineStr">
        <is>
          <t xml:space="preserve">PR/SLC</t>
        </is>
      </c>
      <c r="B417" s="3" t="inlineStr">
        <is>
          <t xml:space="preserve">Secretaria de Licitações e Contratos</t>
        </is>
      </c>
    </row>
    <row r="418">
      <c r="A418" s="7" t="inlineStr">
        <is>
          <t xml:space="preserve">PR/SLC/UGC</t>
        </is>
      </c>
      <c r="B418" s="6" t="inlineStr">
        <is>
          <t xml:space="preserve">Unidade Especial de Gestão de Contratos</t>
        </is>
      </c>
    </row>
    <row r="419">
      <c r="A419" s="4" t="inlineStr">
        <is>
          <t xml:space="preserve">PR/SLC/UGL</t>
        </is>
      </c>
      <c r="B419" s="3" t="inlineStr">
        <is>
          <t xml:space="preserve">Unidade Especial de Gestão de Licitações</t>
        </is>
      </c>
    </row>
    <row r="420">
      <c r="A420" s="7" t="inlineStr">
        <is>
          <t xml:space="preserve">PR/SRC</t>
        </is>
      </c>
      <c r="B420" s="6" t="inlineStr">
        <is>
          <t xml:space="preserve">Secretaria de Gestão de Riscos e Controle Interno</t>
        </is>
      </c>
    </row>
    <row r="421">
      <c r="A421" s="4" t="inlineStr">
        <is>
          <t xml:space="preserve">PR/SRC/UGR</t>
        </is>
      </c>
      <c r="B421" s="3" t="inlineStr">
        <is>
          <t xml:space="preserve">Unidade Especial de Gerenciamento de Riscos Corporativos</t>
        </is>
      </c>
    </row>
  </sheetData>
  <autoFilter ref="A1:B1"/>
</worksheet>
</file>

<file path=xl/worksheets/sheet23.xml><?xml version="1.0" encoding="utf-8"?>
<worksheet xmlns="http://schemas.openxmlformats.org/spreadsheetml/2006/main">
  <sheetPr>
    <tabColor rgb="FF888888"/>
  </sheetPr>
  <dimension ref="A1:B8"/>
  <sheetViews>
    <sheetView workbookViewId="0" zoomScale="90">
      <pane ySplit="1" topLeftCell="A2" activePane="bottomLeft" state="frozen"/>
      <selection pane="bottomLeft"/>
    </sheetView>
  </sheetViews>
  <cols>
    <col min="1" max="1" width="24" customWidth="1"/>
    <col min="2" max="2" width="90" customWidth="1"/>
  </cols>
  <sheetData>
    <row r="1">
      <c r="A1" s="1" t="inlineStr">
        <is>
          <t xml:space="preserve">Chave</t>
        </is>
      </c>
      <c r="B1" s="1" t="inlineStr">
        <is>
          <t xml:space="preserve">Valor</t>
        </is>
      </c>
    </row>
    <row r="2">
      <c r="A2" s="7" t="inlineStr">
        <is>
          <t xml:space="preserve">Contato_Unidade</t>
        </is>
      </c>
      <c r="B2" s="6" t="inlineStr">
        <is>
          <t xml:space="preserve">Unidade de Gestão Normativa e de Processos (AE/GPE/UNP)</t>
        </is>
      </c>
    </row>
    <row r="3">
      <c r="A3" s="4" t="inlineStr">
        <is>
          <t xml:space="preserve">Contato_Email</t>
        </is>
      </c>
      <c r="B3" s="3" t="inlineStr">
        <is>
          <t xml:space="preserve">ae.gpe.unp@codevasf.gov.br</t>
        </is>
      </c>
    </row>
    <row r="4">
      <c r="A4" s="7" t="inlineStr">
        <is>
          <t xml:space="preserve">Contato_Telefone</t>
        </is>
      </c>
      <c r="B4" s="6" t="inlineStr">
        <is>
          <t xml:space="preserve">(61) 2028-4441</t>
        </is>
      </c>
    </row>
    <row r="5">
      <c r="A5" s="4" t="inlineStr">
        <is>
          <t xml:space="preserve">Link_Metodologia</t>
        </is>
      </c>
      <c r="B5" s="3" t="inlineStr">
        <is>
          <t xml:space="preserve">https://intraplone.codevasf.gov.br/documentos_normativos_referencia/governanca-e-gestao/copy_of_planos/met_gerenciamento-processos_res-031_2025-01-08.pdf</t>
        </is>
      </c>
    </row>
    <row r="6">
      <c r="A6" s="7" t="inlineStr">
        <is>
          <t xml:space="preserve">Link_Guia</t>
        </is>
      </c>
      <c r="B6" s="6" t="inlineStr">
        <is>
          <t xml:space="preserve">https://intraplone.codevasf.gov.br/documentos_normativos_referencia/governanca-e-gestao/copy_of_planos/guia_gerenciamento-processos_res-031_2025-01-08.pdf</t>
        </is>
      </c>
    </row>
    <row r="7">
      <c r="A7" s="4" t="inlineStr">
        <is>
          <t xml:space="preserve">Titulo_Inicio</t>
        </is>
      </c>
      <c r="B7" s="3" t="inlineStr">
        <is>
          <t xml:space="preserve">Mapeamento de processos da Codevasf</t>
        </is>
      </c>
    </row>
    <row r="8">
      <c r="A8" s="7" t="inlineStr">
        <is>
          <t xml:space="preserve">Titulo_Repositorio</t>
        </is>
      </c>
      <c r="B8" s="6" t="inlineStr">
        <is>
          <t xml:space="preserve">Repositório de materiais e ferramentas</t>
        </is>
      </c>
    </row>
  </sheetData>
  <autoFilter ref="A1:B1"/>
</worksheet>
</file>

<file path=xl/worksheets/sheet24.xml><?xml version="1.0" encoding="utf-8"?>
<worksheet xmlns="http://schemas.openxmlformats.org/spreadsheetml/2006/main">
  <sheetPr>
    <tabColor rgb="FF888888"/>
  </sheetPr>
  <dimension ref="A1:X12"/>
  <sheetViews>
    <sheetView workbookViewId="0" zoomScale="90">
      <pane ySplit="1" topLeftCell="A2" activePane="bottomLeft" state="frozen"/>
      <selection pane="bottomLeft"/>
    </sheetView>
  </sheetViews>
  <cols>
    <col min="1" max="1" width="23" customWidth="1"/>
    <col min="2" max="2" width="17" customWidth="1"/>
    <col min="3" max="3" width="14" customWidth="1"/>
    <col min="4" max="4" width="14" customWidth="1"/>
    <col min="5" max="5" width="19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/>
    <col min="11" max="11" width="14" customWidth="1"/>
    <col min="12" max="12" width="18" customWidth="1"/>
    <col min="13" max="13" width="15" customWidth="1"/>
    <col min="14" max="14" width="14" customWidth="1"/>
    <col min="15" max="15" width="14" customWidth="1"/>
    <col min="16" max="16" width="17" customWidth="1"/>
    <col min="17" max="17" width="14" customWidth="1"/>
    <col min="18" max="18" width="14" customWidth="1"/>
    <col min="19" max="19" width="14" customWidth="1"/>
    <col min="20" max="20" width="16" customWidth="1"/>
    <col min="21" max="21" width="15" customWidth="1"/>
    <col min="22" max="22" width="21" customWidth="1"/>
    <col min="23" max="23" width="16" customWidth="1"/>
    <col min="24" max="24" width="14" customWidth="1"/>
  </cols>
  <sheetData>
    <row r="1">
      <c r="A1" s="1" t="inlineStr">
        <is>
          <t xml:space="preserve">Categoria_Macroprocesso</t>
        </is>
      </c>
      <c r="B1" s="1" t="inlineStr">
        <is>
          <t xml:space="preserve">Status_Mapeamento</t>
        </is>
      </c>
      <c r="C1" s="1" t="inlineStr">
        <is>
          <t xml:space="preserve">Prioridade</t>
        </is>
      </c>
      <c r="D1" s="1" t="inlineStr">
        <is>
          <t xml:space="preserve">Complexidade</t>
        </is>
      </c>
      <c r="E1" s="1" t="inlineStr">
        <is>
          <t xml:space="preserve">Maturidade_Processo</t>
        </is>
      </c>
      <c r="F1" s="1" t="inlineStr">
        <is>
          <t xml:space="preserve">Sim_Nao</t>
        </is>
      </c>
      <c r="G1" s="1" t="inlineStr">
        <is>
          <t xml:space="preserve">Status_Marco</t>
        </is>
      </c>
      <c r="H1" s="1" t="inlineStr">
        <is>
          <t xml:space="preserve">Nivel_Vinculo</t>
        </is>
      </c>
      <c r="I1" s="1" t="inlineStr">
        <is>
          <t xml:space="preserve">Tipo_Atividade</t>
        </is>
      </c>
      <c r="J1" s="1" t="inlineStr">
        <is>
          <t xml:space="preserve">Tipo_Tarefa</t>
        </is>
      </c>
      <c r="K1" s="1" t="inlineStr">
        <is>
          <t xml:space="preserve">Tipo_Documento</t>
        </is>
      </c>
      <c r="L1" s="1" t="inlineStr">
        <is>
          <t xml:space="preserve">Situacao_Documento</t>
        </is>
      </c>
      <c r="M1" s="1" t="inlineStr">
        <is>
          <t xml:space="preserve">Categoria_Risco</t>
        </is>
      </c>
      <c r="N1" s="1" t="inlineStr">
        <is>
          <t xml:space="preserve">Resposta_Risco</t>
        </is>
      </c>
      <c r="O1" s="1" t="inlineStr">
        <is>
          <t xml:space="preserve">Status_Risco</t>
        </is>
      </c>
      <c r="P1" s="1" t="inlineStr">
        <is>
          <t xml:space="preserve">Envolvimento_RACI</t>
        </is>
      </c>
      <c r="Q1" s="1" t="inlineStr">
        <is>
          <t xml:space="preserve">Tipo_Regra</t>
        </is>
      </c>
      <c r="R1" s="1" t="inlineStr">
        <is>
          <t xml:space="preserve">Polaridade</t>
        </is>
      </c>
      <c r="S1" s="1" t="inlineStr">
        <is>
          <t xml:space="preserve">Periodicidade</t>
        </is>
      </c>
      <c r="T1" s="1" t="inlineStr">
        <is>
          <t xml:space="preserve">Situacao_Cultura</t>
        </is>
      </c>
      <c r="U1" s="1" t="inlineStr">
        <is>
          <t xml:space="preserve">Tipo_Iniciativa</t>
        </is>
      </c>
      <c r="V1" s="1" t="inlineStr">
        <is>
          <t xml:space="preserve">Categoria_Repositorio</t>
        </is>
      </c>
      <c r="W1" s="1" t="inlineStr">
        <is>
          <t xml:space="preserve">Fase_Instrumento</t>
        </is>
      </c>
      <c r="X1" s="1" t="inlineStr">
        <is>
          <t xml:space="preserve">Categoria_FAQ</t>
        </is>
      </c>
    </row>
    <row r="2">
      <c r="A2" s="6" t="inlineStr">
        <is>
          <t xml:space="preserve">Gerencial</t>
        </is>
      </c>
      <c r="B2" s="6" t="inlineStr">
        <is>
          <t xml:space="preserve">Não iniciado</t>
        </is>
      </c>
      <c r="C2" s="6" t="inlineStr">
        <is>
          <t xml:space="preserve">Alta</t>
        </is>
      </c>
      <c r="D2" s="6" t="inlineStr">
        <is>
          <t xml:space="preserve">Alta</t>
        </is>
      </c>
      <c r="E2" s="6" t="inlineStr">
        <is>
          <t xml:space="preserve">Inicial</t>
        </is>
      </c>
      <c r="F2" s="6" t="inlineStr">
        <is>
          <t xml:space="preserve">Sim</t>
        </is>
      </c>
      <c r="G2" s="6" t="inlineStr">
        <is>
          <t xml:space="preserve">Sim</t>
        </is>
      </c>
      <c r="H2" s="6" t="inlineStr">
        <is>
          <t xml:space="preserve">Macroprocesso</t>
        </is>
      </c>
      <c r="I2" s="6" t="inlineStr">
        <is>
          <t xml:space="preserve">Agregação de Valor</t>
        </is>
      </c>
      <c r="J2" s="6" t="inlineStr">
        <is>
          <t xml:space="preserve">Manual</t>
        </is>
      </c>
      <c r="K2" s="6" t="inlineStr">
        <is>
          <t xml:space="preserve">Procedimento (PRO)</t>
        </is>
      </c>
      <c r="L2" s="6" t="inlineStr">
        <is>
          <t xml:space="preserve">Vigente</t>
        </is>
      </c>
      <c r="M2" s="6" t="inlineStr">
        <is>
          <t xml:space="preserve">Operacional</t>
        </is>
      </c>
      <c r="N2" s="6" t="inlineStr">
        <is>
          <t xml:space="preserve">Mitigar</t>
        </is>
      </c>
      <c r="O2" s="6" t="inlineStr">
        <is>
          <t xml:space="preserve">Aberto</t>
        </is>
      </c>
      <c r="P2" s="6" t="inlineStr">
        <is>
          <t xml:space="preserve">Executa (R)</t>
        </is>
      </c>
      <c r="Q2" s="6" t="inlineStr">
        <is>
          <t xml:space="preserve">Operação</t>
        </is>
      </c>
      <c r="R2" s="6" t="inlineStr">
        <is>
          <t xml:space="preserve">Maior melhor</t>
        </is>
      </c>
      <c r="S2" s="6" t="inlineStr">
        <is>
          <t xml:space="preserve">Mensal</t>
        </is>
      </c>
      <c r="T2" s="6" t="inlineStr">
        <is>
          <t xml:space="preserve">Sim</t>
        </is>
      </c>
      <c r="U2" s="6" t="inlineStr">
        <is>
          <t xml:space="preserve">Automação</t>
        </is>
      </c>
      <c r="V2" s="6" t="inlineStr">
        <is>
          <t xml:space="preserve">Documento oficial</t>
        </is>
      </c>
      <c r="W2" s="6" t="inlineStr">
        <is>
          <t xml:space="preserve">Planejamento</t>
        </is>
      </c>
      <c r="X2" s="6" t="inlineStr">
        <is>
          <t xml:space="preserve">Conceitos básicos</t>
        </is>
      </c>
    </row>
    <row r="3">
      <c r="A3" s="3" t="inlineStr">
        <is>
          <t xml:space="preserve">Finalístico</t>
        </is>
      </c>
      <c r="B3" s="3" t="inlineStr">
        <is>
          <t xml:space="preserve">Em andamento</t>
        </is>
      </c>
      <c r="C3" s="3" t="inlineStr">
        <is>
          <t xml:space="preserve">Média</t>
        </is>
      </c>
      <c r="D3" s="3" t="inlineStr">
        <is>
          <t xml:space="preserve">Média</t>
        </is>
      </c>
      <c r="E3" s="3" t="inlineStr">
        <is>
          <t xml:space="preserve">Repetível</t>
        </is>
      </c>
      <c r="F3" s="3" t="inlineStr">
        <is>
          <t xml:space="preserve">Não</t>
        </is>
      </c>
      <c r="G3" s="3" t="inlineStr">
        <is>
          <t xml:space="preserve">Em andamento</t>
        </is>
      </c>
      <c r="H3" s="3" t="inlineStr">
        <is>
          <t xml:space="preserve">Processo</t>
        </is>
      </c>
      <c r="I3" s="3" t="inlineStr">
        <is>
          <t xml:space="preserve">Transferência</t>
        </is>
      </c>
      <c r="J3" s="3" t="inlineStr">
        <is>
          <t xml:space="preserve">Automatizada</t>
        </is>
      </c>
      <c r="K3" s="3" t="inlineStr">
        <is>
          <t xml:space="preserve">Manual</t>
        </is>
      </c>
      <c r="L3" s="3" t="inlineStr">
        <is>
          <t xml:space="preserve">Em elaboração</t>
        </is>
      </c>
      <c r="M3" s="3" t="inlineStr">
        <is>
          <t xml:space="preserve">Legal/Conformidade</t>
        </is>
      </c>
      <c r="N3" s="3" t="inlineStr">
        <is>
          <t xml:space="preserve">Aceitar</t>
        </is>
      </c>
      <c r="O3" s="3" t="inlineStr">
        <is>
          <t xml:space="preserve">Em tratamento</t>
        </is>
      </c>
      <c r="P3" s="3" t="inlineStr">
        <is>
          <t xml:space="preserve">Aprova (A)</t>
        </is>
      </c>
      <c r="Q3" s="3" t="inlineStr">
        <is>
          <t xml:space="preserve">Regulatória</t>
        </is>
      </c>
      <c r="R3" s="3" t="inlineStr">
        <is>
          <t xml:space="preserve">Menor melhor</t>
        </is>
      </c>
      <c r="S3" s="3" t="inlineStr">
        <is>
          <t xml:space="preserve">Bimestral</t>
        </is>
      </c>
      <c r="T3" s="3" t="inlineStr">
        <is>
          <t xml:space="preserve">Não</t>
        </is>
      </c>
      <c r="U3" s="3" t="inlineStr">
        <is>
          <t xml:space="preserve">Reaproveitamento de modelo</t>
        </is>
      </c>
      <c r="V3" s="3" t="inlineStr">
        <is>
          <t xml:space="preserve">Template</t>
        </is>
      </c>
      <c r="W3" s="3" t="inlineStr">
        <is>
          <t xml:space="preserve">Análise</t>
        </is>
      </c>
      <c r="X3" s="3" t="inlineStr">
        <is>
          <t xml:space="preserve">Modelagem e SIPOC</t>
        </is>
      </c>
    </row>
    <row r="4">
      <c r="A4" s="6" t="inlineStr">
        <is>
          <t xml:space="preserve">Suporte</t>
        </is>
      </c>
      <c r="B4" s="6" t="inlineStr">
        <is>
          <t xml:space="preserve">Concluído</t>
        </is>
      </c>
      <c r="C4" s="6" t="inlineStr">
        <is>
          <t xml:space="preserve">Baixa</t>
        </is>
      </c>
      <c r="D4" s="6" t="inlineStr">
        <is>
          <t xml:space="preserve">Baixa</t>
        </is>
      </c>
      <c r="E4" s="6" t="inlineStr">
        <is>
          <t xml:space="preserve">Definido</t>
        </is>
      </c>
      <c r="F4" s="6" t="inlineStr">
        <is>
          <t xml:space="preserve">Não se aplica</t>
        </is>
      </c>
      <c r="G4" s="6" t="inlineStr">
        <is>
          <t xml:space="preserve">Não</t>
        </is>
      </c>
      <c r="H4" s="6" t="inlineStr">
        <is>
          <t xml:space="preserve">Subprocesso</t>
        </is>
      </c>
      <c r="I4" s="6" t="inlineStr">
        <is>
          <t xml:space="preserve">Controle</t>
        </is>
      </c>
      <c r="J4" s="6" t="inlineStr">
        <is>
          <t xml:space="preserve">Regra de negócio</t>
        </is>
      </c>
      <c r="K4" s="6" t="inlineStr">
        <is>
          <t xml:space="preserve">Norma interna</t>
        </is>
      </c>
      <c r="L4" s="6" t="inlineStr">
        <is>
          <t xml:space="preserve">Em revisão</t>
        </is>
      </c>
      <c r="M4" s="6" t="inlineStr">
        <is>
          <t xml:space="preserve">Pessoas</t>
        </is>
      </c>
      <c r="N4" s="6" t="inlineStr">
        <is>
          <t xml:space="preserve">Transferir</t>
        </is>
      </c>
      <c r="O4" s="6" t="inlineStr">
        <is>
          <t xml:space="preserve">Encerrado</t>
        </is>
      </c>
      <c r="P4" s="6" t="inlineStr">
        <is>
          <t xml:space="preserve">Consultado (C)</t>
        </is>
      </c>
      <c r="Q4" s="6" t="inlineStr">
        <is>
          <t xml:space="preserve">Cálculo</t>
        </is>
      </c>
      <c r="S4" s="6" t="inlineStr">
        <is>
          <t xml:space="preserve">Trimestral</t>
        </is>
      </c>
      <c r="T4" s="6" t="inlineStr">
        <is>
          <t xml:space="preserve">Não avaliado</t>
        </is>
      </c>
      <c r="U4" s="6" t="inlineStr">
        <is>
          <t xml:space="preserve">Decisão de governança</t>
        </is>
      </c>
      <c r="V4" s="6" t="inlineStr">
        <is>
          <t xml:space="preserve">Instrumento</t>
        </is>
      </c>
      <c r="W4" s="6" t="inlineStr">
        <is>
          <t xml:space="preserve">Desenho</t>
        </is>
      </c>
      <c r="X4" s="6" t="inlineStr">
        <is>
          <t xml:space="preserve">Cadeia de Valor e governança</t>
        </is>
      </c>
    </row>
    <row r="5">
      <c r="B5" s="3" t="inlineStr">
        <is>
          <t xml:space="preserve">Suspenso</t>
        </is>
      </c>
      <c r="E5" s="3" t="inlineStr">
        <is>
          <t xml:space="preserve">Gerenciado</t>
        </is>
      </c>
      <c r="G5" s="3" t="inlineStr">
        <is>
          <t xml:space="preserve">Não se aplica</t>
        </is>
      </c>
      <c r="H5" s="3" t="inlineStr">
        <is>
          <t xml:space="preserve">Atividade</t>
        </is>
      </c>
      <c r="K5" s="3" t="inlineStr">
        <is>
          <t xml:space="preserve">Legislação externa</t>
        </is>
      </c>
      <c r="L5" s="3" t="inlineStr">
        <is>
          <t xml:space="preserve">Revogado</t>
        </is>
      </c>
      <c r="M5" s="3" t="inlineStr">
        <is>
          <t xml:space="preserve">Tecnologia da Informação</t>
        </is>
      </c>
      <c r="N5" s="3" t="inlineStr">
        <is>
          <t xml:space="preserve">Evitar</t>
        </is>
      </c>
      <c r="P5" s="3" t="inlineStr">
        <is>
          <t xml:space="preserve">Informado (I)</t>
        </is>
      </c>
      <c r="Q5" s="3" t="inlineStr">
        <is>
          <t xml:space="preserve">Restrição</t>
        </is>
      </c>
      <c r="S5" s="3" t="inlineStr">
        <is>
          <t xml:space="preserve">Semestral</t>
        </is>
      </c>
      <c r="U5" s="3" t="inlineStr">
        <is>
          <t xml:space="preserve">Outro</t>
        </is>
      </c>
      <c r="V5" s="3" t="inlineStr">
        <is>
          <t xml:space="preserve">Ferramenta</t>
        </is>
      </c>
      <c r="W5" s="3" t="inlineStr">
        <is>
          <t xml:space="preserve">Implementação</t>
        </is>
      </c>
      <c r="X5" s="3" t="inlineStr">
        <is>
          <t xml:space="preserve">Indicadores, metas e riscos</t>
        </is>
      </c>
    </row>
    <row r="6">
      <c r="E6" s="6" t="inlineStr">
        <is>
          <t xml:space="preserve">Otimizado</t>
        </is>
      </c>
      <c r="H6" s="6" t="inlineStr">
        <is>
          <t xml:space="preserve">Tarefa</t>
        </is>
      </c>
      <c r="K6" s="6" t="inlineStr">
        <is>
          <t xml:space="preserve">Formulário/Modelo</t>
        </is>
      </c>
      <c r="M6" s="6" t="inlineStr">
        <is>
          <t xml:space="preserve">Financeiro/Orçamentário</t>
        </is>
      </c>
      <c r="S6" s="6" t="inlineStr">
        <is>
          <t xml:space="preserve">Anual</t>
        </is>
      </c>
      <c r="V6" s="6" t="inlineStr">
        <is>
          <t xml:space="preserve">Referência</t>
        </is>
      </c>
      <c r="W6" s="6" t="inlineStr">
        <is>
          <t xml:space="preserve">Monitoramento</t>
        </is>
      </c>
      <c r="X6" s="6" t="inlineStr">
        <is>
          <t xml:space="preserve">Plano de Ações AE/GPE</t>
        </is>
      </c>
    </row>
    <row r="7">
      <c r="K7" s="3" t="inlineStr">
        <is>
          <t xml:space="preserve">Ata de reunião</t>
        </is>
      </c>
      <c r="M7" s="3" t="inlineStr">
        <is>
          <t xml:space="preserve">Imagem/Reputação</t>
        </is>
      </c>
      <c r="W7" s="3" t="inlineStr">
        <is>
          <t xml:space="preserve">Refinamento</t>
        </is>
      </c>
      <c r="X7" s="3" t="inlineStr">
        <is>
          <t xml:space="preserve">Como usar o painel</t>
        </is>
      </c>
    </row>
    <row r="8">
      <c r="K8" s="6" t="inlineStr">
        <is>
          <t xml:space="preserve">Diagrama BPMN</t>
        </is>
      </c>
    </row>
    <row r="9">
      <c r="K9" s="3" t="inlineStr">
        <is>
          <t xml:space="preserve">Checklist</t>
        </is>
      </c>
    </row>
    <row r="10">
      <c r="K10" s="6" t="inlineStr">
        <is>
          <t xml:space="preserve">Relatório</t>
        </is>
      </c>
    </row>
    <row r="11">
      <c r="K11" s="3" t="inlineStr">
        <is>
          <t xml:space="preserve">Plano</t>
        </is>
      </c>
    </row>
    <row r="12">
      <c r="K12" s="6" t="inlineStr">
        <is>
          <t xml:space="preserve">Outro</t>
        </is>
      </c>
    </row>
  </sheetData>
  <autoFilter ref="A1:X1"/>
</worksheet>
</file>

<file path=xl/worksheets/sheet25.xml><?xml version="1.0" encoding="utf-8"?>
<worksheet xmlns="http://schemas.openxmlformats.org/spreadsheetml/2006/main">
  <sheetPr>
    <tabColor rgb="FF155BCB"/>
  </sheetPr>
  <dimension ref="A1:E6"/>
  <sheetViews>
    <sheetView workbookViewId="0">
      <pane ySplit="1" topLeftCell="A2" activePane="bottomLeft" state="frozen"/>
      <selection pane="bottomLeft"/>
    </sheetView>
  </sheetViews>
  <cols>
    <col min="1" max="1" width="7" customWidth="1"/>
    <col min="2" max="2" width="28" customWidth="1"/>
    <col min="3" max="3" width="32" customWidth="1"/>
    <col min="4" max="4" width="16" customWidth="1"/>
    <col min="5" max="5" width="16" customWidth="1"/>
  </cols>
  <sheetData>
    <row r="1">
      <c r="A1" s="1" t="inlineStr">
        <is>
          <t xml:space="preserve">Ordem</t>
        </is>
      </c>
      <c r="B1" s="1" t="inlineStr">
        <is>
          <t xml:space="preserve">Nome</t>
        </is>
      </c>
      <c r="C1" s="1" t="inlineStr">
        <is>
          <t xml:space="preserve">Email</t>
        </is>
      </c>
      <c r="D1" s="1" t="inlineStr">
        <is>
          <t xml:space="preserve">Telefone</t>
        </is>
      </c>
      <c r="E1" s="1" t="inlineStr">
        <is>
          <t xml:space="preserve">Unidade_Organica</t>
        </is>
      </c>
    </row>
    <row r="2">
      <c r="A2" s="7">
        <v>1</v>
      </c>
      <c r="B2" s="6" t="inlineStr">
        <is>
          <t xml:space="preserve">Vanessa Torres Almeida</t>
        </is>
      </c>
      <c r="C2" s="7" t="inlineStr">
        <is>
          <t xml:space="preserve">vanessa.almeida@codevasf.gov.br</t>
        </is>
      </c>
      <c r="D2" s="7" t="inlineStr">
        <is>
          <t xml:space="preserve">(61) 2028-4521</t>
        </is>
      </c>
      <c r="E2" s="7" t="inlineStr">
        <is>
          <t xml:space="preserve">AA/GLC</t>
        </is>
      </c>
    </row>
    <row r="3">
      <c r="A3" s="4">
        <v>2</v>
      </c>
      <c r="B3" s="3" t="inlineStr">
        <is>
          <t xml:space="preserve">Marcelo Andrade Costa</t>
        </is>
      </c>
      <c r="C3" s="4" t="inlineStr">
        <is>
          <t xml:space="preserve">marcelo.costa@codevasf.gov.br</t>
        </is>
      </c>
      <c r="D3" s="4" t="inlineStr">
        <is>
          <t xml:space="preserve">(61) 2028-4710</t>
        </is>
      </c>
      <c r="E3" s="4" t="inlineStr">
        <is>
          <t xml:space="preserve">AI/GOM</t>
        </is>
      </c>
    </row>
    <row r="4">
      <c r="A4" s="7">
        <v>3</v>
      </c>
      <c r="B4" s="6" t="inlineStr">
        <is>
          <t xml:space="preserve">Luciana Ferreira Dias</t>
        </is>
      </c>
      <c r="C4" s="7" t="inlineStr">
        <is>
          <t xml:space="preserve">luciana.dias@codevasf.gov.br</t>
        </is>
      </c>
      <c r="D4" s="7" t="inlineStr">
        <is>
          <t xml:space="preserve">(61) 2028-4820</t>
        </is>
      </c>
      <c r="E4" s="7" t="inlineStr">
        <is>
          <t xml:space="preserve">AR/GRB</t>
        </is>
      </c>
    </row>
    <row r="5">
      <c r="A5" s="4">
        <v>4</v>
      </c>
      <c r="B5" s="3" t="inlineStr">
        <is>
          <t xml:space="preserve">Patrícia Moreira Lopes</t>
        </is>
      </c>
      <c r="C5" s="4" t="inlineStr">
        <is>
          <t xml:space="preserve">patricia.lopes@codevasf.gov.br</t>
        </is>
      </c>
      <c r="D5" s="4" t="inlineStr">
        <is>
          <t xml:space="preserve">(61) 2028-4430</t>
        </is>
      </c>
      <c r="E5" s="4" t="inlineStr">
        <is>
          <t xml:space="preserve">AE/GPE</t>
        </is>
      </c>
    </row>
    <row r="6">
      <c r="A6" s="7">
        <v>5</v>
      </c>
      <c r="B6" s="6" t="inlineStr">
        <is>
          <t xml:space="preserve">Rodrigo Nascimento Farias</t>
        </is>
      </c>
      <c r="C6" s="7" t="inlineStr">
        <is>
          <t xml:space="preserve">rodrigo.farias@codevasf.gov.br</t>
        </is>
      </c>
      <c r="D6" s="7" t="inlineStr">
        <is>
          <t xml:space="preserve">(61) 2028-4900</t>
        </is>
      </c>
      <c r="E6" s="7" t="inlineStr">
        <is>
          <t xml:space="preserve">AG/GGP</t>
        </is>
      </c>
    </row>
  </sheetData>
  <autoFilter ref="A1:E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300">
      <formula1>Siglas!$A$2:$A$421</formula1>
    </dataValidation>
  </dataValidations>
</worksheet>
</file>

<file path=docProps/app.xml><?xml version="1.0" encoding="utf-8"?>
<Properties xmlns="http://schemas.openxmlformats.org/officeDocument/2006/extended-properties">
  <Application>Painel</Application>
</Properties>
</file>

<file path=docProps/core.xml><?xml version="1.0" encoding="utf-8"?>
<cp:coreProperties xmlns:cp="http://schemas.openxmlformats.org/package/2006/metadata/core-properties" xmlns:dc="http://purl.org/dc/elements/1.1/">
  <dc:title>Painel de Processos</dc:title>
  <dc:creator>Codevasf</dc:creator>
</cp:coreProperties>
</file>