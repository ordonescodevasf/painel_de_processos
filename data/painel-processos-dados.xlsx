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C326F"/>
  </sheetPr>
  <dimension ref="A1:B2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1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Campo de preenchimento livre.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Nome do item.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Classificação, lista fechada.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Posição de exibição.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Sigla — lista suspensa a partir da aba Siglas.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Unidades_Organicas_Corresponsaveis</t>
        </is>
      </c>
      <c r="C7" s="3" t="inlineStr">
        <is>
          <t xml:space="preserve">Campo de preenchimento livre.</t>
        </is>
      </c>
      <c r="D7" s="3" t="inlineStr">
        <is>
          <t xml:space="preserve">AR/GDT; AI/GOM</t>
        </is>
      </c>
    </row>
    <row r="8">
      <c r="A8" s="7" t="inlineStr">
        <is>
          <t xml:space="preserve">Macroprocessos</t>
        </is>
      </c>
      <c r="B8" s="7" t="inlineStr">
        <is>
          <t xml:space="preserve">Descricao</t>
        </is>
      </c>
      <c r="C8" s="6" t="inlineStr">
        <is>
          <t xml:space="preserve">Explicação livre.</t>
        </is>
      </c>
      <c r="D8" s="6" t="inlineStr">
        <is>
          <t xml:space="preserve">Formulação, desdobramento e monitoramento da estratégia corporativa, da governança e do desempenh...</t>
        </is>
      </c>
    </row>
    <row r="9">
      <c r="A9" s="4" t="inlineStr">
        <is>
          <t xml:space="preserve">Macroprocessos</t>
        </is>
      </c>
      <c r="B9" s="4" t="inlineStr">
        <is>
          <t xml:space="preserve">Objetivo</t>
        </is>
      </c>
      <c r="C9" s="3" t="inlineStr">
        <is>
          <t xml:space="preserve">Resultado que busca entregar.</t>
        </is>
      </c>
      <c r="D9" s="3" t="inlineStr">
        <is>
          <t xml:space="preserve">Garantir que a atuação da Companhia esteja alinhada à estratégia, com decisões baseadas em evidên...</t>
        </is>
      </c>
    </row>
    <row r="10">
      <c r="A10" s="7" t="inlineStr">
        <is>
          <t xml:space="preserve">Macroprocessos</t>
        </is>
      </c>
      <c r="B10" s="7" t="inlineStr">
        <is>
          <t xml:space="preserve">Entregas</t>
        </is>
      </c>
      <c r="C10" s="6" t="inlineStr">
        <is>
          <t xml:space="preserve">Campo de preenchimento livre.</t>
        </is>
      </c>
      <c r="D10" s="6" t="inlineStr">
        <is>
          <t xml:space="preserve">Plano Estratégico; Plano de Ação Anual; Relatórios de desempenho</t>
        </is>
      </c>
    </row>
    <row r="11">
      <c r="A11" s="4" t="inlineStr">
        <is>
          <t xml:space="preserve">Macroprocessos</t>
        </is>
      </c>
      <c r="B11" s="4" t="inlineStr">
        <is>
          <t xml:space="preserve">Beneficiarios</t>
        </is>
      </c>
      <c r="C11" s="3" t="inlineStr">
        <is>
          <t xml:space="preserve">Campo de preenchimento livre.</t>
        </is>
      </c>
      <c r="D11" s="3" t="inlineStr">
        <is>
          <t xml:space="preserve">Diretoria Executiva; Conselho de Administração; Unidades internas</t>
        </is>
      </c>
    </row>
    <row r="12">
      <c r="A12" s="7" t="inlineStr">
        <is>
          <t xml:space="preserve">Macroprocessos</t>
        </is>
      </c>
      <c r="B12" s="7" t="inlineStr">
        <is>
          <t xml:space="preserve">Partes_Interessadas</t>
        </is>
      </c>
      <c r="C12" s="6" t="inlineStr">
        <is>
          <t xml:space="preserve">Campo de preenchimento livre.</t>
        </is>
      </c>
      <c r="D12" s="6" t="inlineStr">
        <is>
          <t xml:space="preserve">Ministério supervisor; Órgãos de controle; Sociedade</t>
        </is>
      </c>
    </row>
    <row r="13">
      <c r="A13" s="4" t="inlineStr">
        <is>
          <t xml:space="preserve">Macroprocessos</t>
        </is>
      </c>
      <c r="B13" s="4" t="inlineStr">
        <is>
          <t xml:space="preserve">Sistemas</t>
        </is>
      </c>
      <c r="C13" s="3" t="inlineStr">
        <is>
          <t xml:space="preserve">Separados por ; .</t>
        </is>
      </c>
      <c r="D13" s="3" t="inlineStr">
        <is>
          <t xml:space="preserve">e-Codevasf; Painéis de BI</t>
        </is>
      </c>
    </row>
    <row r="14">
      <c r="A14" s="7" t="inlineStr">
        <is>
          <t xml:space="preserve">Macroprocessos</t>
        </is>
      </c>
      <c r="B14" s="7" t="inlineStr">
        <is>
          <t xml:space="preserve">Imagem_Bizagi</t>
        </is>
      </c>
      <c r="C14" s="6" t="inlineStr">
        <is>
          <t xml:space="preserve">Campo de preenchimento livre.</t>
        </is>
      </c>
      <c r="D14" s="6" t="inlineStr">
        <is>
          <t xml:space="preserve">(sem exemplo)</t>
        </is>
      </c>
    </row>
    <row r="15">
      <c r="A15" s="4" t="inlineStr">
        <is>
          <t xml:space="preserve">Macroprocessos</t>
        </is>
      </c>
      <c r="B15" s="4" t="inlineStr">
        <is>
          <t xml:space="preserve">Observacoes</t>
        </is>
      </c>
      <c r="C15" s="3" t="inlineStr">
        <is>
          <t xml:space="preserve">Nota livre.</t>
        </is>
      </c>
      <c r="D15" s="3" t="inlineStr">
        <is>
          <t xml:space="preserve">Macroprocesso priorizado no ciclo 2026 de mapeamento.</t>
        </is>
      </c>
    </row>
    <row r="16">
      <c r="A16" s="7" t="inlineStr">
        <is>
          <t xml:space="preserve">Macroprocessos</t>
        </is>
      </c>
      <c r="B16" s="7" t="inlineStr">
        <is>
          <t xml:space="preserve">Trilha</t>
        </is>
      </c>
      <c r="C16" s="6" t="inlineStr">
        <is>
          <t xml:space="preserve">CALCULADA — não digite.</t>
        </is>
      </c>
      <c r="D16" s="6" t="inlineStr">
        <is>
          <t xml:space="preserve">MG-01</t>
        </is>
      </c>
    </row>
    <row r="17">
      <c r="A17" s="4" t="inlineStr">
        <is>
          <t xml:space="preserve">Processos</t>
        </is>
      </c>
      <c r="B17" s="4" t="inlineStr">
        <is>
          <t xml:space="preserve">Codigo</t>
        </is>
      </c>
      <c r="C17" s="3" t="inlineStr">
        <is>
          <t xml:space="preserve">Campo de preenchimento livre.</t>
        </is>
      </c>
      <c r="D17" s="3" t="inlineStr">
        <is>
          <t xml:space="preserve">PP-01</t>
        </is>
      </c>
    </row>
    <row r="18">
      <c r="A18" s="7" t="inlineStr">
        <is>
          <t xml:space="preserve">Processos</t>
        </is>
      </c>
      <c r="B18" s="7" t="inlineStr">
        <is>
          <t xml:space="preserve">Nome</t>
        </is>
      </c>
      <c r="C18" s="6" t="inlineStr">
        <is>
          <t xml:space="preserve">Nome do item.</t>
        </is>
      </c>
      <c r="D18" s="6" t="inlineStr">
        <is>
          <t xml:space="preserve">Planejamento da Contratação</t>
        </is>
      </c>
    </row>
    <row r="19">
      <c r="A19" s="4" t="inlineStr">
        <is>
          <t xml:space="preserve">Processos</t>
        </is>
      </c>
      <c r="B19" s="4" t="inlineStr">
        <is>
          <t xml:space="preserve">Macroprocesso</t>
        </is>
      </c>
      <c r="C19" s="3" t="inlineStr">
        <is>
          <t xml:space="preserve">Campo de preenchimento livre.</t>
        </is>
      </c>
      <c r="D19" s="3" t="inlineStr">
        <is>
          <t xml:space="preserve">MS-01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Explicação livre.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Resultado que busca entregar.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Sigla — lista suspensa a partir da aba Siglas.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Lista suspensa a partir dos nomes da aba NUGEP.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Unidades_Organicas_Corresponsaveis</t>
        </is>
      </c>
      <c r="C24" s="6" t="inlineStr">
        <is>
          <t xml:space="preserve">Campo de preenchimento livre.</t>
        </is>
      </c>
      <c r="D24" s="6" t="inlineStr">
        <is>
          <t xml:space="preserve">AE/GAG; AR/GDT</t>
        </is>
      </c>
    </row>
    <row r="25">
      <c r="A25" s="4" t="inlineStr">
        <is>
          <t xml:space="preserve">Processos</t>
        </is>
      </c>
      <c r="B25" s="4" t="inlineStr">
        <is>
          <t xml:space="preserve">Prioridade</t>
        </is>
      </c>
      <c r="C25" s="3" t="inlineStr">
        <is>
          <t xml:space="preserve">Campo de preenchimento livre.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Complexidade</t>
        </is>
      </c>
      <c r="C26" s="6" t="inlineStr">
        <is>
          <t xml:space="preserve">Campo de preenchimento livre.</t>
        </is>
      </c>
      <c r="D26" s="6" t="inlineStr">
        <is>
          <t xml:space="preserve">Alta</t>
        </is>
      </c>
    </row>
    <row r="27">
      <c r="A27" s="4" t="inlineStr">
        <is>
          <t xml:space="preserve">Processos</t>
        </is>
      </c>
      <c r="B27" s="4" t="inlineStr">
        <is>
          <t xml:space="preserve">Maturidade</t>
        </is>
      </c>
      <c r="C27" s="3" t="inlineStr">
        <is>
          <t xml:space="preserve">Campo de preenchimento livre.</t>
        </is>
      </c>
      <c r="D27" s="3" t="inlineStr">
        <is>
          <t xml:space="preserve">Definido</t>
        </is>
      </c>
    </row>
    <row r="28">
      <c r="A28" s="7" t="inlineStr">
        <is>
          <t xml:space="preserve">Processos</t>
        </is>
      </c>
      <c r="B28" s="7" t="inlineStr">
        <is>
          <t xml:space="preserve">Status_Mapeamento</t>
        </is>
      </c>
      <c r="C28" s="6" t="inlineStr">
        <is>
          <t xml:space="preserve">Campo de preenchimento livre.</t>
        </is>
      </c>
      <c r="D28" s="6" t="inlineStr">
        <is>
          <t xml:space="preserve">Concluído</t>
        </is>
      </c>
    </row>
    <row r="29">
      <c r="A29" s="4" t="inlineStr">
        <is>
          <t xml:space="preserve">Processos</t>
        </is>
      </c>
      <c r="B29" s="4" t="inlineStr">
        <is>
          <t xml:space="preserve">Percentual</t>
        </is>
      </c>
      <c r="C29" s="3" t="inlineStr">
        <is>
          <t xml:space="preserve">Campo de preenchimento livre.</t>
        </is>
      </c>
      <c r="D29" s="3">
        <v>1</v>
      </c>
    </row>
    <row r="30">
      <c r="A30" s="7" t="inlineStr">
        <is>
          <t xml:space="preserve">Processos</t>
        </is>
      </c>
      <c r="B30" s="7" t="inlineStr">
        <is>
          <t xml:space="preserve">Inicio_Mapeamento</t>
        </is>
      </c>
      <c r="C30" s="6" t="inlineStr">
        <is>
          <t xml:space="preserve">Campo de preenchimento livre.</t>
        </is>
      </c>
      <c r="D30" s="6" t="inlineStr">
        <is>
          <t xml:space="preserve">05/01/2026</t>
        </is>
      </c>
    </row>
    <row r="31">
      <c r="A31" s="4" t="inlineStr">
        <is>
          <t xml:space="preserve">Processos</t>
        </is>
      </c>
      <c r="B31" s="4" t="inlineStr">
        <is>
          <t xml:space="preserve">Prazo_Previsto</t>
        </is>
      </c>
      <c r="C31" s="3" t="inlineStr">
        <is>
          <t xml:space="preserve">Campo de preenchimento livre.</t>
        </is>
      </c>
      <c r="D31" s="3" t="inlineStr">
        <is>
          <t xml:space="preserve">29/05/2026</t>
        </is>
      </c>
    </row>
    <row r="32">
      <c r="A32" s="7" t="inlineStr">
        <is>
          <t xml:space="preserve">Processos</t>
        </is>
      </c>
      <c r="B32" s="7" t="inlineStr">
        <is>
          <t xml:space="preserve">Data_Conclusao</t>
        </is>
      </c>
      <c r="C32" s="6" t="inlineStr">
        <is>
          <t xml:space="preserve">Campo de preenchimento livre.</t>
        </is>
      </c>
      <c r="D32" s="6" t="inlineStr">
        <is>
          <t xml:space="preserve">18/05/2026</t>
        </is>
      </c>
    </row>
    <row r="33">
      <c r="A33" s="4" t="inlineStr">
        <is>
          <t xml:space="preserve">Processos</t>
        </is>
      </c>
      <c r="B33" s="4" t="inlineStr">
        <is>
          <t xml:space="preserve">Ultima_Atualizacao</t>
        </is>
      </c>
      <c r="C33" s="3" t="inlineStr">
        <is>
          <t xml:space="preserve">Campo de preenchimento livre.</t>
        </is>
      </c>
      <c r="D33" s="3" t="inlineStr">
        <is>
          <t xml:space="preserve">10/07/2026</t>
        </is>
      </c>
    </row>
    <row r="34">
      <c r="A34" s="7" t="inlineStr">
        <is>
          <t xml:space="preserve">Processos</t>
        </is>
      </c>
      <c r="B34" s="7" t="inlineStr">
        <is>
          <t xml:space="preserve">M1_Conhecer_Processo</t>
        </is>
      </c>
      <c r="C34" s="6" t="inlineStr">
        <is>
          <t xml:space="preserve">Campo de preenchimento livre.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M2_Processo_Modelado</t>
        </is>
      </c>
      <c r="C35" s="3" t="inlineStr">
        <is>
          <t xml:space="preserve">Campo de preenchimento livre.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M3_Subprocessos_Modelados</t>
        </is>
      </c>
      <c r="C36" s="6" t="inlineStr">
        <is>
          <t xml:space="preserve">Campo de preenchimento livre.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M4_ASIS_Modelado</t>
        </is>
      </c>
      <c r="C37" s="3" t="inlineStr">
        <is>
          <t xml:space="preserve">Campo de preenchimento livre.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M5_ASIS_Validado</t>
        </is>
      </c>
      <c r="C38" s="6" t="inlineStr">
        <is>
          <t xml:space="preserve">Campo de preenchimento livre.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M6_Procedimento_Aprovado</t>
        </is>
      </c>
      <c r="C39" s="3" t="inlineStr">
        <is>
          <t xml:space="preserve">Campo de preenchimento livre.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M7_Processo_Publicado</t>
        </is>
      </c>
      <c r="C40" s="6" t="inlineStr">
        <is>
          <t xml:space="preserve">Campo de preenchimento livre.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M8_TOBE_Elaborado</t>
        </is>
      </c>
      <c r="C41" s="3" t="inlineStr">
        <is>
          <t xml:space="preserve">Campo de preenchimento livre.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M9_TOBE_Aprovado</t>
        </is>
      </c>
      <c r="C42" s="6" t="inlineStr">
        <is>
          <t xml:space="preserve">Campo de preenchimento livre.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M10_Processo_Transformado</t>
        </is>
      </c>
      <c r="C43" s="3" t="inlineStr">
        <is>
          <t xml:space="preserve">Campo de preenchimento livre.</t>
        </is>
      </c>
      <c r="D43" s="3" t="inlineStr">
        <is>
          <t xml:space="preserve">Sim</t>
        </is>
      </c>
    </row>
    <row r="44">
      <c r="A44" s="7" t="inlineStr">
        <is>
          <t xml:space="preserve">Processos</t>
        </is>
      </c>
      <c r="B44" s="7" t="inlineStr">
        <is>
          <t xml:space="preserve">Fornecedores</t>
        </is>
      </c>
      <c r="C44" s="6" t="inlineStr">
        <is>
          <t xml:space="preserve">Campo de preenchimento livre.</t>
        </is>
      </c>
      <c r="D44" s="6" t="inlineStr">
        <is>
          <t xml:space="preserve">Áreas demandantes; Painel de Preços; Fornecedores (cotações)</t>
        </is>
      </c>
    </row>
    <row r="45">
      <c r="A45" s="4" t="inlineStr">
        <is>
          <t xml:space="preserve">Processos</t>
        </is>
      </c>
      <c r="B45" s="4" t="inlineStr">
        <is>
          <t xml:space="preserve">Entradas</t>
        </is>
      </c>
      <c r="C45" s="3" t="inlineStr">
        <is>
          <t xml:space="preserve">Separe com ; quando houver mais de um.</t>
        </is>
      </c>
      <c r="D45" s="3" t="inlineStr">
        <is>
          <t xml:space="preserve">DFD; Plano de Contratações Anual; Requisitos da área</t>
        </is>
      </c>
    </row>
    <row r="46">
      <c r="A46" s="7" t="inlineStr">
        <is>
          <t xml:space="preserve">Processos</t>
        </is>
      </c>
      <c r="B46" s="7" t="inlineStr">
        <is>
          <t xml:space="preserve">Saidas</t>
        </is>
      </c>
      <c r="C46" s="6" t="inlineStr">
        <is>
          <t xml:space="preserve">Separe com ; quando houver mais de um.</t>
        </is>
      </c>
      <c r="D46" s="6" t="inlineStr">
        <is>
          <t xml:space="preserve">ETP aprovado; TR aprovado; Pesquisa de preços validada</t>
        </is>
      </c>
    </row>
    <row r="47">
      <c r="A47" s="4" t="inlineStr">
        <is>
          <t xml:space="preserve">Processos</t>
        </is>
      </c>
      <c r="B47" s="4" t="inlineStr">
        <is>
          <t xml:space="preserve">Beneficiarios</t>
        </is>
      </c>
      <c r="C47" s="3" t="inlineStr">
        <is>
          <t xml:space="preserve">Campo de preenchimento livre.</t>
        </is>
      </c>
      <c r="D47" s="3" t="inlineStr">
        <is>
          <t xml:space="preserve">AA/GLC (Seleção do Fornecedor); Assessoria Jurídica</t>
        </is>
      </c>
    </row>
    <row r="48">
      <c r="A48" s="7" t="inlineStr">
        <is>
          <t xml:space="preserve">Processos</t>
        </is>
      </c>
      <c r="B48" s="7" t="inlineStr">
        <is>
          <t xml:space="preserve">Sistemas</t>
        </is>
      </c>
      <c r="C48" s="6" t="inlineStr">
        <is>
          <t xml:space="preserve">Separados por ; .</t>
        </is>
      </c>
      <c r="D48" s="6" t="inlineStr">
        <is>
          <t xml:space="preserve">e-Codevasf; Compras.gov.br; Painel de Preços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</t>
        </is>
      </c>
      <c r="C49" s="3" t="inlineStr">
        <is>
          <t xml:space="preserve">Campo de preenchimento livre.</t>
        </is>
      </c>
      <c r="D49" s="3" t="inlineStr">
        <is>
          <t xml:space="preserve">59500.000123/2026-11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Processos</t>
        </is>
      </c>
      <c r="B55" s="4" t="inlineStr">
        <is>
          <t xml:space="preserve">Trilha</t>
        </is>
      </c>
      <c r="C55" s="3" t="inlineStr">
        <is>
          <t xml:space="preserve">CALCULADA — não digite. Ex.: "MS-01 › PP-01".</t>
        </is>
      </c>
      <c r="D55" s="3" t="inlineStr">
        <is>
          <t xml:space="preserve">MS-01 › PP-01</t>
        </is>
      </c>
    </row>
    <row r="56">
      <c r="A56" s="7" t="inlineStr">
        <is>
          <t xml:space="preserve">Subprocessos</t>
        </is>
      </c>
      <c r="B56" s="7" t="inlineStr">
        <is>
          <t xml:space="preserve">Codigo</t>
        </is>
      </c>
      <c r="C56" s="6" t="inlineStr">
        <is>
          <t xml:space="preserve">Campo de preenchimento livre.</t>
        </is>
      </c>
      <c r="D56" s="6" t="inlineStr">
        <is>
          <t xml:space="preserve">SP-01</t>
        </is>
      </c>
    </row>
    <row r="57">
      <c r="A57" s="4" t="inlineStr">
        <is>
          <t xml:space="preserve">Subprocessos</t>
        </is>
      </c>
      <c r="B57" s="4" t="inlineStr">
        <is>
          <t xml:space="preserve">Nome</t>
        </is>
      </c>
      <c r="C57" s="3" t="inlineStr">
        <is>
          <t xml:space="preserve">Nome do item.</t>
        </is>
      </c>
      <c r="D57" s="3" t="inlineStr">
        <is>
          <t xml:space="preserve">Estudo Técnico Preliminar (ETP)</t>
        </is>
      </c>
    </row>
    <row r="58">
      <c r="A58" s="7" t="inlineStr">
        <is>
          <t xml:space="preserve">Subprocessos</t>
        </is>
      </c>
      <c r="B58" s="7" t="inlineStr">
        <is>
          <t xml:space="preserve">Vinculo_Pai</t>
        </is>
      </c>
      <c r="C58" s="6" t="inlineStr">
        <is>
          <t xml:space="preserve">Campo de preenchimento livre.</t>
        </is>
      </c>
      <c r="D58" s="6" t="inlineStr">
        <is>
          <t xml:space="preserve">PP-01</t>
        </is>
      </c>
    </row>
    <row r="59">
      <c r="A59" s="4" t="inlineStr">
        <is>
          <t xml:space="preserve">Subprocessos</t>
        </is>
      </c>
      <c r="B59" s="4" t="inlineStr">
        <is>
          <t xml:space="preserve">Ordem</t>
        </is>
      </c>
      <c r="C59" s="3" t="inlineStr">
        <is>
          <t xml:space="preserve">Posição de exibição.</t>
        </is>
      </c>
      <c r="D59" s="3">
        <v>1</v>
      </c>
    </row>
    <row r="60">
      <c r="A60" s="7" t="inlineStr">
        <is>
          <t xml:space="preserve">Subprocessos</t>
        </is>
      </c>
      <c r="B60" s="7" t="inlineStr">
        <is>
          <t xml:space="preserve">Descricao</t>
        </is>
      </c>
      <c r="C60" s="6" t="inlineStr">
        <is>
          <t xml:space="preserve">Explicação livre.</t>
        </is>
      </c>
      <c r="D60" s="6" t="inlineStr">
        <is>
          <t xml:space="preserve">Caracterização da necessidade, análise de soluções de mercado e demonstração da viabilidade da co...</t>
        </is>
      </c>
    </row>
    <row r="61">
      <c r="A61" s="4" t="inlineStr">
        <is>
          <t xml:space="preserve">Subprocessos</t>
        </is>
      </c>
      <c r="B61" s="4" t="inlineStr">
        <is>
          <t xml:space="preserve">Objetivo</t>
        </is>
      </c>
      <c r="C61" s="3" t="inlineStr">
        <is>
          <t xml:space="preserve">Resultado que busca entregar.</t>
        </is>
      </c>
      <c r="D61" s="3" t="inlineStr">
        <is>
          <t xml:space="preserve">Fundamentar tecnicamente a melhor solução para a necessidade.</t>
        </is>
      </c>
    </row>
    <row r="62">
      <c r="A62" s="7" t="inlineStr">
        <is>
          <t xml:space="preserve">Subprocessos</t>
        </is>
      </c>
      <c r="B62" s="7" t="inlineStr">
        <is>
          <t xml:space="preserve">Unidade_Organica_Responsavel</t>
        </is>
      </c>
      <c r="C62" s="6" t="inlineStr">
        <is>
          <t xml:space="preserve">Sigla — lista suspensa a partir da aba Siglas.</t>
        </is>
      </c>
      <c r="D62" s="6" t="inlineStr">
        <is>
          <t xml:space="preserve">AA/GLC</t>
        </is>
      </c>
    </row>
    <row r="63">
      <c r="A63" s="4" t="inlineStr">
        <is>
          <t xml:space="preserve">Subprocessos</t>
        </is>
      </c>
      <c r="B63" s="4" t="inlineStr">
        <is>
          <t xml:space="preserve">Unidades_Organicas_Corresponsaveis</t>
        </is>
      </c>
      <c r="C63" s="3" t="inlineStr">
        <is>
          <t xml:space="preserve">Campo de preenchimento livre.</t>
        </is>
      </c>
      <c r="D63" s="3" t="inlineStr">
        <is>
          <t xml:space="preserve">AI/GOM</t>
        </is>
      </c>
    </row>
    <row r="64">
      <c r="A64" s="7" t="inlineStr">
        <is>
          <t xml:space="preserve">Subprocessos</t>
        </is>
      </c>
      <c r="B64" s="7" t="inlineStr">
        <is>
          <t xml:space="preserve">Reutilizavel</t>
        </is>
      </c>
      <c r="C64" s="6" t="inlineStr">
        <is>
          <t xml:space="preserve">Campo de preenchimento livre.</t>
        </is>
      </c>
      <c r="D64" s="6" t="inlineStr">
        <is>
          <t xml:space="preserve">Sim</t>
        </is>
      </c>
    </row>
    <row r="65">
      <c r="A65" s="4" t="inlineStr">
        <is>
          <t xml:space="preserve">Subprocessos</t>
        </is>
      </c>
      <c r="B65" s="4" t="inlineStr">
        <is>
          <t xml:space="preserve">Reutilizado_Em</t>
        </is>
      </c>
      <c r="C65" s="3" t="inlineStr">
        <is>
          <t xml:space="preserve">Campo de preenchimento livre.</t>
        </is>
      </c>
      <c r="D65" s="3" t="inlineStr">
        <is>
          <t xml:space="preserve">PP-02; PP-04</t>
        </is>
      </c>
    </row>
    <row r="66">
      <c r="A66" s="7" t="inlineStr">
        <is>
          <t xml:space="preserve">Subprocessos</t>
        </is>
      </c>
      <c r="B66" s="7" t="inlineStr">
        <is>
          <t xml:space="preserve">Entradas</t>
        </is>
      </c>
      <c r="C66" s="6" t="inlineStr">
        <is>
          <t xml:space="preserve">Separe com ; quando houver mais de um.</t>
        </is>
      </c>
      <c r="D66" s="6" t="inlineStr">
        <is>
          <t xml:space="preserve">DFD; Levantamento de soluções de mercado</t>
        </is>
      </c>
    </row>
    <row r="67">
      <c r="A67" s="4" t="inlineStr">
        <is>
          <t xml:space="preserve">Subprocessos</t>
        </is>
      </c>
      <c r="B67" s="4" t="inlineStr">
        <is>
          <t xml:space="preserve">Saidas</t>
        </is>
      </c>
      <c r="C67" s="3" t="inlineStr">
        <is>
          <t xml:space="preserve">Separe com ; quando houver mais de um.</t>
        </is>
      </c>
      <c r="D67" s="3" t="inlineStr">
        <is>
          <t xml:space="preserve">ETP aprovado no e-Codevasf</t>
        </is>
      </c>
    </row>
    <row r="68">
      <c r="A68" s="7" t="inlineStr">
        <is>
          <t xml:space="preserve">Subprocessos</t>
        </is>
      </c>
      <c r="B68" s="7" t="inlineStr">
        <is>
          <t xml:space="preserve">Sistemas</t>
        </is>
      </c>
      <c r="C68" s="6" t="inlineStr">
        <is>
          <t xml:space="preserve">Separados por ; .</t>
        </is>
      </c>
      <c r="D68" s="6" t="inlineStr">
        <is>
          <t xml:space="preserve">e-Codevasf; Compras.gov.br</t>
        </is>
      </c>
    </row>
    <row r="69">
      <c r="A69" s="4" t="inlineStr">
        <is>
          <t xml:space="preserve">Subprocessos</t>
        </is>
      </c>
      <c r="B69" s="4" t="inlineStr">
        <is>
          <t xml:space="preserve">Fontes_Dados</t>
        </is>
      </c>
      <c r="C69" s="3" t="inlineStr">
        <is>
          <t xml:space="preserve">Campo de preenchimento livre.</t>
        </is>
      </c>
      <c r="D69" s="3" t="inlineStr">
        <is>
          <t xml:space="preserve">e-Codevasf</t>
        </is>
      </c>
    </row>
    <row r="70">
      <c r="A70" s="7" t="inlineStr">
        <is>
          <t xml:space="preserve">Subprocessos</t>
        </is>
      </c>
      <c r="B70" s="7" t="inlineStr">
        <is>
          <t xml:space="preserve">Imagem_Bizagi</t>
        </is>
      </c>
      <c r="C70" s="6" t="inlineStr">
        <is>
          <t xml:space="preserve">Campo de preenchimento livre.</t>
        </is>
      </c>
      <c r="D70" s="6" t="inlineStr">
        <is>
          <t xml:space="preserve">(sem exemplo)</t>
        </is>
      </c>
    </row>
    <row r="71">
      <c r="A71" s="4" t="inlineStr">
        <is>
          <t xml:space="preserve">Subprocessos</t>
        </is>
      </c>
      <c r="B71" s="4" t="inlineStr">
        <is>
          <t xml:space="preserve">Trilha</t>
        </is>
      </c>
      <c r="C71" s="3" t="inlineStr">
        <is>
          <t xml:space="preserve">CALCULADA — não digite.</t>
        </is>
      </c>
      <c r="D71" s="3" t="inlineStr">
        <is>
          <t xml:space="preserve">MS-01 › PP-01 › SP-01</t>
        </is>
      </c>
    </row>
    <row r="72">
      <c r="A72" s="7" t="inlineStr">
        <is>
          <t xml:space="preserve">Atividades</t>
        </is>
      </c>
      <c r="B72" s="7" t="inlineStr">
        <is>
          <t xml:space="preserve">Codigo</t>
        </is>
      </c>
      <c r="C72" s="6" t="inlineStr">
        <is>
          <t xml:space="preserve">Campo de preenchimento livre.</t>
        </is>
      </c>
      <c r="D72" s="6" t="inlineStr">
        <is>
          <t xml:space="preserve">AT-01</t>
        </is>
      </c>
    </row>
    <row r="73">
      <c r="A73" s="4" t="inlineStr">
        <is>
          <t xml:space="preserve">Atividades</t>
        </is>
      </c>
      <c r="B73" s="4" t="inlineStr">
        <is>
          <t xml:space="preserve">Nome</t>
        </is>
      </c>
      <c r="C73" s="3" t="inlineStr">
        <is>
          <t xml:space="preserve">Nome do item.</t>
        </is>
      </c>
      <c r="D73" s="3" t="inlineStr">
        <is>
          <t xml:space="preserve">Formalizar a necessidade (DFD)</t>
        </is>
      </c>
    </row>
    <row r="74">
      <c r="A74" s="7" t="inlineStr">
        <is>
          <t xml:space="preserve">Atividades</t>
        </is>
      </c>
      <c r="B74" s="7" t="inlineStr">
        <is>
          <t xml:space="preserve">Vinculo_Pai</t>
        </is>
      </c>
      <c r="C74" s="6" t="inlineStr">
        <is>
          <t xml:space="preserve">Campo de preenchimento livre.</t>
        </is>
      </c>
      <c r="D74" s="6" t="inlineStr">
        <is>
          <t xml:space="preserve">SP-01</t>
        </is>
      </c>
    </row>
    <row r="75">
      <c r="A75" s="4" t="inlineStr">
        <is>
          <t xml:space="preserve">Atividades</t>
        </is>
      </c>
      <c r="B75" s="4" t="inlineStr">
        <is>
          <t xml:space="preserve">Ordem</t>
        </is>
      </c>
      <c r="C75" s="3" t="inlineStr">
        <is>
          <t xml:space="preserve">Posição de exibição.</t>
        </is>
      </c>
      <c r="D75" s="3">
        <v>1</v>
      </c>
    </row>
    <row r="76">
      <c r="A76" s="7" t="inlineStr">
        <is>
          <t xml:space="preserve">Atividades</t>
        </is>
      </c>
      <c r="B76" s="7" t="inlineStr">
        <is>
          <t xml:space="preserve">Tipo_Atividade</t>
        </is>
      </c>
      <c r="C76" s="6" t="inlineStr">
        <is>
          <t xml:space="preserve">Campo de preenchimento livre.</t>
        </is>
      </c>
      <c r="D76" s="6" t="inlineStr">
        <is>
          <t xml:space="preserve">Agregação de Valor</t>
        </is>
      </c>
    </row>
    <row r="77">
      <c r="A77" s="4" t="inlineStr">
        <is>
          <t xml:space="preserve">Atividades</t>
        </is>
      </c>
      <c r="B77" s="4" t="inlineStr">
        <is>
          <t xml:space="preserve">Descricao</t>
        </is>
      </c>
      <c r="C77" s="3" t="inlineStr">
        <is>
          <t xml:space="preserve">Explicação livre.</t>
        </is>
      </c>
      <c r="D77" s="3" t="inlineStr">
        <is>
          <t xml:space="preserve">A área demandante registra a necessidade de contratação no Documento de Formalização da Demanda (...</t>
        </is>
      </c>
    </row>
    <row r="78">
      <c r="A78" s="7" t="inlineStr">
        <is>
          <t xml:space="preserve">Atividades</t>
        </is>
      </c>
      <c r="B78" s="7" t="inlineStr">
        <is>
          <t xml:space="preserve">Entradas</t>
        </is>
      </c>
      <c r="C78" s="6" t="inlineStr">
        <is>
          <t xml:space="preserve">Separe com ; quando houver mais de um.</t>
        </is>
      </c>
      <c r="D78" s="6" t="inlineStr">
        <is>
          <t xml:space="preserve">Necessidade identificada; Plano de Contratações Anual</t>
        </is>
      </c>
    </row>
    <row r="79">
      <c r="A79" s="4" t="inlineStr">
        <is>
          <t xml:space="preserve">Atividades</t>
        </is>
      </c>
      <c r="B79" s="4" t="inlineStr">
        <is>
          <t xml:space="preserve">Saidas</t>
        </is>
      </c>
      <c r="C79" s="3" t="inlineStr">
        <is>
          <t xml:space="preserve">Separe com ; quando houver mais de um.</t>
        </is>
      </c>
      <c r="D79" s="3" t="inlineStr">
        <is>
          <t xml:space="preserve">DFD assinado no e-Codevasf</t>
        </is>
      </c>
    </row>
    <row r="80">
      <c r="A80" s="7" t="inlineStr">
        <is>
          <t xml:space="preserve">Atividades</t>
        </is>
      </c>
      <c r="B80" s="7" t="inlineStr">
        <is>
          <t xml:space="preserve">Sistemas</t>
        </is>
      </c>
      <c r="C80" s="6" t="inlineStr">
        <is>
          <t xml:space="preserve">Separados por ; .</t>
        </is>
      </c>
      <c r="D80" s="6" t="inlineStr">
        <is>
          <t xml:space="preserve">e-Codevasf</t>
        </is>
      </c>
    </row>
    <row r="81">
      <c r="A81" s="4" t="inlineStr">
        <is>
          <t xml:space="preserve">Atividades</t>
        </is>
      </c>
      <c r="B81" s="4" t="inlineStr">
        <is>
          <t xml:space="preserve">Trilha</t>
        </is>
      </c>
      <c r="C81" s="3" t="inlineStr">
        <is>
          <t xml:space="preserve">CALCULADA — não digite.</t>
        </is>
      </c>
      <c r="D81" s="3" t="inlineStr">
        <is>
          <t xml:space="preserve">MS-01 › PP-01 › SP-01 › AT-01</t>
        </is>
      </c>
    </row>
    <row r="82">
      <c r="A82" s="7" t="inlineStr">
        <is>
          <t xml:space="preserve">Tarefas</t>
        </is>
      </c>
      <c r="B82" s="7" t="inlineStr">
        <is>
          <t xml:space="preserve">Codigo</t>
        </is>
      </c>
      <c r="C82" s="6" t="inlineStr">
        <is>
          <t xml:space="preserve">Campo de preenchimento livre.</t>
        </is>
      </c>
      <c r="D82" s="6" t="inlineStr">
        <is>
          <t xml:space="preserve">TR-01</t>
        </is>
      </c>
    </row>
    <row r="83">
      <c r="A83" s="4" t="inlineStr">
        <is>
          <t xml:space="preserve">Tarefas</t>
        </is>
      </c>
      <c r="B83" s="4" t="inlineStr">
        <is>
          <t xml:space="preserve">Nome</t>
        </is>
      </c>
      <c r="C83" s="3" t="inlineStr">
        <is>
          <t xml:space="preserve">Nome do item.</t>
        </is>
      </c>
      <c r="D83" s="3" t="inlineStr">
        <is>
          <t xml:space="preserve">Reunir informações da demanda</t>
        </is>
      </c>
    </row>
    <row r="84">
      <c r="A84" s="7" t="inlineStr">
        <is>
          <t xml:space="preserve">Tarefas</t>
        </is>
      </c>
      <c r="B84" s="7" t="inlineStr">
        <is>
          <t xml:space="preserve">Atividade</t>
        </is>
      </c>
      <c r="C84" s="6" t="inlineStr">
        <is>
          <t xml:space="preserve">Campo de preenchimento livre.</t>
        </is>
      </c>
      <c r="D84" s="6" t="inlineStr">
        <is>
          <t xml:space="preserve">AT-01</t>
        </is>
      </c>
    </row>
    <row r="85">
      <c r="A85" s="4" t="inlineStr">
        <is>
          <t xml:space="preserve">Tarefas</t>
        </is>
      </c>
      <c r="B85" s="4" t="inlineStr">
        <is>
          <t xml:space="preserve">Ordem</t>
        </is>
      </c>
      <c r="C85" s="3" t="inlineStr">
        <is>
          <t xml:space="preserve">Posição de exibição.</t>
        </is>
      </c>
      <c r="D85" s="3">
        <v>1</v>
      </c>
    </row>
    <row r="86">
      <c r="A86" s="7" t="inlineStr">
        <is>
          <t xml:space="preserve">Tarefas</t>
        </is>
      </c>
      <c r="B86" s="7" t="inlineStr">
        <is>
          <t xml:space="preserve">Tipo_Tarefa</t>
        </is>
      </c>
      <c r="C86" s="6" t="inlineStr">
        <is>
          <t xml:space="preserve">Campo de preenchimento livre.</t>
        </is>
      </c>
      <c r="D86" s="6" t="inlineStr">
        <is>
          <t xml:space="preserve">Manual</t>
        </is>
      </c>
    </row>
    <row r="87">
      <c r="A87" s="4" t="inlineStr">
        <is>
          <t xml:space="preserve">Tarefas</t>
        </is>
      </c>
      <c r="B87" s="4" t="inlineStr">
        <is>
          <t xml:space="preserve">Disparador</t>
        </is>
      </c>
      <c r="C87" s="3" t="inlineStr">
        <is>
          <t xml:space="preserve">Campo de preenchimento livre.</t>
        </is>
      </c>
      <c r="D87" s="3" t="inlineStr">
        <is>
          <t xml:space="preserve">Área demandante identifica necessidade de contratação</t>
        </is>
      </c>
    </row>
    <row r="88">
      <c r="A88" s="7" t="inlineStr">
        <is>
          <t xml:space="preserve">Tarefas</t>
        </is>
      </c>
      <c r="B88" s="7" t="inlineStr">
        <is>
          <t xml:space="preserve">Passos</t>
        </is>
      </c>
      <c r="C88" s="6" t="inlineStr">
        <is>
          <t xml:space="preserve">Campo de preenchimento livre.</t>
        </is>
      </c>
      <c r="D88" s="6" t="inlineStr">
        <is>
          <t xml:space="preserve">Levantar justificativa da necessidade; Consultar o PCA vigente; Reunir quantitativos preliminares...</t>
        </is>
      </c>
    </row>
    <row r="89">
      <c r="A89" s="4" t="inlineStr">
        <is>
          <t xml:space="preserve">Tarefas</t>
        </is>
      </c>
      <c r="B89" s="4" t="inlineStr">
        <is>
          <t xml:space="preserve">Principios</t>
        </is>
      </c>
      <c r="C89" s="3" t="inlineStr">
        <is>
          <t xml:space="preserve">Campo de preenchimento livre.</t>
        </is>
      </c>
      <c r="D89" s="3" t="inlineStr">
        <is>
          <t xml:space="preserve">Transparência; Economicidade</t>
        </is>
      </c>
    </row>
    <row r="90">
      <c r="A90" s="7" t="inlineStr">
        <is>
          <t xml:space="preserve">Tarefas</t>
        </is>
      </c>
      <c r="B90" s="7" t="inlineStr">
        <is>
          <t xml:space="preserve">Criterios_Desempenho</t>
        </is>
      </c>
      <c r="C90" s="6" t="inlineStr">
        <is>
          <t xml:space="preserve">Campo de preenchimento livre.</t>
        </is>
      </c>
      <c r="D90" s="6" t="inlineStr">
        <is>
          <t xml:space="preserve">Informações completas e alinhadas ao PCA; prazo de até 3 dias úteis</t>
        </is>
      </c>
    </row>
    <row r="91">
      <c r="A91" s="4" t="inlineStr">
        <is>
          <t xml:space="preserve">Tarefas</t>
        </is>
      </c>
      <c r="B91" s="4" t="inlineStr">
        <is>
          <t xml:space="preserve">Resultados_Esperados</t>
        </is>
      </c>
      <c r="C91" s="3" t="inlineStr">
        <is>
          <t xml:space="preserve">Campo de preenchimento livre.</t>
        </is>
      </c>
      <c r="D91" s="3" t="inlineStr">
        <is>
          <t xml:space="preserve">Justificativa e quantitativos preliminares documentados</t>
        </is>
      </c>
    </row>
    <row r="92">
      <c r="A92" s="7" t="inlineStr">
        <is>
          <t xml:space="preserve">Tarefas</t>
        </is>
      </c>
      <c r="B92" s="7" t="inlineStr">
        <is>
          <t xml:space="preserve">Materiais_Ferramentas</t>
        </is>
      </c>
      <c r="C92" s="6" t="inlineStr">
        <is>
          <t xml:space="preserve">Campo de preenchimento livre.</t>
        </is>
      </c>
      <c r="D92" s="6" t="inlineStr">
        <is>
          <t xml:space="preserve">e-Codevasf; Modelo de DFD</t>
        </is>
      </c>
    </row>
    <row r="93">
      <c r="A93" s="4" t="inlineStr">
        <is>
          <t xml:space="preserve">Tarefas</t>
        </is>
      </c>
      <c r="B93" s="4" t="inlineStr">
        <is>
          <t xml:space="preserve">Pessoas_Consultar</t>
        </is>
      </c>
      <c r="C93" s="3" t="inlineStr">
        <is>
          <t xml:space="preserve">Campo de preenchimento livre.</t>
        </is>
      </c>
      <c r="D93" s="3" t="inlineStr">
        <is>
          <t xml:space="preserve">Gestor da área demandante; Coordenador de orçamento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Nota livre.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Tarefas</t>
        </is>
      </c>
      <c r="B96" s="7" t="inlineStr">
        <is>
          <t xml:space="preserve">Unidades_Organicas_Corresponsaveis</t>
        </is>
      </c>
      <c r="C96" s="6" t="inlineStr">
        <is>
          <t xml:space="preserve">Campo de preenchimento livre.</t>
        </is>
      </c>
      <c r="D96" s="6" t="inlineStr">
        <is>
          <t xml:space="preserve">AA/GLC</t>
        </is>
      </c>
    </row>
    <row r="97">
      <c r="A97" s="4" t="inlineStr">
        <is>
          <t xml:space="preserve">Tarefas</t>
        </is>
      </c>
      <c r="B97" s="4" t="inlineStr">
        <is>
          <t xml:space="preserve">Trilha</t>
        </is>
      </c>
      <c r="C97" s="3" t="inlineStr">
        <is>
          <t xml:space="preserve">CALCULADA — não digite.</t>
        </is>
      </c>
      <c r="D97" s="3" t="inlineStr">
        <is>
          <t xml:space="preserve">MS-01 › PP-01 › SP-01 › AT-01 › TR-01</t>
        </is>
      </c>
    </row>
    <row r="98">
      <c r="A98" s="7" t="inlineStr">
        <is>
          <t xml:space="preserve">Documentos</t>
        </is>
      </c>
      <c r="B98" s="7" t="inlineStr">
        <is>
          <t xml:space="preserve">ID</t>
        </is>
      </c>
      <c r="C98" s="6" t="inlineStr">
        <is>
          <t xml:space="preserve">Campo de preenchimento livre.</t>
        </is>
      </c>
      <c r="D98" s="6" t="inlineStr">
        <is>
          <t xml:space="preserve">DOC-001</t>
        </is>
      </c>
    </row>
    <row r="99">
      <c r="A99" s="4" t="inlineStr">
        <is>
          <t xml:space="preserve">Documentos</t>
        </is>
      </c>
      <c r="B99" s="4" t="inlineStr">
        <is>
          <t xml:space="preserve">Titulo</t>
        </is>
      </c>
      <c r="C99" s="3" t="inlineStr">
        <is>
          <t xml:space="preserve">Título de exibição.</t>
        </is>
      </c>
      <c r="D99" s="3" t="inlineStr">
        <is>
          <t xml:space="preserve">PRO 06.01 — Planejamento da Contratação</t>
        </is>
      </c>
    </row>
    <row r="100">
      <c r="A100" s="7" t="inlineStr">
        <is>
          <t xml:space="preserve">Documentos</t>
        </is>
      </c>
      <c r="B100" s="7" t="inlineStr">
        <is>
          <t xml:space="preserve">Tipo_Documento</t>
        </is>
      </c>
      <c r="C100" s="6" t="inlineStr">
        <is>
          <t xml:space="preserve">Campo de preenchimento livre.</t>
        </is>
      </c>
      <c r="D100" s="6" t="inlineStr">
        <is>
          <t xml:space="preserve">Procedimento (PRO)</t>
        </is>
      </c>
    </row>
    <row r="101">
      <c r="A101" s="4" t="inlineStr">
        <is>
          <t xml:space="preserve">Documentos</t>
        </is>
      </c>
      <c r="B101" s="4" t="inlineStr">
        <is>
          <t xml:space="preserve">Vinculo_Nivel</t>
        </is>
      </c>
      <c r="C101" s="3" t="inlineStr">
        <is>
          <t xml:space="preserve">CALCULADA — não digite.</t>
        </is>
      </c>
      <c r="D101" s="3" t="inlineStr">
        <is>
          <t xml:space="preserve">Processo</t>
        </is>
      </c>
    </row>
    <row r="102">
      <c r="A102" s="7" t="inlineStr">
        <is>
          <t xml:space="preserve">Documentos</t>
        </is>
      </c>
      <c r="B102" s="7" t="inlineStr">
        <is>
          <t xml:space="preserve">Vinculo_Codigo</t>
        </is>
      </c>
      <c r="C102" s="6" t="inlineStr">
        <is>
          <t xml:space="preserve">Campo de preenchimento livre.</t>
        </is>
      </c>
      <c r="D102" s="6" t="inlineStr">
        <is>
          <t xml:space="preserve">PP-01</t>
        </is>
      </c>
    </row>
    <row r="103">
      <c r="A103" s="4" t="inlineStr">
        <is>
          <t xml:space="preserve">Documentos</t>
        </is>
      </c>
      <c r="B103" s="4" t="inlineStr">
        <is>
          <t xml:space="preserve">Versao</t>
        </is>
      </c>
      <c r="C103" s="3" t="inlineStr">
        <is>
          <t xml:space="preserve">Campo de preenchimento livre.</t>
        </is>
      </c>
      <c r="D103" s="3">
        <v>2</v>
      </c>
    </row>
    <row r="104">
      <c r="A104" s="7" t="inlineStr">
        <is>
          <t xml:space="preserve">Documentos</t>
        </is>
      </c>
      <c r="B104" s="7" t="inlineStr">
        <is>
          <t xml:space="preserve">Data</t>
        </is>
      </c>
      <c r="C104" s="6" t="inlineStr">
        <is>
          <t xml:space="preserve">dd/mm/aaaa.</t>
        </is>
      </c>
      <c r="D104" s="6" t="inlineStr">
        <is>
          <t xml:space="preserve">18/05/2026</t>
        </is>
      </c>
    </row>
    <row r="105">
      <c r="A105" s="4" t="inlineStr">
        <is>
          <t xml:space="preserve">Documentos</t>
        </is>
      </c>
      <c r="B105" s="4" t="inlineStr">
        <is>
          <t xml:space="preserve">Situacao</t>
        </is>
      </c>
      <c r="C105" s="3" t="inlineStr">
        <is>
          <t xml:space="preserve">Campo de preenchimento livre.</t>
        </is>
      </c>
      <c r="D105" s="3" t="inlineStr">
        <is>
          <t xml:space="preserve">Vigente</t>
        </is>
      </c>
    </row>
    <row r="106">
      <c r="A106" s="7" t="inlineStr">
        <is>
          <t xml:space="preserve">Documentos</t>
        </is>
      </c>
      <c r="B106" s="7" t="inlineStr">
        <is>
          <t xml:space="preserve">Ato_Aprovacao</t>
        </is>
      </c>
      <c r="C106" s="6" t="inlineStr">
        <is>
          <t xml:space="preserve">Campo de preenchimento livre.</t>
        </is>
      </c>
      <c r="D106" s="6" t="inlineStr">
        <is>
          <t xml:space="preserve">Resolução nº 812, de 18/05/2026 (Diretoria Executiva)</t>
        </is>
      </c>
    </row>
    <row r="107">
      <c r="A107" s="4" t="inlineStr">
        <is>
          <t xml:space="preserve">Documentos</t>
        </is>
      </c>
      <c r="B107" s="4" t="inlineStr">
        <is>
          <t xml:space="preserve">Link</t>
        </is>
      </c>
      <c r="C107" s="3" t="inlineStr">
        <is>
          <t xml:space="preserve">URL de acesso.</t>
        </is>
      </c>
      <c r="D107" s="3" t="inlineStr">
        <is>
          <t xml:space="preserve">https://exemplo.codevasf.gov.br/repositorio/pop-06-01.pdf</t>
        </is>
      </c>
    </row>
    <row r="108">
      <c r="A108" s="7" t="inlineStr">
        <is>
          <t xml:space="preserve">Documentos</t>
        </is>
      </c>
      <c r="B108" s="7" t="inlineStr">
        <is>
          <t xml:space="preserve">Observacoes</t>
        </is>
      </c>
      <c r="C108" s="6" t="inlineStr">
        <is>
          <t xml:space="preserve">Nota livre.</t>
        </is>
      </c>
      <c r="D108" s="6" t="inlineStr">
        <is>
          <t xml:space="preserve">Publicado após validação do TO-BE.</t>
        </is>
      </c>
    </row>
    <row r="109">
      <c r="A109" s="4" t="inlineStr">
        <is>
          <t xml:space="preserve">Riscos</t>
        </is>
      </c>
      <c r="B109" s="4" t="inlineStr">
        <is>
          <t xml:space="preserve">ID</t>
        </is>
      </c>
      <c r="C109" s="3" t="inlineStr">
        <is>
          <t xml:space="preserve">Campo de preenchimento livre.</t>
        </is>
      </c>
      <c r="D109" s="3" t="inlineStr">
        <is>
          <t xml:space="preserve">RIS-001</t>
        </is>
      </c>
    </row>
    <row r="110">
      <c r="A110" s="7" t="inlineStr">
        <is>
          <t xml:space="preserve">Riscos</t>
        </is>
      </c>
      <c r="B110" s="7" t="inlineStr">
        <is>
          <t xml:space="preserve">Vinculo_Nivel</t>
        </is>
      </c>
      <c r="C110" s="6" t="inlineStr">
        <is>
          <t xml:space="preserve">CALCULADA — não digite.</t>
        </is>
      </c>
      <c r="D110" s="6" t="inlineStr">
        <is>
          <t xml:space="preserve">Processo</t>
        </is>
      </c>
    </row>
    <row r="111">
      <c r="A111" s="4" t="inlineStr">
        <is>
          <t xml:space="preserve">Riscos</t>
        </is>
      </c>
      <c r="B111" s="4" t="inlineStr">
        <is>
          <t xml:space="preserve">Vinculo_Codigo</t>
        </is>
      </c>
      <c r="C111" s="3" t="inlineStr">
        <is>
          <t xml:space="preserve">Campo de preenchimento livre.</t>
        </is>
      </c>
      <c r="D111" s="3" t="inlineStr">
        <is>
          <t xml:space="preserve">PP-01</t>
        </is>
      </c>
    </row>
    <row r="112">
      <c r="A112" s="7" t="inlineStr">
        <is>
          <t xml:space="preserve">Riscos</t>
        </is>
      </c>
      <c r="B112" s="7" t="inlineStr">
        <is>
          <t xml:space="preserve">Descricao_Risco</t>
        </is>
      </c>
      <c r="C112" s="6" t="inlineStr">
        <is>
          <t xml:space="preserve">Campo de preenchimento livre.</t>
        </is>
      </c>
      <c r="D112" s="6" t="inlineStr">
        <is>
          <t xml:space="preserve">Estimativas de preço defasadas gerando sobrepreço ou licitação deserta.</t>
        </is>
      </c>
    </row>
    <row r="113">
      <c r="A113" s="4" t="inlineStr">
        <is>
          <t xml:space="preserve">Riscos</t>
        </is>
      </c>
      <c r="B113" s="4" t="inlineStr">
        <is>
          <t xml:space="preserve">Categoria</t>
        </is>
      </c>
      <c r="C113" s="3" t="inlineStr">
        <is>
          <t xml:space="preserve">Classificação, lista fechada.</t>
        </is>
      </c>
      <c r="D113" s="3" t="inlineStr">
        <is>
          <t xml:space="preserve">Operacional</t>
        </is>
      </c>
    </row>
    <row r="114">
      <c r="A114" s="7" t="inlineStr">
        <is>
          <t xml:space="preserve">Riscos</t>
        </is>
      </c>
      <c r="B114" s="7" t="inlineStr">
        <is>
          <t xml:space="preserve">Fatores</t>
        </is>
      </c>
      <c r="C114" s="6" t="inlineStr">
        <is>
          <t xml:space="preserve">Campo de preenchimento livre.</t>
        </is>
      </c>
      <c r="D114" s="6" t="inlineStr">
        <is>
          <t xml:space="preserve">(sem exemplo)</t>
        </is>
      </c>
    </row>
    <row r="115">
      <c r="A115" s="4" t="inlineStr">
        <is>
          <t xml:space="preserve">Riscos</t>
        </is>
      </c>
      <c r="B115" s="4" t="inlineStr">
        <is>
          <t xml:space="preserve">Cronograma_Risco</t>
        </is>
      </c>
      <c r="C115" s="3" t="inlineStr">
        <is>
          <t xml:space="preserve">Campo de preenchimento livre.</t>
        </is>
      </c>
      <c r="D115" s="3" t="inlineStr">
        <is>
          <t xml:space="preserve">(sem exemplo)</t>
        </is>
      </c>
    </row>
    <row r="116">
      <c r="A116" s="7" t="inlineStr">
        <is>
          <t xml:space="preserve">Riscos</t>
        </is>
      </c>
      <c r="B116" s="7" t="inlineStr">
        <is>
          <t xml:space="preserve">Data_Identificacao</t>
        </is>
      </c>
      <c r="C116" s="6" t="inlineStr">
        <is>
          <t xml:space="preserve">Campo de preenchimento livre.</t>
        </is>
      </c>
      <c r="D116" s="6" t="inlineStr">
        <is>
          <t xml:space="preserve">05/01/2026</t>
        </is>
      </c>
    </row>
    <row r="117">
      <c r="A117" s="4" t="inlineStr">
        <is>
          <t xml:space="preserve">Riscos</t>
        </is>
      </c>
      <c r="B117" s="4" t="inlineStr">
        <is>
          <t xml:space="preserve">Probabilidade_1a5</t>
        </is>
      </c>
      <c r="C117" s="3" t="inlineStr">
        <is>
          <t xml:space="preserve">Campo de preenchimento livre.</t>
        </is>
      </c>
      <c r="D117" s="3">
        <v>4</v>
      </c>
    </row>
    <row r="118">
      <c r="A118" s="7" t="inlineStr">
        <is>
          <t xml:space="preserve">Riscos</t>
        </is>
      </c>
      <c r="B118" s="7" t="inlineStr">
        <is>
          <t xml:space="preserve">Impacto_1a5</t>
        </is>
      </c>
      <c r="C118" s="6" t="inlineStr">
        <is>
          <t xml:space="preserve">Campo de preenchimento livre.</t>
        </is>
      </c>
      <c r="D118" s="6">
        <v>4</v>
      </c>
    </row>
    <row r="119">
      <c r="A119" s="4" t="inlineStr">
        <is>
          <t xml:space="preserve">Riscos</t>
        </is>
      </c>
      <c r="B119" s="4" t="inlineStr">
        <is>
          <t xml:space="preserve">Nivel_PxI</t>
        </is>
      </c>
      <c r="C119" s="3" t="inlineStr">
        <is>
          <t xml:space="preserve">Campo de preenchimento livre.</t>
        </is>
      </c>
      <c r="D119" s="3">
        <v>16</v>
      </c>
    </row>
    <row r="120">
      <c r="A120" s="7" t="inlineStr">
        <is>
          <t xml:space="preserve">Riscos</t>
        </is>
      </c>
      <c r="B120" s="7" t="inlineStr">
        <is>
          <t xml:space="preserve">Classificacao</t>
        </is>
      </c>
      <c r="C120" s="6" t="inlineStr">
        <is>
          <t xml:space="preserve">Campo de preenchimento livre.</t>
        </is>
      </c>
      <c r="D120" s="6" t="inlineStr">
        <is>
          <t xml:space="preserve">Alto</t>
        </is>
      </c>
    </row>
    <row r="121">
      <c r="A121" s="4" t="inlineStr">
        <is>
          <t xml:space="preserve">Riscos</t>
        </is>
      </c>
      <c r="B121" s="4" t="inlineStr">
        <is>
          <t xml:space="preserve">Resposta</t>
        </is>
      </c>
      <c r="C121" s="3" t="inlineStr">
        <is>
          <t xml:space="preserve">Campo de preenchimento livre.</t>
        </is>
      </c>
      <c r="D121" s="3" t="inlineStr">
        <is>
          <t xml:space="preserve">Mitigar</t>
        </is>
      </c>
    </row>
    <row r="122">
      <c r="A122" s="7" t="inlineStr">
        <is>
          <t xml:space="preserve">Riscos</t>
        </is>
      </c>
      <c r="B122" s="7" t="inlineStr">
        <is>
          <t xml:space="preserve">Controles_Tratamento</t>
        </is>
      </c>
      <c r="C122" s="6" t="inlineStr">
        <is>
          <t xml:space="preserve">Campo de preenchimento livre.</t>
        </is>
      </c>
      <c r="D122" s="6" t="inlineStr">
        <is>
          <t xml:space="preserve">Roteiro de pesquisa com múltiplas fontes (Painel de Preços, PNCP) e revisão pela UNP.</t>
        </is>
      </c>
    </row>
    <row r="123">
      <c r="A123" s="4" t="inlineStr">
        <is>
          <t xml:space="preserve">Riscos</t>
        </is>
      </c>
      <c r="B123" s="4" t="inlineStr">
        <is>
          <t xml:space="preserve">Prazo_Tratamento</t>
        </is>
      </c>
      <c r="C123" s="3" t="inlineStr">
        <is>
          <t xml:space="preserve">Campo de preenchimento livre.</t>
        </is>
      </c>
      <c r="D123" s="3" t="inlineStr">
        <is>
          <t xml:space="preserve">30/09/2026</t>
        </is>
      </c>
    </row>
    <row r="124">
      <c r="A124" s="7" t="inlineStr">
        <is>
          <t xml:space="preserve">Riscos</t>
        </is>
      </c>
      <c r="B124" s="7" t="inlineStr">
        <is>
          <t xml:space="preserve">Responsavel</t>
        </is>
      </c>
      <c r="C124" s="6" t="inlineStr">
        <is>
          <t xml:space="preserve">Campo de preenchimento livre.</t>
        </is>
      </c>
      <c r="D124" s="6" t="inlineStr">
        <is>
          <t xml:space="preserve">Ricardo Nogueira</t>
        </is>
      </c>
    </row>
    <row r="125">
      <c r="A125" s="4" t="inlineStr">
        <is>
          <t xml:space="preserve">Riscos</t>
        </is>
      </c>
      <c r="B125" s="4" t="inlineStr">
        <is>
          <t xml:space="preserve">Status</t>
        </is>
      </c>
      <c r="C125" s="3" t="inlineStr">
        <is>
          <t xml:space="preserve">Lista fechada.</t>
        </is>
      </c>
      <c r="D125" s="3" t="inlineStr">
        <is>
          <t xml:space="preserve">Em tratamento</t>
        </is>
      </c>
    </row>
    <row r="126">
      <c r="A126" s="7" t="inlineStr">
        <is>
          <t xml:space="preserve">Metricas</t>
        </is>
      </c>
      <c r="B126" s="7" t="inlineStr">
        <is>
          <t xml:space="preserve">ID</t>
        </is>
      </c>
      <c r="C126" s="6" t="inlineStr">
        <is>
          <t xml:space="preserve">Campo de preenchimento livre.</t>
        </is>
      </c>
      <c r="D126" s="6" t="inlineStr">
        <is>
          <t xml:space="preserve">IND-001</t>
        </is>
      </c>
    </row>
    <row r="127">
      <c r="A127" s="4" t="inlineStr">
        <is>
          <t xml:space="preserve">Metricas</t>
        </is>
      </c>
      <c r="B127" s="4" t="inlineStr">
        <is>
          <t xml:space="preserve">Nome</t>
        </is>
      </c>
      <c r="C127" s="3" t="inlineStr">
        <is>
          <t xml:space="preserve">Nome do item.</t>
        </is>
      </c>
      <c r="D127" s="3" t="inlineStr">
        <is>
          <t xml:space="preserve">Tempo médio do ciclo de contratação</t>
        </is>
      </c>
    </row>
    <row r="128">
      <c r="A128" s="7" t="inlineStr">
        <is>
          <t xml:space="preserve">Metricas</t>
        </is>
      </c>
      <c r="B128" s="7" t="inlineStr">
        <is>
          <t xml:space="preserve">Vinculo_Nivel</t>
        </is>
      </c>
      <c r="C128" s="6" t="inlineStr">
        <is>
          <t xml:space="preserve">CALCULADA — não digite.</t>
        </is>
      </c>
      <c r="D128" s="6" t="inlineStr">
        <is>
          <t xml:space="preserve">Macroprocesso</t>
        </is>
      </c>
    </row>
    <row r="129">
      <c r="A129" s="4" t="inlineStr">
        <is>
          <t xml:space="preserve">Metricas</t>
        </is>
      </c>
      <c r="B129" s="4" t="inlineStr">
        <is>
          <t xml:space="preserve">Vinculo_Codigo</t>
        </is>
      </c>
      <c r="C129" s="3" t="inlineStr">
        <is>
          <t xml:space="preserve">Campo de preenchimento livre.</t>
        </is>
      </c>
      <c r="D129" s="3" t="inlineStr">
        <is>
          <t xml:space="preserve">MS-01</t>
        </is>
      </c>
    </row>
    <row r="130">
      <c r="A130" s="7" t="inlineStr">
        <is>
          <t xml:space="preserve">Metricas</t>
        </is>
      </c>
      <c r="B130" s="7" t="inlineStr">
        <is>
          <t xml:space="preserve">Categoria</t>
        </is>
      </c>
      <c r="C130" s="6" t="inlineStr">
        <is>
          <t xml:space="preserve">Classificação, lista fechada.</t>
        </is>
      </c>
      <c r="D130" s="6" t="inlineStr">
        <is>
          <t xml:space="preserve">Processo</t>
        </is>
      </c>
    </row>
    <row r="131">
      <c r="A131" s="4" t="inlineStr">
        <is>
          <t xml:space="preserve">Metricas</t>
        </is>
      </c>
      <c r="B131" s="4" t="inlineStr">
        <is>
          <t xml:space="preserve">Descricao_Formula</t>
        </is>
      </c>
      <c r="C131" s="3" t="inlineStr">
        <is>
          <t xml:space="preserve">Campo de preenchimento livre.</t>
        </is>
      </c>
      <c r="D131" s="3" t="inlineStr">
        <is>
          <t xml:space="preserve">Média de dias entre o DFD e a homologação do certame.</t>
        </is>
      </c>
    </row>
    <row r="132">
      <c r="A132" s="7" t="inlineStr">
        <is>
          <t xml:space="preserve">Metricas</t>
        </is>
      </c>
      <c r="B132" s="7" t="inlineStr">
        <is>
          <t xml:space="preserve">Unidade</t>
        </is>
      </c>
      <c r="C132" s="6" t="inlineStr">
        <is>
          <t xml:space="preserve">Campo de preenchimento livre.</t>
        </is>
      </c>
      <c r="D132" s="6" t="inlineStr">
        <is>
          <t xml:space="preserve">dias</t>
        </is>
      </c>
    </row>
    <row r="133">
      <c r="A133" s="4" t="inlineStr">
        <is>
          <t xml:space="preserve">Metricas</t>
        </is>
      </c>
      <c r="B133" s="4" t="inlineStr">
        <is>
          <t xml:space="preserve">Polaridade</t>
        </is>
      </c>
      <c r="C133" s="3" t="inlineStr">
        <is>
          <t xml:space="preserve">Campo de preenchimento livre.</t>
        </is>
      </c>
      <c r="D133" s="3" t="inlineStr">
        <is>
          <t xml:space="preserve">Menor melhor</t>
        </is>
      </c>
    </row>
    <row r="134">
      <c r="A134" s="7" t="inlineStr">
        <is>
          <t xml:space="preserve">Metricas</t>
        </is>
      </c>
      <c r="B134" s="7" t="inlineStr">
        <is>
          <t xml:space="preserve">Meta</t>
        </is>
      </c>
      <c r="C134" s="6" t="inlineStr">
        <is>
          <t xml:space="preserve">Campo de preenchimento livre.</t>
        </is>
      </c>
      <c r="D134" s="6">
        <v>120</v>
      </c>
    </row>
    <row r="135">
      <c r="A135" s="4" t="inlineStr">
        <is>
          <t xml:space="preserve">Metricas</t>
        </is>
      </c>
      <c r="B135" s="4" t="inlineStr">
        <is>
          <t xml:space="preserve">Periodicidade</t>
        </is>
      </c>
      <c r="C135" s="3" t="inlineStr">
        <is>
          <t xml:space="preserve">Campo de preenchimento livre.</t>
        </is>
      </c>
      <c r="D135" s="3" t="inlineStr">
        <is>
          <t xml:space="preserve">Trimestral</t>
        </is>
      </c>
    </row>
    <row r="136">
      <c r="A136" s="7" t="inlineStr">
        <is>
          <t xml:space="preserve">Metricas</t>
        </is>
      </c>
      <c r="B136" s="7" t="inlineStr">
        <is>
          <t xml:space="preserve">Fonte</t>
        </is>
      </c>
      <c r="C136" s="6" t="inlineStr">
        <is>
          <t xml:space="preserve">De onde vem a informação.</t>
        </is>
      </c>
      <c r="D136" s="6" t="inlineStr">
        <is>
          <t xml:space="preserve">Compras.gov.br</t>
        </is>
      </c>
    </row>
    <row r="137">
      <c r="A137" s="4" t="inlineStr">
        <is>
          <t xml:space="preserve">Metricas</t>
        </is>
      </c>
      <c r="B137" s="4" t="inlineStr">
        <is>
          <t xml:space="preserve">Observacoes</t>
        </is>
      </c>
      <c r="C137" s="3" t="inlineStr">
        <is>
          <t xml:space="preserve">Nota livre.</t>
        </is>
      </c>
      <c r="D137" s="3" t="inlineStr">
        <is>
          <t xml:space="preserve">Acordado com as áreas demandantes em 2026.</t>
        </is>
      </c>
    </row>
    <row r="138">
      <c r="A138" s="7" t="inlineStr">
        <is>
          <t xml:space="preserve">Medicoes</t>
        </is>
      </c>
      <c r="B138" s="7" t="inlineStr">
        <is>
          <t xml:space="preserve">ID</t>
        </is>
      </c>
      <c r="C138" s="6" t="inlineStr">
        <is>
          <t xml:space="preserve">Campo de preenchimento livre.</t>
        </is>
      </c>
      <c r="D138" s="6" t="inlineStr">
        <is>
          <t xml:space="preserve">MED-001</t>
        </is>
      </c>
    </row>
    <row r="139">
      <c r="A139" s="4" t="inlineStr">
        <is>
          <t xml:space="preserve">Medicoes</t>
        </is>
      </c>
      <c r="B139" s="4" t="inlineStr">
        <is>
          <t xml:space="preserve">Metrica_ID</t>
        </is>
      </c>
      <c r="C139" s="3" t="inlineStr">
        <is>
          <t xml:space="preserve">Campo de preenchimento livre.</t>
        </is>
      </c>
      <c r="D139" s="3" t="inlineStr">
        <is>
          <t xml:space="preserve">IND-001</t>
        </is>
      </c>
    </row>
    <row r="140">
      <c r="A140" s="7" t="inlineStr">
        <is>
          <t xml:space="preserve">Medicoes</t>
        </is>
      </c>
      <c r="B140" s="7" t="inlineStr">
        <is>
          <t xml:space="preserve">Data_Medicao</t>
        </is>
      </c>
      <c r="C140" s="6" t="inlineStr">
        <is>
          <t xml:space="preserve">Campo de preenchimento livre.</t>
        </is>
      </c>
      <c r="D140" s="6" t="inlineStr">
        <is>
          <t xml:space="preserve">30/06/2026</t>
        </is>
      </c>
    </row>
    <row r="141">
      <c r="A141" s="4" t="inlineStr">
        <is>
          <t xml:space="preserve">Medicoes</t>
        </is>
      </c>
      <c r="B141" s="4" t="inlineStr">
        <is>
          <t xml:space="preserve">Valor</t>
        </is>
      </c>
      <c r="C141" s="3" t="inlineStr">
        <is>
          <t xml:space="preserve">Campo de preenchimento livre.</t>
        </is>
      </c>
      <c r="D141" s="3">
        <v>148</v>
      </c>
    </row>
    <row r="142">
      <c r="A142" s="7" t="inlineStr">
        <is>
          <t xml:space="preserve">Medicoes</t>
        </is>
      </c>
      <c r="B142" s="7" t="inlineStr">
        <is>
          <t xml:space="preserve">Observacao</t>
        </is>
      </c>
      <c r="C142" s="6" t="inlineStr">
        <is>
          <t xml:space="preserve">Nota livre.</t>
        </is>
      </c>
      <c r="D142" s="6" t="inlineStr">
        <is>
          <t xml:space="preserve">Primeira apuração do trimestre.</t>
        </is>
      </c>
    </row>
    <row r="143">
      <c r="A143" s="4" t="inlineStr">
        <is>
          <t xml:space="preserve">Papeis</t>
        </is>
      </c>
      <c r="B143" s="4" t="inlineStr">
        <is>
          <t xml:space="preserve">ID</t>
        </is>
      </c>
      <c r="C143" s="3" t="inlineStr">
        <is>
          <t xml:space="preserve">Campo de preenchimento livre.</t>
        </is>
      </c>
      <c r="D143" s="3" t="inlineStr">
        <is>
          <t xml:space="preserve">PAP-001</t>
        </is>
      </c>
    </row>
    <row r="144">
      <c r="A144" s="7" t="inlineStr">
        <is>
          <t xml:space="preserve">Papeis</t>
        </is>
      </c>
      <c r="B144" s="7" t="inlineStr">
        <is>
          <t xml:space="preserve">Vinculo_Nivel</t>
        </is>
      </c>
      <c r="C144" s="6" t="inlineStr">
        <is>
          <t xml:space="preserve">CALCULADA — não digite.</t>
        </is>
      </c>
      <c r="D144" s="6" t="inlineStr">
        <is>
          <t xml:space="preserve">Processo</t>
        </is>
      </c>
    </row>
    <row r="145">
      <c r="A145" s="4" t="inlineStr">
        <is>
          <t xml:space="preserve">Papeis</t>
        </is>
      </c>
      <c r="B145" s="4" t="inlineStr">
        <is>
          <t xml:space="preserve">Vinculo_Codigo</t>
        </is>
      </c>
      <c r="C145" s="3" t="inlineStr">
        <is>
          <t xml:space="preserve">Campo de preenchimento livre.</t>
        </is>
      </c>
      <c r="D145" s="3" t="inlineStr">
        <is>
          <t xml:space="preserve">PP-01</t>
        </is>
      </c>
    </row>
    <row r="146">
      <c r="A146" s="7" t="inlineStr">
        <is>
          <t xml:space="preserve">Papeis</t>
        </is>
      </c>
      <c r="B146" s="7" t="inlineStr">
        <is>
          <t xml:space="preserve">Papel</t>
        </is>
      </c>
      <c r="C146" s="6" t="inlineStr">
        <is>
          <t xml:space="preserve">Campo de preenchimento livre.</t>
        </is>
      </c>
      <c r="D146" s="6" t="inlineStr">
        <is>
          <t xml:space="preserve">Gestor do processo</t>
        </is>
      </c>
    </row>
    <row r="147">
      <c r="A147" s="4" t="inlineStr">
        <is>
          <t xml:space="preserve">Papeis</t>
        </is>
      </c>
      <c r="B147" s="4" t="inlineStr">
        <is>
          <t xml:space="preserve">Envolvimento</t>
        </is>
      </c>
      <c r="C147" s="3" t="inlineStr">
        <is>
          <t xml:space="preserve">Campo de preenchimento livre.</t>
        </is>
      </c>
      <c r="D147" s="3" t="inlineStr">
        <is>
          <t xml:space="preserve">Aprova (A)</t>
        </is>
      </c>
    </row>
    <row r="148">
      <c r="A148" s="7" t="inlineStr">
        <is>
          <t xml:space="preserve">Papeis</t>
        </is>
      </c>
      <c r="B148" s="7" t="inlineStr">
        <is>
          <t xml:space="preserve">Unidade_Pessoa</t>
        </is>
      </c>
      <c r="C148" s="6" t="inlineStr">
        <is>
          <t xml:space="preserve">Campo de preenchimento livre.</t>
        </is>
      </c>
      <c r="D148" s="6" t="inlineStr">
        <is>
          <t xml:space="preserve">AE/GAG</t>
        </is>
      </c>
    </row>
    <row r="149">
      <c r="A149" s="4" t="inlineStr">
        <is>
          <t xml:space="preserve">Regras</t>
        </is>
      </c>
      <c r="B149" s="4" t="inlineStr">
        <is>
          <t xml:space="preserve">ID</t>
        </is>
      </c>
      <c r="C149" s="3" t="inlineStr">
        <is>
          <t xml:space="preserve">Campo de preenchimento livre.</t>
        </is>
      </c>
      <c r="D149" s="3" t="inlineStr">
        <is>
          <t xml:space="preserve">REG-001</t>
        </is>
      </c>
    </row>
    <row r="150">
      <c r="A150" s="7" t="inlineStr">
        <is>
          <t xml:space="preserve">Regras</t>
        </is>
      </c>
      <c r="B150" s="7" t="inlineStr">
        <is>
          <t xml:space="preserve">Nome</t>
        </is>
      </c>
      <c r="C150" s="6" t="inlineStr">
        <is>
          <t xml:space="preserve">Nome do item.</t>
        </is>
      </c>
      <c r="D150" s="6" t="inlineStr">
        <is>
          <t xml:space="preserve">Alçada de aprovação por valor</t>
        </is>
      </c>
    </row>
    <row r="151">
      <c r="A151" s="4" t="inlineStr">
        <is>
          <t xml:space="preserve">Regras</t>
        </is>
      </c>
      <c r="B151" s="4" t="inlineStr">
        <is>
          <t xml:space="preserve">Vinculo_Nivel</t>
        </is>
      </c>
      <c r="C151" s="3" t="inlineStr">
        <is>
          <t xml:space="preserve">CALCULADA — não digite.</t>
        </is>
      </c>
      <c r="D151" s="3" t="inlineStr">
        <is>
          <t xml:space="preserve">Macroprocesso</t>
        </is>
      </c>
    </row>
    <row r="152">
      <c r="A152" s="7" t="inlineStr">
        <is>
          <t xml:space="preserve">Regras</t>
        </is>
      </c>
      <c r="B152" s="7" t="inlineStr">
        <is>
          <t xml:space="preserve">Vinculo_Codigo</t>
        </is>
      </c>
      <c r="C152" s="6" t="inlineStr">
        <is>
          <t xml:space="preserve">Campo de preenchimento livre.</t>
        </is>
      </c>
      <c r="D152" s="6" t="inlineStr">
        <is>
          <t xml:space="preserve">MS-01</t>
        </is>
      </c>
    </row>
    <row r="153">
      <c r="A153" s="4" t="inlineStr">
        <is>
          <t xml:space="preserve">Regras</t>
        </is>
      </c>
      <c r="B153" s="4" t="inlineStr">
        <is>
          <t xml:space="preserve">Tipo_Regra</t>
        </is>
      </c>
      <c r="C153" s="3" t="inlineStr">
        <is>
          <t xml:space="preserve">Campo de preenchimento livre.</t>
        </is>
      </c>
      <c r="D153" s="3" t="inlineStr">
        <is>
          <t xml:space="preserve">Operação</t>
        </is>
      </c>
    </row>
    <row r="154">
      <c r="A154" s="7" t="inlineStr">
        <is>
          <t xml:space="preserve">Regras</t>
        </is>
      </c>
      <c r="B154" s="7" t="inlineStr">
        <is>
          <t xml:space="preserve">Descricao</t>
        </is>
      </c>
      <c r="C154" s="6" t="inlineStr">
        <is>
          <t xml:space="preserve">Explicação livre.</t>
        </is>
      </c>
      <c r="D154" s="6" t="inlineStr">
        <is>
          <t xml:space="preserve">Contratações acima de R$ 50.000 exigem aprovação da autoridade competente.</t>
        </is>
      </c>
    </row>
    <row r="155">
      <c r="A155" s="4" t="inlineStr">
        <is>
          <t xml:space="preserve">Regras</t>
        </is>
      </c>
      <c r="B155" s="4" t="inlineStr">
        <is>
          <t xml:space="preserve">Fonte_Normativa</t>
        </is>
      </c>
      <c r="C155" s="3" t="inlineStr">
        <is>
          <t xml:space="preserve">Campo de preenchimento livre.</t>
        </is>
      </c>
      <c r="D155" s="3" t="inlineStr">
        <is>
          <t xml:space="preserve">Lei nº 14.133/2021</t>
        </is>
      </c>
    </row>
    <row r="156">
      <c r="A156" s="7" t="inlineStr">
        <is>
          <t xml:space="preserve">Cultura_Processos</t>
        </is>
      </c>
      <c r="B156" s="7" t="inlineStr">
        <is>
          <t xml:space="preserve">ID</t>
        </is>
      </c>
      <c r="C156" s="6" t="inlineStr">
        <is>
          <t xml:space="preserve">Campo de preenchimento livre.</t>
        </is>
      </c>
      <c r="D156" s="6" t="inlineStr">
        <is>
          <t xml:space="preserve">CULT-01</t>
        </is>
      </c>
    </row>
    <row r="157">
      <c r="A157" s="4" t="inlineStr">
        <is>
          <t xml:space="preserve">Cultura_Processos</t>
        </is>
      </c>
      <c r="B157" s="4" t="inlineStr">
        <is>
          <t xml:space="preserve">Ordem</t>
        </is>
      </c>
      <c r="C157" s="3" t="inlineStr">
        <is>
          <t xml:space="preserve">Posição de exibição.</t>
        </is>
      </c>
      <c r="D157" s="3">
        <v>1</v>
      </c>
    </row>
    <row r="158">
      <c r="A158" s="7" t="inlineStr">
        <is>
          <t xml:space="preserve">Cultura_Processos</t>
        </is>
      </c>
      <c r="B158" s="7" t="inlineStr">
        <is>
          <t xml:space="preserve">Caracteristica</t>
        </is>
      </c>
      <c r="C158" s="6" t="inlineStr">
        <is>
          <t xml:space="preserve">Campo de preenchimento livre.</t>
        </is>
      </c>
      <c r="D158" s="6" t="inlineStr">
        <is>
          <t xml:space="preserve">Acordo geral sobre o que são os processos de negócio</t>
        </is>
      </c>
    </row>
    <row r="159">
      <c r="A159" s="4" t="inlineStr">
        <is>
          <t xml:space="preserve">Cultura_Processos</t>
        </is>
      </c>
      <c r="B159" s="4" t="inlineStr">
        <is>
          <t xml:space="preserve">Situacao</t>
        </is>
      </c>
      <c r="C159" s="3" t="inlineStr">
        <is>
          <t xml:space="preserve">Campo de preenchimento livre.</t>
        </is>
      </c>
      <c r="D159" s="3" t="inlineStr">
        <is>
          <t xml:space="preserve">Não avaliado</t>
        </is>
      </c>
    </row>
    <row r="160">
      <c r="A160" s="7" t="inlineStr">
        <is>
          <t xml:space="preserve">Cultura_Processos</t>
        </is>
      </c>
      <c r="B160" s="7" t="inlineStr">
        <is>
          <t xml:space="preserve">Observacao</t>
        </is>
      </c>
      <c r="C160" s="6" t="inlineStr">
        <is>
          <t xml:space="preserve">Nota livre.</t>
        </is>
      </c>
      <c r="D160" s="6" t="inlineStr">
        <is>
          <t xml:space="preserve">(sem exemplo)</t>
        </is>
      </c>
    </row>
    <row r="161">
      <c r="A161" s="4" t="inlineStr">
        <is>
          <t xml:space="preserve">Iniciativas</t>
        </is>
      </c>
      <c r="B161" s="4" t="inlineStr">
        <is>
          <t xml:space="preserve">ID</t>
        </is>
      </c>
      <c r="C161" s="3" t="inlineStr">
        <is>
          <t xml:space="preserve">Campo de preenchimento livre.</t>
        </is>
      </c>
      <c r="D161" s="3" t="inlineStr">
        <is>
          <t xml:space="preserve">INI-001</t>
        </is>
      </c>
    </row>
    <row r="162">
      <c r="A162" s="7" t="inlineStr">
        <is>
          <t xml:space="preserve">Iniciativas</t>
        </is>
      </c>
      <c r="B162" s="7" t="inlineStr">
        <is>
          <t xml:space="preserve">Data</t>
        </is>
      </c>
      <c r="C162" s="6" t="inlineStr">
        <is>
          <t xml:space="preserve">dd/mm/aaaa.</t>
        </is>
      </c>
      <c r="D162" s="6" t="inlineStr">
        <is>
          <t xml:space="preserve">20/05/2026</t>
        </is>
      </c>
    </row>
    <row r="163">
      <c r="A163" s="4" t="inlineStr">
        <is>
          <t xml:space="preserve">Iniciativas</t>
        </is>
      </c>
      <c r="B163" s="4" t="inlineStr">
        <is>
          <t xml:space="preserve">Titulo</t>
        </is>
      </c>
      <c r="C163" s="3" t="inlineStr">
        <is>
          <t xml:space="preserve">Título de exibição.</t>
        </is>
      </c>
      <c r="D163" s="3" t="inlineStr">
        <is>
          <t xml:space="preserve">Automação da conferência de preços na pesquisa (PP-01)</t>
        </is>
      </c>
    </row>
    <row r="164">
      <c r="A164" s="7" t="inlineStr">
        <is>
          <t xml:space="preserve">Iniciativas</t>
        </is>
      </c>
      <c r="B164" s="7" t="inlineStr">
        <is>
          <t xml:space="preserve">Tipo</t>
        </is>
      </c>
      <c r="C164" s="6" t="inlineStr">
        <is>
          <t xml:space="preserve">Campo de preenchimento livre.</t>
        </is>
      </c>
      <c r="D164" s="6" t="inlineStr">
        <is>
          <t xml:space="preserve">Automação</t>
        </is>
      </c>
    </row>
    <row r="165">
      <c r="A165" s="4" t="inlineStr">
        <is>
          <t xml:space="preserve">Iniciativas</t>
        </is>
      </c>
      <c r="B165" s="4" t="inlineStr">
        <is>
          <t xml:space="preserve">Descricao</t>
        </is>
      </c>
      <c r="C165" s="3" t="inlineStr">
        <is>
          <t xml:space="preserve">Explicação livre.</t>
        </is>
      </c>
      <c r="D165" s="3" t="inlineStr">
        <is>
          <t xml:space="preserve">A equipe de TI usou o PRO e o roteiro de pesquisa de preços publicados no repositório (DOC-007) p...</t>
        </is>
      </c>
    </row>
    <row r="166">
      <c r="A166" s="7" t="inlineStr">
        <is>
          <t xml:space="preserve">Iniciativas</t>
        </is>
      </c>
      <c r="B166" s="7" t="inlineStr">
        <is>
          <t xml:space="preserve">Processos_Relacionados</t>
        </is>
      </c>
      <c r="C166" s="6" t="inlineStr">
        <is>
          <t xml:space="preserve">Campo de preenchimento livre.</t>
        </is>
      </c>
      <c r="D166" s="6" t="inlineStr">
        <is>
          <t xml:space="preserve">PP-01</t>
        </is>
      </c>
    </row>
    <row r="167">
      <c r="A167" s="4" t="inlineStr">
        <is>
          <t xml:space="preserve">Competencias</t>
        </is>
      </c>
      <c r="B167" s="4" t="inlineStr">
        <is>
          <t xml:space="preserve">Ordem</t>
        </is>
      </c>
      <c r="C167" s="3" t="inlineStr">
        <is>
          <t xml:space="preserve">Posição de exibição.</t>
        </is>
      </c>
      <c r="D167" s="3">
        <v>1</v>
      </c>
    </row>
    <row r="168">
      <c r="A168" s="7" t="inlineStr">
        <is>
          <t xml:space="preserve">Competencias</t>
        </is>
      </c>
      <c r="B168" s="7" t="inlineStr">
        <is>
          <t xml:space="preserve">Instancia</t>
        </is>
      </c>
      <c r="C168" s="6" t="inlineStr">
        <is>
          <t xml:space="preserve">Campo de preenchimento livre.</t>
        </is>
      </c>
      <c r="D168" s="6" t="inlineStr">
        <is>
          <t xml:space="preserve">Conselho de Administração</t>
        </is>
      </c>
    </row>
    <row r="169">
      <c r="A169" s="4" t="inlineStr">
        <is>
          <t xml:space="preserve">Competencias</t>
        </is>
      </c>
      <c r="B169" s="4" t="inlineStr">
        <is>
          <t xml:space="preserve">Item_Normativo</t>
        </is>
      </c>
      <c r="C169" s="3" t="inlineStr">
        <is>
          <t xml:space="preserve">Campo de preenchimento livre.</t>
        </is>
      </c>
      <c r="D169" s="3">
        <v>3.1</v>
      </c>
    </row>
    <row r="170">
      <c r="A170" s="7" t="inlineStr">
        <is>
          <t xml:space="preserve">Competencias</t>
        </is>
      </c>
      <c r="B170" s="7" t="inlineStr">
        <is>
          <t xml:space="preserve">Atribuicoes</t>
        </is>
      </c>
      <c r="C170" s="6" t="inlineStr">
        <is>
          <t xml:space="preserve">Campo de preenchimento livre.</t>
        </is>
      </c>
      <c r="D170" s="6" t="inlineStr">
        <is>
          <t xml:space="preserve">Garantir o apoio institucional para a gestão de processos.</t>
        </is>
      </c>
    </row>
    <row r="171">
      <c r="A171" s="4" t="inlineStr">
        <is>
          <t xml:space="preserve">Jornada</t>
        </is>
      </c>
      <c r="B171" s="4" t="inlineStr">
        <is>
          <t xml:space="preserve">Ordem</t>
        </is>
      </c>
      <c r="C171" s="3" t="inlineStr">
        <is>
          <t xml:space="preserve">Posição de exibição.</t>
        </is>
      </c>
      <c r="D171" s="3">
        <v>1</v>
      </c>
    </row>
    <row r="172">
      <c r="A172" s="7" t="inlineStr">
        <is>
          <t xml:space="preserve">Jornada</t>
        </is>
      </c>
      <c r="B172" s="7" t="inlineStr">
        <is>
          <t xml:space="preserve">Fase</t>
        </is>
      </c>
      <c r="C172" s="6" t="inlineStr">
        <is>
          <t xml:space="preserve">Campo de preenchimento livre.</t>
        </is>
      </c>
      <c r="D172" s="6" t="inlineStr">
        <is>
          <t xml:space="preserve">Descobrir</t>
        </is>
      </c>
    </row>
    <row r="173">
      <c r="A173" s="4" t="inlineStr">
        <is>
          <t xml:space="preserve">Jornada</t>
        </is>
      </c>
      <c r="B173" s="4" t="inlineStr">
        <is>
          <t xml:space="preserve">Nome</t>
        </is>
      </c>
      <c r="C173" s="3" t="inlineStr">
        <is>
          <t xml:space="preserve">Nome do item.</t>
        </is>
      </c>
      <c r="D173" s="3" t="inlineStr">
        <is>
          <t xml:space="preserve">Escuta e contextualização</t>
        </is>
      </c>
    </row>
    <row r="174">
      <c r="A174" s="7" t="inlineStr">
        <is>
          <t xml:space="preserve">Jornada</t>
        </is>
      </c>
      <c r="B174" s="7" t="inlineStr">
        <is>
          <t xml:space="preserve">Duracao</t>
        </is>
      </c>
      <c r="C174" s="6" t="inlineStr">
        <is>
          <t xml:space="preserve">Campo de preenchimento livre.</t>
        </is>
      </c>
      <c r="D174" s="6" t="inlineStr">
        <is>
          <t xml:space="preserve">1–2 semanas</t>
        </is>
      </c>
    </row>
    <row r="175">
      <c r="A175" s="4" t="inlineStr">
        <is>
          <t xml:space="preserve">Jornada</t>
        </is>
      </c>
      <c r="B175" s="4" t="inlineStr">
        <is>
          <t xml:space="preserve">Objetivo</t>
        </is>
      </c>
      <c r="C175" s="3" t="inlineStr">
        <is>
          <t xml:space="preserve">Resultado que busca entregar.</t>
        </is>
      </c>
      <c r="D175" s="3" t="inlineStr">
        <is>
          <t xml:space="preserve">Compreender a dor real, o contexto e as expectativas de quem executa e de quem se beneficia do pr...</t>
        </is>
      </c>
    </row>
    <row r="176">
      <c r="A176" s="7" t="inlineStr">
        <is>
          <t xml:space="preserve">Jornada</t>
        </is>
      </c>
      <c r="B176" s="7" t="inlineStr">
        <is>
          <t xml:space="preserve">Atividades_Chave</t>
        </is>
      </c>
      <c r="C176" s="6" t="inlineStr">
        <is>
          <t xml:space="preserve">Campo de preenchimento livre.</t>
        </is>
      </c>
      <c r="D176" s="6" t="inlineStr">
        <is>
          <t xml:space="preserve">Reunião de sensibilização com a unidade demandante; Entrevistas semiestruturadas com executores e...</t>
        </is>
      </c>
    </row>
    <row r="177">
      <c r="A177" s="4" t="inlineStr">
        <is>
          <t xml:space="preserve">Jornada</t>
        </is>
      </c>
      <c r="B177" s="4" t="inlineStr">
        <is>
          <t xml:space="preserve">Quem_Faz</t>
        </is>
      </c>
      <c r="C177" s="3" t="inlineStr">
        <is>
          <t xml:space="preserve">Campo de preenchimento livre.</t>
        </is>
      </c>
      <c r="D177" s="3" t="inlineStr">
        <is>
          <t xml:space="preserve">NUGEP; Interlocutor da área; Dono do processo</t>
        </is>
      </c>
    </row>
    <row r="178">
      <c r="A178" s="7" t="inlineStr">
        <is>
          <t xml:space="preserve">Jornada</t>
        </is>
      </c>
      <c r="B178" s="7" t="inlineStr">
        <is>
          <t xml:space="preserve">Entregaveis</t>
        </is>
      </c>
      <c r="C178" s="6" t="inlineStr">
        <is>
          <t xml:space="preserve">Campo de preenchimento livre.</t>
        </is>
      </c>
      <c r="D178" s="6" t="inlineStr">
        <is>
          <t xml:space="preserve">Ata de reunião; Formulário preenchido; Mapa de partes interessadas</t>
        </is>
      </c>
    </row>
    <row r="179">
      <c r="A179" s="4" t="inlineStr">
        <is>
          <t xml:space="preserve">Jornada</t>
        </is>
      </c>
      <c r="B179" s="4" t="inlineStr">
        <is>
          <t xml:space="preserve">Sentimento_Usuario</t>
        </is>
      </c>
      <c r="C179" s="3" t="inlineStr">
        <is>
          <t xml:space="preserve">Campo de preenchimento livre.</t>
        </is>
      </c>
      <c r="D179" s="3" t="inlineStr">
        <is>
          <t xml:space="preserve">Curiosidade e ansiedade: “por que estão olhando meu trabalho?”</t>
        </is>
      </c>
    </row>
    <row r="180">
      <c r="A180" s="7" t="inlineStr">
        <is>
          <t xml:space="preserve">Repositorio</t>
        </is>
      </c>
      <c r="B180" s="7" t="inlineStr">
        <is>
          <t xml:space="preserve">ID</t>
        </is>
      </c>
      <c r="C180" s="6" t="inlineStr">
        <is>
          <t xml:space="preserve">Campo de preenchimento livre.</t>
        </is>
      </c>
      <c r="D180" s="6" t="inlineStr">
        <is>
          <t xml:space="preserve">REP-001</t>
        </is>
      </c>
    </row>
    <row r="181">
      <c r="A181" s="4" t="inlineStr">
        <is>
          <t xml:space="preserve">Repositorio</t>
        </is>
      </c>
      <c r="B181" s="4" t="inlineStr">
        <is>
          <t xml:space="preserve">Categoria</t>
        </is>
      </c>
      <c r="C181" s="3" t="inlineStr">
        <is>
          <t xml:space="preserve">Classificação, lista fechada.</t>
        </is>
      </c>
      <c r="D181" s="3" t="inlineStr">
        <is>
          <t xml:space="preserve">Documento oficial</t>
        </is>
      </c>
    </row>
    <row r="182">
      <c r="A182" s="7" t="inlineStr">
        <is>
          <t xml:space="preserve">Repositorio</t>
        </is>
      </c>
      <c r="B182" s="7" t="inlineStr">
        <is>
          <t xml:space="preserve">Fase_Ciclo</t>
        </is>
      </c>
      <c r="C182" s="6" t="inlineStr">
        <is>
          <t xml:space="preserve">Campo de preenchimento livre.</t>
        </is>
      </c>
      <c r="D182" s="6" t="inlineStr">
        <is>
          <t xml:space="preserve">Desenho</t>
        </is>
      </c>
    </row>
    <row r="183">
      <c r="A183" s="4" t="inlineStr">
        <is>
          <t xml:space="preserve">Repositorio</t>
        </is>
      </c>
      <c r="B183" s="4" t="inlineStr">
        <is>
          <t xml:space="preserve">Titulo</t>
        </is>
      </c>
      <c r="C183" s="3" t="inlineStr">
        <is>
          <t xml:space="preserve">Título de exibição.</t>
        </is>
      </c>
      <c r="D183" s="3" t="inlineStr">
        <is>
          <t xml:space="preserve">Metodologia de Gerenciamento de Processos da Codevasf</t>
        </is>
      </c>
    </row>
    <row r="184">
      <c r="A184" s="7" t="inlineStr">
        <is>
          <t xml:space="preserve">Repositorio</t>
        </is>
      </c>
      <c r="B184" s="7" t="inlineStr">
        <is>
          <t xml:space="preserve">Descricao</t>
        </is>
      </c>
      <c r="C184" s="6" t="inlineStr">
        <is>
          <t xml:space="preserve">Explicação livre.</t>
        </is>
      </c>
      <c r="D184" s="6" t="inlineStr">
        <is>
          <t xml:space="preserve">Documento normativo que institui a metodologia corporativa de gerenciamento de processos (disponí...</t>
        </is>
      </c>
    </row>
    <row r="185">
      <c r="A185" s="4" t="inlineStr">
        <is>
          <t xml:space="preserve">Repositorio</t>
        </is>
      </c>
      <c r="B185" s="4" t="inlineStr">
        <is>
          <t xml:space="preserve">Fonte</t>
        </is>
      </c>
      <c r="C185" s="3" t="inlineStr">
        <is>
          <t xml:space="preserve">De onde vem a informação.</t>
        </is>
      </c>
      <c r="D185" s="3" t="inlineStr">
        <is>
          <t xml:space="preserve">Codevasf</t>
        </is>
      </c>
    </row>
    <row r="186">
      <c r="A186" s="7" t="inlineStr">
        <is>
          <t xml:space="preserve">Repositorio</t>
        </is>
      </c>
      <c r="B186" s="7" t="inlineStr">
        <is>
          <t xml:space="preserve">Link</t>
        </is>
      </c>
      <c r="C186" s="6" t="inlineStr">
        <is>
          <t xml:space="preserve">URL de acesso.</t>
        </is>
      </c>
      <c r="D186" s="6" t="inlineStr">
        <is>
          <t xml:space="preserve">https://intraplone.codevasf.gov.br/documentos_normativos_referencia/governanca-e-gestao/copy_of_p...</t>
        </is>
      </c>
    </row>
    <row r="187">
      <c r="A187" s="4" t="inlineStr">
        <is>
          <t xml:space="preserve">Repositorio</t>
        </is>
      </c>
      <c r="B187" s="4" t="inlineStr">
        <is>
          <t xml:space="preserve">Ordem</t>
        </is>
      </c>
      <c r="C187" s="3" t="inlineStr">
        <is>
          <t xml:space="preserve">Posição de exibição.</t>
        </is>
      </c>
      <c r="D187" s="3">
        <v>1</v>
      </c>
    </row>
    <row r="188">
      <c r="A188" s="7" t="inlineStr">
        <is>
          <t xml:space="preserve">NUGEP</t>
        </is>
      </c>
      <c r="B188" s="7" t="inlineStr">
        <is>
          <t xml:space="preserve">Ordem</t>
        </is>
      </c>
      <c r="C188" s="6" t="inlineStr">
        <is>
          <t xml:space="preserve">Posição de exibição.</t>
        </is>
      </c>
      <c r="D188" s="6">
        <v>1</v>
      </c>
    </row>
    <row r="189">
      <c r="A189" s="4" t="inlineStr">
        <is>
          <t xml:space="preserve">NUGEP</t>
        </is>
      </c>
      <c r="B189" s="4" t="inlineStr">
        <is>
          <t xml:space="preserve">Nome</t>
        </is>
      </c>
      <c r="C189" s="3" t="inlineStr">
        <is>
          <t xml:space="preserve">Nome do item.</t>
        </is>
      </c>
      <c r="D189" s="3" t="inlineStr">
        <is>
          <t xml:space="preserve">Ricardo Nunes Vasconcelos</t>
        </is>
      </c>
    </row>
    <row r="190">
      <c r="A190" s="7" t="inlineStr">
        <is>
          <t xml:space="preserve">NUGEP</t>
        </is>
      </c>
      <c r="B190" s="7" t="inlineStr">
        <is>
          <t xml:space="preserve">Papel</t>
        </is>
      </c>
      <c r="C190" s="6" t="inlineStr">
        <is>
          <t xml:space="preserve">Campo de preenchimento livre.</t>
        </is>
      </c>
      <c r="D190" s="6" t="inlineStr">
        <is>
          <t xml:space="preserve">Gerente-Executivo da Área de Gestão Estratégica</t>
        </is>
      </c>
    </row>
    <row r="191">
      <c r="A191" s="4" t="inlineStr">
        <is>
          <t xml:space="preserve">NUGEP</t>
        </is>
      </c>
      <c r="B191" s="4" t="inlineStr">
        <is>
          <t xml:space="preserve">Unidade_Sigla</t>
        </is>
      </c>
      <c r="C191" s="3" t="inlineStr">
        <is>
          <t xml:space="preserve">Campo de preenchimento livre.</t>
        </is>
      </c>
      <c r="D191" s="3" t="inlineStr">
        <is>
          <t xml:space="preserve">AE</t>
        </is>
      </c>
    </row>
    <row r="192">
      <c r="A192" s="7" t="inlineStr">
        <is>
          <t xml:space="preserve">NUGEP</t>
        </is>
      </c>
      <c r="B192" s="7" t="inlineStr">
        <is>
          <t xml:space="preserve">Unidade_Nome</t>
        </is>
      </c>
      <c r="C192" s="6" t="inlineStr">
        <is>
          <t xml:space="preserve">Campo de preenchimento livre.</t>
        </is>
      </c>
      <c r="D192" s="6" t="inlineStr">
        <is>
          <t xml:space="preserve">Área de Gestão Estratégica</t>
        </is>
      </c>
    </row>
    <row r="193">
      <c r="A193" s="4" t="inlineStr">
        <is>
          <t xml:space="preserve">NUGEP</t>
        </is>
      </c>
      <c r="B193" s="4" t="inlineStr">
        <is>
          <t xml:space="preserve">Email</t>
        </is>
      </c>
      <c r="C193" s="3" t="inlineStr">
        <is>
          <t xml:space="preserve">Campo de preenchimento livre.</t>
        </is>
      </c>
      <c r="D193" s="3" t="inlineStr">
        <is>
          <t xml:space="preserve">ricardo.vasconcelos@codevasf.gov.br</t>
        </is>
      </c>
    </row>
    <row r="194">
      <c r="A194" s="7" t="inlineStr">
        <is>
          <t xml:space="preserve">NUGEP</t>
        </is>
      </c>
      <c r="B194" s="7" t="inlineStr">
        <is>
          <t xml:space="preserve">Telefone</t>
        </is>
      </c>
      <c r="C194" s="6" t="inlineStr">
        <is>
          <t xml:space="preserve">Campo de preenchimento livre.</t>
        </is>
      </c>
      <c r="D194" s="6" t="inlineStr">
        <is>
          <t xml:space="preserve">(61) 2028-4400</t>
        </is>
      </c>
    </row>
    <row r="195">
      <c r="A195" s="4" t="inlineStr">
        <is>
          <t xml:space="preserve">NUGEP</t>
        </is>
      </c>
      <c r="B195" s="4" t="inlineStr">
        <is>
          <t xml:space="preserve">Foto</t>
        </is>
      </c>
      <c r="C195" s="3" t="inlineStr">
        <is>
          <t xml:space="preserve">Campo de preenchimento livre.</t>
        </is>
      </c>
      <c r="D195" s="3" t="inlineStr">
        <is>
          <t xml:space="preserve">https://randomuser.me/api/portraits/men/32.jpg</t>
        </is>
      </c>
    </row>
    <row r="196">
      <c r="A196" s="7" t="inlineStr">
        <is>
          <t xml:space="preserve">NUGEP</t>
        </is>
      </c>
      <c r="B196" s="7" t="inlineStr">
        <is>
          <t xml:space="preserve">Hierarquia</t>
        </is>
      </c>
      <c r="C196" s="6" t="inlineStr">
        <is>
          <t xml:space="preserve">Campo de preenchimento livre.</t>
        </is>
      </c>
      <c r="D196" s="6">
        <v>1</v>
      </c>
    </row>
    <row r="197">
      <c r="A197" s="4" t="inlineStr">
        <is>
          <t xml:space="preserve">Glossario</t>
        </is>
      </c>
      <c r="B197" s="4" t="inlineStr">
        <is>
          <t xml:space="preserve">Termo</t>
        </is>
      </c>
      <c r="C197" s="3" t="inlineStr">
        <is>
          <t xml:space="preserve">Campo de preenchimento livre.</t>
        </is>
      </c>
      <c r="D197" s="3" t="inlineStr">
        <is>
          <t xml:space="preserve">ABPMP</t>
        </is>
      </c>
    </row>
    <row r="198">
      <c r="A198" s="7" t="inlineStr">
        <is>
          <t xml:space="preserve">Glossario</t>
        </is>
      </c>
      <c r="B198" s="7" t="inlineStr">
        <is>
          <t xml:space="preserve">Definicao</t>
        </is>
      </c>
      <c r="C198" s="6" t="inlineStr">
        <is>
          <t xml:space="preserve">Campo de preenchimento livre.</t>
        </is>
      </c>
      <c r="D198" s="6" t="inlineStr">
        <is>
          <t xml:space="preserve">Association of Business Process Management Professionals — entidade internacional sem fins lucrat...</t>
        </is>
      </c>
    </row>
    <row r="199">
      <c r="A199" s="4" t="inlineStr">
        <is>
          <t xml:space="preserve">Glossario</t>
        </is>
      </c>
      <c r="B199" s="4" t="inlineStr">
        <is>
          <t xml:space="preserve">Fonte</t>
        </is>
      </c>
      <c r="C199" s="3" t="inlineStr">
        <is>
          <t xml:space="preserve">De onde vem a informação.</t>
        </is>
      </c>
      <c r="D199" s="3" t="inlineStr">
        <is>
          <t xml:space="preserve">ABPMP</t>
        </is>
      </c>
    </row>
    <row r="200">
      <c r="A200" s="7" t="inlineStr">
        <is>
          <t xml:space="preserve">FAQ</t>
        </is>
      </c>
      <c r="B200" s="7" t="inlineStr">
        <is>
          <t xml:space="preserve">Ordem</t>
        </is>
      </c>
      <c r="C200" s="6" t="inlineStr">
        <is>
          <t xml:space="preserve">Posição de exibição.</t>
        </is>
      </c>
      <c r="D200" s="6">
        <v>1</v>
      </c>
    </row>
    <row r="201">
      <c r="A201" s="4" t="inlineStr">
        <is>
          <t xml:space="preserve">FAQ</t>
        </is>
      </c>
      <c r="B201" s="4" t="inlineStr">
        <is>
          <t xml:space="preserve">Categoria</t>
        </is>
      </c>
      <c r="C201" s="3" t="inlineStr">
        <is>
          <t xml:space="preserve">Classificação, lista fechada.</t>
        </is>
      </c>
      <c r="D201" s="3" t="inlineStr">
        <is>
          <t xml:space="preserve">Conceitos básicos</t>
        </is>
      </c>
    </row>
    <row r="202">
      <c r="A202" s="7" t="inlineStr">
        <is>
          <t xml:space="preserve">FAQ</t>
        </is>
      </c>
      <c r="B202" s="7" t="inlineStr">
        <is>
          <t xml:space="preserve">Pergunta</t>
        </is>
      </c>
      <c r="C202" s="6" t="inlineStr">
        <is>
          <t xml:space="preserve">Campo de preenchimento livre.</t>
        </is>
      </c>
      <c r="D202" s="6" t="inlineStr">
        <is>
          <t xml:space="preserve">O que é Gestão de Processos (BPM)?</t>
        </is>
      </c>
    </row>
    <row r="203">
      <c r="A203" s="4" t="inlineStr">
        <is>
          <t xml:space="preserve">FAQ</t>
        </is>
      </c>
      <c r="B203" s="4" t="inlineStr">
        <is>
          <t xml:space="preserve">Resposta</t>
        </is>
      </c>
      <c r="C203" s="3" t="inlineStr">
        <is>
          <t xml:space="preserve">Campo de preenchimento livre.</t>
        </is>
      </c>
      <c r="D203" s="3" t="inlineStr">
        <is>
          <t xml:space="preserve">Business Process Management é uma disciplina gerencial integrada que combina técnicas, métodos e ...</t>
        </is>
      </c>
    </row>
    <row r="204">
      <c r="A204" s="7" t="inlineStr">
        <is>
          <t xml:space="preserve">Siglas</t>
        </is>
      </c>
      <c r="B204" s="7" t="inlineStr">
        <is>
          <t xml:space="preserve">Sigla</t>
        </is>
      </c>
      <c r="C204" s="6" t="inlineStr">
        <is>
          <t xml:space="preserve">Campo de preenchimento livre.</t>
        </is>
      </c>
      <c r="D204" s="6" t="inlineStr">
        <is>
          <t xml:space="preserve">10ª/AJ</t>
        </is>
      </c>
    </row>
    <row r="205">
      <c r="A205" s="4" t="inlineStr">
        <is>
          <t xml:space="preserve">Siglas</t>
        </is>
      </c>
      <c r="B205" s="4" t="inlineStr">
        <is>
          <t xml:space="preserve">Nome</t>
        </is>
      </c>
      <c r="C205" s="3" t="inlineStr">
        <is>
          <t xml:space="preserve">Nome do item.</t>
        </is>
      </c>
      <c r="D205" s="3" t="inlineStr">
        <is>
          <t xml:space="preserve">Assessoria Jurídica Regional</t>
        </is>
      </c>
    </row>
    <row r="206">
      <c r="A206" s="7" t="inlineStr">
        <is>
          <t xml:space="preserve">Parametros</t>
        </is>
      </c>
      <c r="B206" s="7" t="inlineStr">
        <is>
          <t xml:space="preserve">Chave</t>
        </is>
      </c>
      <c r="C206" s="6" t="inlineStr">
        <is>
          <t xml:space="preserve">Campo de preenchimento livre.</t>
        </is>
      </c>
      <c r="D206" s="6" t="inlineStr">
        <is>
          <t xml:space="preserve">Contato_Unidade</t>
        </is>
      </c>
    </row>
    <row r="207">
      <c r="A207" s="4" t="inlineStr">
        <is>
          <t xml:space="preserve">Parametros</t>
        </is>
      </c>
      <c r="B207" s="4" t="inlineStr">
        <is>
          <t xml:space="preserve">Valor</t>
        </is>
      </c>
      <c r="C207" s="3" t="inlineStr">
        <is>
          <t xml:space="preserve">Campo de preenchimento livre.</t>
        </is>
      </c>
      <c r="D207" s="3" t="inlineStr">
        <is>
          <t xml:space="preserve">Unidade de Gestão Normativa e de Processos (AE/GPE/UNP)</t>
        </is>
      </c>
    </row>
    <row r="208">
      <c r="A208" s="7" t="inlineStr">
        <is>
          <t xml:space="preserve">Listas</t>
        </is>
      </c>
      <c r="B208" s="7" t="inlineStr">
        <is>
          <t xml:space="preserve">Categoria_Macroprocesso</t>
        </is>
      </c>
      <c r="C208" s="6" t="inlineStr">
        <is>
          <t xml:space="preserve">Campo de preenchimento livre.</t>
        </is>
      </c>
      <c r="D208" s="6" t="inlineStr">
        <is>
          <t xml:space="preserve">Gerencial</t>
        </is>
      </c>
    </row>
    <row r="209">
      <c r="A209" s="4" t="inlineStr">
        <is>
          <t xml:space="preserve">Listas</t>
        </is>
      </c>
      <c r="B209" s="4" t="inlineStr">
        <is>
          <t xml:space="preserve">Status_Mapeamento</t>
        </is>
      </c>
      <c r="C209" s="3" t="inlineStr">
        <is>
          <t xml:space="preserve">Campo de preenchimento livre.</t>
        </is>
      </c>
      <c r="D209" s="3" t="inlineStr">
        <is>
          <t xml:space="preserve">Não iniciado</t>
        </is>
      </c>
    </row>
    <row r="210">
      <c r="A210" s="7" t="inlineStr">
        <is>
          <t xml:space="preserve">Listas</t>
        </is>
      </c>
      <c r="B210" s="7" t="inlineStr">
        <is>
          <t xml:space="preserve">Prioridade</t>
        </is>
      </c>
      <c r="C210" s="6" t="inlineStr">
        <is>
          <t xml:space="preserve">Campo de preenchimento livre.</t>
        </is>
      </c>
      <c r="D210" s="6" t="inlineStr">
        <is>
          <t xml:space="preserve">Alta</t>
        </is>
      </c>
    </row>
    <row r="211">
      <c r="A211" s="4" t="inlineStr">
        <is>
          <t xml:space="preserve">Listas</t>
        </is>
      </c>
      <c r="B211" s="4" t="inlineStr">
        <is>
          <t xml:space="preserve">Complexidade</t>
        </is>
      </c>
      <c r="C211" s="3" t="inlineStr">
        <is>
          <t xml:space="preserve">Campo de preenchimento livre.</t>
        </is>
      </c>
      <c r="D211" s="3" t="inlineStr">
        <is>
          <t xml:space="preserve">Alta</t>
        </is>
      </c>
    </row>
    <row r="212">
      <c r="A212" s="7" t="inlineStr">
        <is>
          <t xml:space="preserve">Listas</t>
        </is>
      </c>
      <c r="B212" s="7" t="inlineStr">
        <is>
          <t xml:space="preserve">Maturidade_Processo</t>
        </is>
      </c>
      <c r="C212" s="6" t="inlineStr">
        <is>
          <t xml:space="preserve">Campo de preenchimento livre.</t>
        </is>
      </c>
      <c r="D212" s="6" t="inlineStr">
        <is>
          <t xml:space="preserve">Inicial</t>
        </is>
      </c>
    </row>
    <row r="213">
      <c r="A213" s="4" t="inlineStr">
        <is>
          <t xml:space="preserve">Listas</t>
        </is>
      </c>
      <c r="B213" s="4" t="inlineStr">
        <is>
          <t xml:space="preserve">Sim_Nao</t>
        </is>
      </c>
      <c r="C213" s="3" t="inlineStr">
        <is>
          <t xml:space="preserve">Campo de preenchimento livre.</t>
        </is>
      </c>
      <c r="D213" s="3" t="inlineStr">
        <is>
          <t xml:space="preserve">Sim</t>
        </is>
      </c>
    </row>
    <row r="214">
      <c r="A214" s="7" t="inlineStr">
        <is>
          <t xml:space="preserve">Listas</t>
        </is>
      </c>
      <c r="B214" s="7" t="inlineStr">
        <is>
          <t xml:space="preserve">Nivel_Vinculo</t>
        </is>
      </c>
      <c r="C214" s="6" t="inlineStr">
        <is>
          <t xml:space="preserve">Campo de preenchimento livre.</t>
        </is>
      </c>
      <c r="D214" s="6" t="inlineStr">
        <is>
          <t xml:space="preserve">Macroprocesso</t>
        </is>
      </c>
    </row>
    <row r="215">
      <c r="A215" s="4" t="inlineStr">
        <is>
          <t xml:space="preserve">Listas</t>
        </is>
      </c>
      <c r="B215" s="4" t="inlineStr">
        <is>
          <t xml:space="preserve">Tipo_Atividade</t>
        </is>
      </c>
      <c r="C215" s="3" t="inlineStr">
        <is>
          <t xml:space="preserve">Campo de preenchimento livre.</t>
        </is>
      </c>
      <c r="D215" s="3" t="inlineStr">
        <is>
          <t xml:space="preserve">Agregação de Valor</t>
        </is>
      </c>
    </row>
    <row r="216">
      <c r="A216" s="7" t="inlineStr">
        <is>
          <t xml:space="preserve">Listas</t>
        </is>
      </c>
      <c r="B216" s="7" t="inlineStr">
        <is>
          <t xml:space="preserve">Tipo_Tarefa</t>
        </is>
      </c>
      <c r="C216" s="6" t="inlineStr">
        <is>
          <t xml:space="preserve">Campo de preenchimento livre.</t>
        </is>
      </c>
      <c r="D216" s="6" t="inlineStr">
        <is>
          <t xml:space="preserve">Manual</t>
        </is>
      </c>
    </row>
    <row r="217">
      <c r="A217" s="4" t="inlineStr">
        <is>
          <t xml:space="preserve">Listas</t>
        </is>
      </c>
      <c r="B217" s="4" t="inlineStr">
        <is>
          <t xml:space="preserve">Tipo_Documento</t>
        </is>
      </c>
      <c r="C217" s="3" t="inlineStr">
        <is>
          <t xml:space="preserve">Campo de preenchimento livre.</t>
        </is>
      </c>
      <c r="D217" s="3" t="inlineStr">
        <is>
          <t xml:space="preserve">Procedimento (PRO)</t>
        </is>
      </c>
    </row>
    <row r="218">
      <c r="A218" s="7" t="inlineStr">
        <is>
          <t xml:space="preserve">Listas</t>
        </is>
      </c>
      <c r="B218" s="7" t="inlineStr">
        <is>
          <t xml:space="preserve">Situacao_Documento</t>
        </is>
      </c>
      <c r="C218" s="6" t="inlineStr">
        <is>
          <t xml:space="preserve">Campo de preenchimento livre.</t>
        </is>
      </c>
      <c r="D218" s="6" t="inlineStr">
        <is>
          <t xml:space="preserve">Vigente</t>
        </is>
      </c>
    </row>
    <row r="219">
      <c r="A219" s="4" t="inlineStr">
        <is>
          <t xml:space="preserve">Listas</t>
        </is>
      </c>
      <c r="B219" s="4" t="inlineStr">
        <is>
          <t xml:space="preserve">Categoria_Risco</t>
        </is>
      </c>
      <c r="C219" s="3" t="inlineStr">
        <is>
          <t xml:space="preserve">Campo de preenchimento livre.</t>
        </is>
      </c>
      <c r="D219" s="3" t="inlineStr">
        <is>
          <t xml:space="preserve">Operacional</t>
        </is>
      </c>
    </row>
    <row r="220">
      <c r="A220" s="7" t="inlineStr">
        <is>
          <t xml:space="preserve">Listas</t>
        </is>
      </c>
      <c r="B220" s="7" t="inlineStr">
        <is>
          <t xml:space="preserve">Resposta_Risco</t>
        </is>
      </c>
      <c r="C220" s="6" t="inlineStr">
        <is>
          <t xml:space="preserve">Campo de preenchimento livre.</t>
        </is>
      </c>
      <c r="D220" s="6" t="inlineStr">
        <is>
          <t xml:space="preserve">Mitigar</t>
        </is>
      </c>
    </row>
    <row r="221">
      <c r="A221" s="4" t="inlineStr">
        <is>
          <t xml:space="preserve">Listas</t>
        </is>
      </c>
      <c r="B221" s="4" t="inlineStr">
        <is>
          <t xml:space="preserve">Status_Risco</t>
        </is>
      </c>
      <c r="C221" s="3" t="inlineStr">
        <is>
          <t xml:space="preserve">Campo de preenchimento livre.</t>
        </is>
      </c>
      <c r="D221" s="3" t="inlineStr">
        <is>
          <t xml:space="preserve">Aberto</t>
        </is>
      </c>
    </row>
    <row r="222">
      <c r="A222" s="7" t="inlineStr">
        <is>
          <t xml:space="preserve">Listas</t>
        </is>
      </c>
      <c r="B222" s="7" t="inlineStr">
        <is>
          <t xml:space="preserve">Envolvimento_RACI</t>
        </is>
      </c>
      <c r="C222" s="6" t="inlineStr">
        <is>
          <t xml:space="preserve">Campo de preenchimento livre.</t>
        </is>
      </c>
      <c r="D222" s="6" t="inlineStr">
        <is>
          <t xml:space="preserve">Executa (R)</t>
        </is>
      </c>
    </row>
    <row r="223">
      <c r="A223" s="4" t="inlineStr">
        <is>
          <t xml:space="preserve">Listas</t>
        </is>
      </c>
      <c r="B223" s="4" t="inlineStr">
        <is>
          <t xml:space="preserve">Tipo_Regra</t>
        </is>
      </c>
      <c r="C223" s="3" t="inlineStr">
        <is>
          <t xml:space="preserve">Campo de preenchimento livre.</t>
        </is>
      </c>
      <c r="D223" s="3" t="inlineStr">
        <is>
          <t xml:space="preserve">Operação</t>
        </is>
      </c>
    </row>
    <row r="224">
      <c r="A224" s="7" t="inlineStr">
        <is>
          <t xml:space="preserve">Listas</t>
        </is>
      </c>
      <c r="B224" s="7" t="inlineStr">
        <is>
          <t xml:space="preserve">Polaridade</t>
        </is>
      </c>
      <c r="C224" s="6" t="inlineStr">
        <is>
          <t xml:space="preserve">Campo de preenchimento livre.</t>
        </is>
      </c>
      <c r="D224" s="6" t="inlineStr">
        <is>
          <t xml:space="preserve">Maior melhor</t>
        </is>
      </c>
    </row>
    <row r="225">
      <c r="A225" s="4" t="inlineStr">
        <is>
          <t xml:space="preserve">Listas</t>
        </is>
      </c>
      <c r="B225" s="4" t="inlineStr">
        <is>
          <t xml:space="preserve">Periodicidade</t>
        </is>
      </c>
      <c r="C225" s="3" t="inlineStr">
        <is>
          <t xml:space="preserve">Campo de preenchimento livre.</t>
        </is>
      </c>
      <c r="D225" s="3" t="inlineStr">
        <is>
          <t xml:space="preserve">Mensal</t>
        </is>
      </c>
    </row>
    <row r="226">
      <c r="A226" s="7" t="inlineStr">
        <is>
          <t xml:space="preserve">Listas</t>
        </is>
      </c>
      <c r="B226" s="7" t="inlineStr">
        <is>
          <t xml:space="preserve">Situacao_Cultura</t>
        </is>
      </c>
      <c r="C226" s="6" t="inlineStr">
        <is>
          <t xml:space="preserve">Campo de preenchimento livre.</t>
        </is>
      </c>
      <c r="D226" s="6" t="inlineStr">
        <is>
          <t xml:space="preserve">Sim</t>
        </is>
      </c>
    </row>
    <row r="227">
      <c r="A227" s="4" t="inlineStr">
        <is>
          <t xml:space="preserve">Listas</t>
        </is>
      </c>
      <c r="B227" s="4" t="inlineStr">
        <is>
          <t xml:space="preserve">Tipo_Iniciativa</t>
        </is>
      </c>
      <c r="C227" s="3" t="inlineStr">
        <is>
          <t xml:space="preserve">Campo de preenchimento livre.</t>
        </is>
      </c>
      <c r="D227" s="3" t="inlineStr">
        <is>
          <t xml:space="preserve">Automação</t>
        </is>
      </c>
    </row>
    <row r="228">
      <c r="A228" s="7" t="inlineStr">
        <is>
          <t xml:space="preserve">Listas</t>
        </is>
      </c>
      <c r="B228" s="7" t="inlineStr">
        <is>
          <t xml:space="preserve">Categoria_Repositorio</t>
        </is>
      </c>
      <c r="C228" s="6" t="inlineStr">
        <is>
          <t xml:space="preserve">Campo de preenchimento livre.</t>
        </is>
      </c>
      <c r="D228" s="6" t="inlineStr">
        <is>
          <t xml:space="preserve">Documento oficial</t>
        </is>
      </c>
    </row>
    <row r="229">
      <c r="A229" s="4" t="inlineStr">
        <is>
          <t xml:space="preserve">Listas</t>
        </is>
      </c>
      <c r="B229" s="4" t="inlineStr">
        <is>
          <t xml:space="preserve">Fase_Instrumento</t>
        </is>
      </c>
      <c r="C229" s="3" t="inlineStr">
        <is>
          <t xml:space="preserve">Campo de preenchimento livre.</t>
        </is>
      </c>
      <c r="D229" s="3" t="inlineStr">
        <is>
          <t xml:space="preserve">Planejamento</t>
        </is>
      </c>
    </row>
    <row r="230">
      <c r="A230" s="7" t="inlineStr">
        <is>
          <t xml:space="preserve">Listas</t>
        </is>
      </c>
      <c r="B230" s="7" t="inlineStr">
        <is>
          <t xml:space="preserve">Categoria_FAQ</t>
        </is>
      </c>
      <c r="C230" s="6" t="inlineStr">
        <is>
          <t xml:space="preserve">Campo de preenchimento livre.</t>
        </is>
      </c>
      <c r="D230" s="6" t="inlineStr">
        <is>
          <t xml:space="preserve">Conceitos básicos</t>
        </is>
      </c>
    </row>
    <row r="231">
      <c r="A231" s="4" t="inlineStr">
        <is>
          <t xml:space="preserve">Listas</t>
        </is>
      </c>
      <c r="B231" s="4" t="inlineStr">
        <is>
          <t xml:space="preserve">FK_Todos_Codigos</t>
        </is>
      </c>
      <c r="C231" s="3" t="inlineStr">
        <is>
          <t xml:space="preserve">Campo de preenchimento livre.</t>
        </is>
      </c>
      <c r="D231" s="3" t="inlineStr">
        <is>
          <t xml:space="preserve">MG-01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0" customWidth="1"/>
    <col min="2" max="2" width="34" customWidth="1"/>
    <col min="3" max="3" width="13" customWidth="1"/>
    <col min="4" max="4" width="7" customWidth="1"/>
    <col min="5" max="5" width="16" customWidth="1"/>
    <col min="6" max="6" width="30" customWidth="1"/>
    <col min="7" max="7" width="46" customWidth="1"/>
    <col min="8" max="8" width="46" customWidth="1"/>
    <col min="9" max="9" width="40" customWidth="1"/>
    <col min="10" max="10" width="34" customWidth="1"/>
    <col min="11" max="11" width="34" customWidth="1"/>
    <col min="12" max="12" width="30" customWidth="1"/>
    <col min="13" max="13" width="30" customWidth="1"/>
    <col min="14" max="14" width="26" customWidth="1"/>
    <col min="15" max="15" width="14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Unidade_Organica_Responsavel</t>
        </is>
      </c>
      <c r="F1" s="1" t="inlineStr">
        <is>
          <t xml:space="preserve">Unidades_Organicas_Corresponsaveis</t>
        </is>
      </c>
      <c r="G1" s="1" t="inlineStr">
        <is>
          <t xml:space="preserve">Descricao</t>
        </is>
      </c>
      <c r="H1" s="1" t="inlineStr">
        <is>
          <t xml:space="preserve">Objetivo</t>
        </is>
      </c>
      <c r="I1" s="1" t="inlineStr">
        <is>
          <t xml:space="preserve">Entregas</t>
        </is>
      </c>
      <c r="J1" s="1" t="inlineStr">
        <is>
          <t xml:space="preserve">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Imagem_Bizagi</t>
        </is>
      </c>
      <c r="N1" s="1" t="inlineStr">
        <is>
          <t xml:space="preserve">Observacoes</t>
        </is>
      </c>
      <c r="O1" s="1" t="inlineStr">
        <is>
          <t xml:space="preserve">Trilha</t>
        </is>
      </c>
    </row>
    <row r="2">
      <c r="A2" s="7" t="inlineStr">
        <is>
          <t xml:space="preserve">MG-01</t>
        </is>
      </c>
      <c r="B2" s="6" t="inlineStr">
        <is>
          <t xml:space="preserve">Gestão Estratégica e Governança</t>
        </is>
      </c>
      <c r="C2" s="7" t="inlineStr">
        <is>
          <t xml:space="preserve">Gerencial</t>
        </is>
      </c>
      <c r="D2" s="7">
        <v>1</v>
      </c>
      <c r="E2" s="7" t="inlineStr">
        <is>
          <t xml:space="preserve">AE/GPE</t>
        </is>
      </c>
      <c r="F2" s="6" t="inlineStr">
        <is>
          <t xml:space="preserve">AR/GDT; AI/GOM</t>
        </is>
      </c>
      <c r="G2" s="6" t="inlineStr">
        <is>
          <t xml:space="preserve">Formulação, desdobramento e monitoramento da estratégia corporativa, da governança e do desempenho institucional.</t>
        </is>
      </c>
      <c r="H2" s="6" t="inlineStr">
        <is>
          <t xml:space="preserve">Garantir que a atuação da Companhia esteja alinhada à estratégia, com decisões baseadas em evidências.</t>
        </is>
      </c>
      <c r="I2" s="6" t="inlineStr">
        <is>
          <t xml:space="preserve">Plano Estratégico; Plano de Ação Anual; Relatórios de desempenho</t>
        </is>
      </c>
      <c r="J2" s="6" t="inlineStr">
        <is>
          <t xml:space="preserve">Diretoria Executiva; Conselho de Administração; Unidades internas</t>
        </is>
      </c>
      <c r="K2" s="6" t="inlineStr">
        <is>
          <t xml:space="preserve">Ministério supervisor; Órgãos de controle; Sociedade</t>
        </is>
      </c>
      <c r="L2" s="6" t="inlineStr">
        <is>
          <t xml:space="preserve">e-Codevasf; Painéis de BI</t>
        </is>
      </c>
      <c r="O2" s="8" t="str">
        <f>=A2</f>
        <v>MG-01</v>
      </c>
    </row>
    <row r="3">
      <c r="A3" s="4" t="inlineStr">
        <is>
          <t xml:space="preserve">MG-02</t>
        </is>
      </c>
      <c r="B3" s="3" t="inlineStr">
        <is>
          <t xml:space="preserve">Gestão de Riscos, Integridade e Controles</t>
        </is>
      </c>
      <c r="C3" s="4" t="inlineStr">
        <is>
          <t xml:space="preserve">Gerencial</t>
        </is>
      </c>
      <c r="D3" s="4">
        <v>2</v>
      </c>
      <c r="E3" s="4" t="inlineStr">
        <is>
          <t xml:space="preserve">AE/GAG</t>
        </is>
      </c>
      <c r="F3" s="3" t="inlineStr">
        <is>
          <t xml:space="preserve">AI/GOM; AR/GRB</t>
        </is>
      </c>
      <c r="G3" s="3" t="inlineStr">
        <is>
          <t xml:space="preserve">Identificação, avaliação e tratamento de riscos corporativos, integridade e controles internos (2ª linha).</t>
        </is>
      </c>
      <c r="H3" s="3" t="inlineStr">
        <is>
          <t xml:space="preserve">Assegurar razoável segurança para o alcance dos objetivos institucionais.</t>
        </is>
      </c>
      <c r="I3" s="3" t="inlineStr">
        <is>
          <t xml:space="preserve">Política de Gestão de Riscos; Matriz de riscos corporativa; Plano de integridade</t>
        </is>
      </c>
      <c r="J3" s="3" t="inlineStr">
        <is>
          <t xml:space="preserve">Alta administração; Gestores de 1ª linha</t>
        </is>
      </c>
      <c r="K3" s="3" t="inlineStr">
        <is>
          <t xml:space="preserve">Auditoria interna; CGU; TCU</t>
        </is>
      </c>
      <c r="L3" s="3" t="inlineStr">
        <is>
          <t xml:space="preserve">e-Codevasf; Sistema de gestão de riscos</t>
        </is>
      </c>
      <c r="O3" s="8" t="str">
        <f>=A3</f>
        <v>MG-02</v>
      </c>
    </row>
    <row r="4">
      <c r="A4" s="7" t="inlineStr">
        <is>
          <t xml:space="preserve">MF-01</t>
        </is>
      </c>
      <c r="B4" s="6" t="inlineStr">
        <is>
          <t xml:space="preserve">Desenvolvimento Territorial e Estruturação Produtiva</t>
        </is>
      </c>
      <c r="C4" s="7" t="inlineStr">
        <is>
          <t xml:space="preserve">Finalístico</t>
        </is>
      </c>
      <c r="D4" s="7">
        <v>3</v>
      </c>
      <c r="E4" s="7" t="inlineStr">
        <is>
          <t xml:space="preserve">AR/GDT</t>
        </is>
      </c>
      <c r="F4" s="6" t="inlineStr">
        <is>
          <t xml:space="preserve">AR/GRB; AA/GLC</t>
        </is>
      </c>
      <c r="G4" s="6" t="inlineStr">
        <is>
          <t xml:space="preserve">Apoio a arranjos produtivos, inclusão socioeconômica e estruturação de cadeias produtivas nos vales.</t>
        </is>
      </c>
      <c r="H4" s="6" t="inlineStr">
        <is>
          <t xml:space="preserve">Promover o desenvolvimento regional integrado e sustentável.</t>
        </is>
      </c>
      <c r="I4" s="6" t="inlineStr">
        <is>
          <t xml:space="preserve">Projetos de estruturação produtiva; Convênios e instrumentos de repasse</t>
        </is>
      </c>
      <c r="J4" s="6" t="inlineStr">
        <is>
          <t xml:space="preserve">Produtores rurais; Cooperativas; Municípios</t>
        </is>
      </c>
      <c r="K4" s="6" t="inlineStr">
        <is>
          <t xml:space="preserve">Parlamentares; Entes federados; Entidades parceiras</t>
        </is>
      </c>
      <c r="L4" s="6" t="inlineStr">
        <is>
          <t xml:space="preserve">TransfereGov; e-Codevasf</t>
        </is>
      </c>
      <c r="O4" s="8" t="str">
        <f>=A4</f>
        <v>MF-01</v>
      </c>
    </row>
    <row r="5">
      <c r="A5" s="4" t="inlineStr">
        <is>
          <t xml:space="preserve">MF-02</t>
        </is>
      </c>
      <c r="B5" s="3" t="inlineStr">
        <is>
          <t xml:space="preserve">Gestão de Empreendimentos de Irrigação</t>
        </is>
      </c>
      <c r="C5" s="4" t="inlineStr">
        <is>
          <t xml:space="preserve">Finalístico</t>
        </is>
      </c>
      <c r="D5" s="4">
        <v>4</v>
      </c>
      <c r="E5" s="4" t="inlineStr">
        <is>
          <t xml:space="preserve">AI/GOM</t>
        </is>
      </c>
      <c r="F5" s="3" t="inlineStr">
        <is>
          <t xml:space="preserve">AA/GLC; AG/GGP</t>
        </is>
      </c>
      <c r="G5" s="3" t="inlineStr">
        <is>
          <t xml:space="preserve">Implantação, operação, manutenção e transferência de gestão de perímetros públicos de irrigação.</t>
        </is>
      </c>
      <c r="H5" s="3" t="inlineStr">
        <is>
          <t xml:space="preserve">Ampliar a área irrigada produtiva com sustentabilidade hídrica e econômica.</t>
        </is>
      </c>
      <c r="I5" s="3" t="inlineStr">
        <is>
          <t xml:space="preserve">Perímetros em operação; Água distribuída; Relatórios de O&amp;M</t>
        </is>
      </c>
      <c r="J5" s="3" t="inlineStr">
        <is>
          <t xml:space="preserve">Irrigantes; Distritos de irrigação</t>
        </is>
      </c>
      <c r="K5" s="3" t="inlineStr">
        <is>
          <t xml:space="preserve">ANA; Agências estaduais; Associações de usuários</t>
        </is>
      </c>
      <c r="L5" s="3" t="inlineStr">
        <is>
          <t xml:space="preserve">SIG-Irrigação (fictício); e-Codevasf</t>
        </is>
      </c>
      <c r="O5" s="8" t="str">
        <f>=A5</f>
        <v>MF-02</v>
      </c>
    </row>
    <row r="6">
      <c r="A6" s="7" t="inlineStr">
        <is>
          <t xml:space="preserve">MF-03</t>
        </is>
      </c>
      <c r="B6" s="6" t="inlineStr">
        <is>
          <t xml:space="preserve">Revitalização de Bacias Hidrográficas</t>
        </is>
      </c>
      <c r="C6" s="7" t="inlineStr">
        <is>
          <t xml:space="preserve">Finalístico</t>
        </is>
      </c>
      <c r="D6" s="7">
        <v>5</v>
      </c>
      <c r="E6" s="7" t="inlineStr">
        <is>
          <t xml:space="preserve">AR/GRB</t>
        </is>
      </c>
      <c r="F6" s="6" t="inlineStr">
        <is>
          <t xml:space="preserve">AG/GGP; AT/GTI</t>
        </is>
      </c>
      <c r="G6" s="6" t="inlineStr">
        <is>
          <t xml:space="preserve">Ações de recuperação hidroambiental, segurança hídrica e uso sustentável dos recursos naturais.</t>
        </is>
      </c>
      <c r="H6" s="6" t="inlineStr">
        <is>
          <t xml:space="preserve">Contribuir para a revitalização das bacias dos rios São Francisco e Parnaíba.</t>
        </is>
      </c>
      <c r="I6" s="6" t="inlineStr">
        <is>
          <t xml:space="preserve">Nascentes recuperadas; Obras hidroambientais; Sistemas de abastecimento</t>
        </is>
      </c>
      <c r="J6" s="6" t="inlineStr">
        <is>
          <t xml:space="preserve">Comunidades ribeirinhas; Municípios</t>
        </is>
      </c>
      <c r="K6" s="6" t="inlineStr">
        <is>
          <t xml:space="preserve">Comitês de bacia; MMA; Órgãos ambientais</t>
        </is>
      </c>
      <c r="L6" s="6" t="inlineStr">
        <is>
          <t xml:space="preserve">e-Codevasf; GeoPortal (fictício)</t>
        </is>
      </c>
      <c r="O6" s="8" t="str">
        <f>=A6</f>
        <v>MF-03</v>
      </c>
    </row>
    <row r="7">
      <c r="A7" s="4" t="inlineStr">
        <is>
          <t xml:space="preserve">MS-01</t>
        </is>
      </c>
      <c r="B7" s="3" t="inlineStr">
        <is>
          <t xml:space="preserve">Gestão de Licitações e Contratos</t>
        </is>
      </c>
      <c r="C7" s="4" t="inlineStr">
        <is>
          <t xml:space="preserve">Suporte</t>
        </is>
      </c>
      <c r="D7" s="4">
        <v>6</v>
      </c>
      <c r="E7" s="4" t="inlineStr">
        <is>
          <t xml:space="preserve">AA/GLC</t>
        </is>
      </c>
      <c r="F7" s="3" t="inlineStr">
        <is>
          <t xml:space="preserve">AT/GTI; AE/GPE</t>
        </is>
      </c>
      <c r="G7" s="3" t="inlineStr">
        <is>
          <t xml:space="preserve">Planejamento das contratações, seleção de fornecedores e gestão dos contratos administrativos da Companhia.</t>
        </is>
      </c>
      <c r="H7" s="3" t="inlineStr">
        <is>
          <t xml:space="preserve">Prover contratações tempestivas, vantajosas e conformes à legislação.</t>
        </is>
      </c>
      <c r="I7" s="3" t="inlineStr">
        <is>
          <t xml:space="preserve">Editais publicados; Contratos firmados; Atas de registro de preços</t>
        </is>
      </c>
      <c r="J7" s="3" t="inlineStr">
        <is>
          <t xml:space="preserve">Todas as unidades demandantes</t>
        </is>
      </c>
      <c r="K7" s="3" t="inlineStr">
        <is>
          <t xml:space="preserve">Fornecedores; Assessoria Jurídica; Órgãos de controle; PNCP</t>
        </is>
      </c>
      <c r="L7" s="3" t="inlineStr">
        <is>
          <t xml:space="preserve">Compras.gov.br; PNCP; Painel de Preços; e-Codevasf</t>
        </is>
      </c>
      <c r="N7" s="3" t="inlineStr">
        <is>
          <t xml:space="preserve">Macroprocesso priorizado no ciclo 2026 de mapeamento.</t>
        </is>
      </c>
      <c r="O7" s="8" t="str">
        <f>=A7</f>
        <v>MS-01</v>
      </c>
    </row>
    <row r="8">
      <c r="A8" s="7" t="inlineStr">
        <is>
          <t xml:space="preserve">MS-02</t>
        </is>
      </c>
      <c r="B8" s="6" t="inlineStr">
        <is>
          <t xml:space="preserve">Gestão de Pessoas</t>
        </is>
      </c>
      <c r="C8" s="7" t="inlineStr">
        <is>
          <t xml:space="preserve">Suporte</t>
        </is>
      </c>
      <c r="D8" s="7">
        <v>7</v>
      </c>
      <c r="E8" s="7" t="inlineStr">
        <is>
          <t xml:space="preserve">AG/GGP</t>
        </is>
      </c>
      <c r="F8" s="6" t="inlineStr">
        <is>
          <t xml:space="preserve">AE/GPE; AE/GAG</t>
        </is>
      </c>
      <c r="G8" s="6" t="inlineStr">
        <is>
          <t xml:space="preserve">Provimento, desenvolvimento, remuneração e qualidade de vida do corpo funcional.</t>
        </is>
      </c>
      <c r="H8" s="6" t="inlineStr">
        <is>
          <t xml:space="preserve">Assegurar pessoas qualificadas e engajadas para a missão institucional.</t>
        </is>
      </c>
      <c r="I8" s="6" t="inlineStr">
        <is>
          <t xml:space="preserve">Empregados admitidos e capacitados; Folha de pagamento</t>
        </is>
      </c>
      <c r="J8" s="6" t="inlineStr">
        <is>
          <t xml:space="preserve">Empregados; Gestores</t>
        </is>
      </c>
      <c r="K8" s="6" t="inlineStr">
        <is>
          <t xml:space="preserve">Sindicatos; SEST; Ministério supervisor</t>
        </is>
      </c>
      <c r="L8" s="6" t="inlineStr">
        <is>
          <t xml:space="preserve">SIGEP (fictício); e-Codevasf</t>
        </is>
      </c>
      <c r="O8" s="8" t="str">
        <f>=A8</f>
        <v>MS-02</v>
      </c>
    </row>
    <row r="9">
      <c r="A9" s="4" t="inlineStr">
        <is>
          <t xml:space="preserve">MS-03</t>
        </is>
      </c>
      <c r="B9" s="3" t="inlineStr">
        <is>
          <t xml:space="preserve">Gestão de Tecnologia da Informação</t>
        </is>
      </c>
      <c r="C9" s="4" t="inlineStr">
        <is>
          <t xml:space="preserve">Suporte</t>
        </is>
      </c>
      <c r="D9" s="4">
        <v>8</v>
      </c>
      <c r="E9" s="4" t="inlineStr">
        <is>
          <t xml:space="preserve">AT/GTI</t>
        </is>
      </c>
      <c r="F9" s="3" t="inlineStr">
        <is>
          <t xml:space="preserve">AE/GAG; AR/GDT</t>
        </is>
      </c>
      <c r="G9" s="3" t="inlineStr">
        <is>
          <t xml:space="preserve">Planejamento, desenvolvimento, sustentação e segurança dos serviços de TI.</t>
        </is>
      </c>
      <c r="H9" s="3" t="inlineStr">
        <is>
          <t xml:space="preserve">Prover soluções digitais seguras que habilitem os processos de negócio.</t>
        </is>
      </c>
      <c r="I9" s="3" t="inlineStr">
        <is>
          <t xml:space="preserve">Sistemas em produção; Serviços de infraestrutura; Suporte ao usuário</t>
        </is>
      </c>
      <c r="J9" s="3" t="inlineStr">
        <is>
          <t xml:space="preserve">Todas as unidades</t>
        </is>
      </c>
      <c r="K9" s="3" t="inlineStr">
        <is>
          <t xml:space="preserve">SGD/MGI; Fornecedores de TI</t>
        </is>
      </c>
      <c r="L9" s="3" t="inlineStr">
        <is>
          <t xml:space="preserve">e-Codevasf; Service Desk</t>
        </is>
      </c>
      <c r="O9" s="8" t="str">
        <f>=A9</f>
        <v>MS-03</v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M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3" customWidth="1"/>
    <col min="4" max="4" width="44" customWidth="1"/>
    <col min="5" max="5" width="40" customWidth="1"/>
    <col min="6" max="6" width="16" customWidth="1"/>
    <col min="7" max="7" width="24" customWidth="1"/>
    <col min="8" max="8" width="30" customWidth="1"/>
    <col min="9" max="9" width="10" customWidth="1"/>
    <col min="10" max="10" width="12" customWidth="1"/>
    <col min="11" max="11" width="13" customWidth="1"/>
    <col min="12" max="12" width="14" customWidth="1"/>
    <col min="13" max="13" width="10" customWidth="1"/>
    <col min="14" max="14" width="13" customWidth="1"/>
    <col min="15" max="15" width="13" customWidth="1"/>
    <col min="16" max="16" width="13" customWidth="1"/>
    <col min="17" max="17" width="13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30" customWidth="1"/>
    <col min="29" max="29" width="34" customWidth="1"/>
    <col min="30" max="30" width="34" customWidth="1"/>
    <col min="31" max="31" width="28" customWidth="1"/>
    <col min="32" max="32" width="28" customWidth="1"/>
    <col min="33" max="33" width="20" customWidth="1"/>
    <col min="34" max="34" width="30" customWidth="1"/>
    <col min="35" max="35" width="40" customWidth="1"/>
    <col min="36" max="36" width="30" customWidth="1"/>
    <col min="37" max="37" width="28" customWidth="1"/>
    <col min="38" max="38" width="24" customWidth="1"/>
    <col min="39" max="39" width="20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Macroprocesso</t>
        </is>
      </c>
      <c r="D1" s="1" t="inlineStr">
        <is>
          <t xml:space="preserve">Descricao</t>
        </is>
      </c>
      <c r="E1" s="1" t="inlineStr">
        <is>
          <t xml:space="preserve">Objetivo</t>
        </is>
      </c>
      <c r="F1" s="1" t="inlineStr">
        <is>
          <t xml:space="preserve">Unidade_Organica_Responsavel</t>
        </is>
      </c>
      <c r="G1" s="1" t="inlineStr">
        <is>
          <t xml:space="preserve">Ponto_Focal_Nugep</t>
        </is>
      </c>
      <c r="H1" s="1" t="inlineStr">
        <is>
          <t xml:space="preserve">Unidades_Organicas_Corresponsaveis</t>
        </is>
      </c>
      <c r="I1" s="1" t="inlineStr">
        <is>
          <t xml:space="preserve">Prioridade</t>
        </is>
      </c>
      <c r="J1" s="1" t="inlineStr">
        <is>
          <t xml:space="preserve">Complexidade</t>
        </is>
      </c>
      <c r="K1" s="1" t="inlineStr">
        <is>
          <t xml:space="preserve">Maturidade</t>
        </is>
      </c>
      <c r="L1" s="1" t="inlineStr">
        <is>
          <t xml:space="preserve">Status_Mapeamento</t>
        </is>
      </c>
      <c r="M1" s="1" t="inlineStr">
        <is>
          <t xml:space="preserve">Percentual</t>
        </is>
      </c>
      <c r="N1" s="1" t="inlineStr">
        <is>
          <t xml:space="preserve">Inicio_Mapeamento</t>
        </is>
      </c>
      <c r="O1" s="1" t="inlineStr">
        <is>
          <t xml:space="preserve">Prazo_Previsto</t>
        </is>
      </c>
      <c r="P1" s="1" t="inlineStr">
        <is>
          <t xml:space="preserve">Data_Conclusao</t>
        </is>
      </c>
      <c r="Q1" s="1" t="inlineStr">
        <is>
          <t xml:space="preserve">Ultima_Atualizacao</t>
        </is>
      </c>
      <c r="R1" s="1" t="inlineStr">
        <is>
          <t xml:space="preserve">M1_Conhecer_Processo</t>
        </is>
      </c>
      <c r="S1" s="1" t="inlineStr">
        <is>
          <t xml:space="preserve">M2_Processo_Modelado</t>
        </is>
      </c>
      <c r="T1" s="1" t="inlineStr">
        <is>
          <t xml:space="preserve">M3_Subprocessos_Modelados</t>
        </is>
      </c>
      <c r="U1" s="1" t="inlineStr">
        <is>
          <t xml:space="preserve">M4_ASIS_Modelado</t>
        </is>
      </c>
      <c r="V1" s="1" t="inlineStr">
        <is>
          <t xml:space="preserve">M5_ASIS_Validado</t>
        </is>
      </c>
      <c r="W1" s="1" t="inlineStr">
        <is>
          <t xml:space="preserve">M6_Procedimento_Aprovado</t>
        </is>
      </c>
      <c r="X1" s="1" t="inlineStr">
        <is>
          <t xml:space="preserve">M7_Processo_Publicado</t>
        </is>
      </c>
      <c r="Y1" s="1" t="inlineStr">
        <is>
          <t xml:space="preserve">M8_TOBE_Elaborado</t>
        </is>
      </c>
      <c r="Z1" s="1" t="inlineStr">
        <is>
          <t xml:space="preserve">M9_TOBE_Aprovado</t>
        </is>
      </c>
      <c r="AA1" s="1" t="inlineStr">
        <is>
          <t xml:space="preserve">M10_Processo_Transformado</t>
        </is>
      </c>
      <c r="AB1" s="1" t="inlineStr">
        <is>
          <t xml:space="preserve">Fornecedores</t>
        </is>
      </c>
      <c r="AC1" s="1" t="inlineStr">
        <is>
          <t xml:space="preserve">Entradas</t>
        </is>
      </c>
      <c r="AD1" s="1" t="inlineStr">
        <is>
          <t xml:space="preserve">Saidas</t>
        </is>
      </c>
      <c r="AE1" s="1" t="inlineStr">
        <is>
          <t xml:space="preserve">Beneficiarios</t>
        </is>
      </c>
      <c r="AF1" s="1" t="inlineStr">
        <is>
          <t xml:space="preserve">Sistemas</t>
        </is>
      </c>
      <c r="AG1" s="1" t="inlineStr">
        <is>
          <t xml:space="preserve">Processo_ECodevasf</t>
        </is>
      </c>
      <c r="AH1" s="1" t="inlineStr">
        <is>
          <t xml:space="preserve">Imagem_Bizagi</t>
        </is>
      </c>
      <c r="AI1" s="1" t="inlineStr">
        <is>
          <t xml:space="preserve">Competencias_Necessarias</t>
        </is>
      </c>
      <c r="AJ1" s="1" t="inlineStr">
        <is>
          <t xml:space="preserve">Fontes_Dados</t>
        </is>
      </c>
      <c r="AK1" s="1" t="inlineStr">
        <is>
          <t xml:space="preserve">Proxima_Acao</t>
        </is>
      </c>
      <c r="AL1" s="1" t="inlineStr">
        <is>
          <t xml:space="preserve">Pendencia</t>
        </is>
      </c>
      <c r="AM1" s="1" t="inlineStr">
        <is>
          <t xml:space="preserve">Trilha</t>
        </is>
      </c>
    </row>
    <row r="2">
      <c r="A2" s="7" t="inlineStr">
        <is>
          <t xml:space="preserve">PP-01</t>
        </is>
      </c>
      <c r="B2" s="6" t="inlineStr">
        <is>
          <t xml:space="preserve">Planejamento da Contratação</t>
        </is>
      </c>
      <c r="C2" s="7" t="inlineStr">
        <is>
          <t xml:space="preserve">MS-01</t>
        </is>
      </c>
      <c r="D2" s="6" t="inlineStr">
        <is>
          <t xml:space="preserve">Da identificação da necessidade (DFD) até a aprovação do ETP, TR e pesquisa de preços que instruem o certame.</t>
        </is>
      </c>
      <c r="E2" s="6" t="inlineStr">
        <is>
          <t xml:space="preserve">Instruir as contratações com estudos e artefatos completos, reduzindo retrabalho e impugnações.</t>
        </is>
      </c>
      <c r="F2" s="7" t="inlineStr">
        <is>
          <t xml:space="preserve">AA/GLC</t>
        </is>
      </c>
      <c r="G2" s="6" t="inlineStr">
        <is>
          <t xml:space="preserve">Carlos Eduardo Lima (UNP)</t>
        </is>
      </c>
      <c r="H2" s="6" t="inlineStr">
        <is>
          <t xml:space="preserve">AE/GAG; AR/GDT</t>
        </is>
      </c>
      <c r="I2" s="7" t="inlineStr">
        <is>
          <t xml:space="preserve">Alta</t>
        </is>
      </c>
      <c r="J2" s="7" t="inlineStr">
        <is>
          <t xml:space="preserve">Alta</t>
        </is>
      </c>
      <c r="K2" s="7" t="inlineStr">
        <is>
          <t xml:space="preserve">Definido</t>
        </is>
      </c>
      <c r="L2" s="7" t="inlineStr">
        <is>
          <t xml:space="preserve">Concluído</t>
        </is>
      </c>
      <c r="M2" s="9">
        <f>=IF(COUNTIF(R2:AA2,"Sim")+COUNTIF(R2:AA2,"Não")=0,0,COUNTIF(R2:AA2,"Sim")/(COUNTIF(R2:AA2,"Sim")+COUNTIF(R2:AA2,"Não")))</f>
        <v>1</v>
      </c>
      <c r="N2" s="7" t="inlineStr">
        <is>
          <t xml:space="preserve">05/01/2026</t>
        </is>
      </c>
      <c r="O2" s="7" t="inlineStr">
        <is>
          <t xml:space="preserve">29/05/2026</t>
        </is>
      </c>
      <c r="P2" s="7" t="inlineStr">
        <is>
          <t xml:space="preserve">18/05/2026</t>
        </is>
      </c>
      <c r="Q2" s="7" t="inlineStr">
        <is>
          <t xml:space="preserve">10/07/2026</t>
        </is>
      </c>
      <c r="R2" s="7" t="inlineStr">
        <is>
          <t xml:space="preserve">Sim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6" t="inlineStr">
        <is>
          <t xml:space="preserve">Áreas demandantes; Painel de Preços; Fornecedores (cotações)</t>
        </is>
      </c>
      <c r="AC2" s="6" t="inlineStr">
        <is>
          <t xml:space="preserve">DFD; Plano de Contratações Anual; Requisitos da área</t>
        </is>
      </c>
      <c r="AD2" s="6" t="inlineStr">
        <is>
          <t xml:space="preserve">ETP aprovado; TR aprovado; Pesquisa de preços validada</t>
        </is>
      </c>
      <c r="AE2" s="6" t="inlineStr">
        <is>
          <t xml:space="preserve">AA/GLC (Seleção do Fornecedor); Assessoria Jurídica</t>
        </is>
      </c>
      <c r="AF2" s="6" t="inlineStr">
        <is>
          <t xml:space="preserve">e-Codevasf; Compras.gov.br; Painel de Preços</t>
        </is>
      </c>
      <c r="AG2" s="7" t="inlineStr">
        <is>
          <t xml:space="preserve">59500.000123/2026-11</t>
        </is>
      </c>
      <c r="AH2" s="6" t="inlineStr">
        <is>
          <t xml:space="preserve">https://fluxosti.codevasf.gov.br/incidentes/</t>
        </is>
      </c>
      <c r="AI2" s="6" t="inlineStr">
        <is>
          <t xml:space="preserve">Elaboração de estudos técnicos e termos de referência; Conhecimento da Lei nº 14.133/2021; Pesquisa e análise de preços de mercado</t>
        </is>
      </c>
      <c r="AJ2" s="6" t="inlineStr">
        <is>
          <t xml:space="preserve">e-Codevasf; Painel de Preços; PNCP</t>
        </is>
      </c>
      <c r="AK2" s="6" t="inlineStr">
        <is>
          <t xml:space="preserve">Monitorar indicadores do processo e revisar o PRO em 12 meses.</t>
        </is>
      </c>
      <c r="AM2" s="8" t="str">
        <f>=C2&amp;" › "&amp;A2</f>
        <v>MS-01 › PP-01</v>
      </c>
    </row>
    <row r="3">
      <c r="A3" s="4" t="inlineStr">
        <is>
          <t xml:space="preserve">PP-02</t>
        </is>
      </c>
      <c r="B3" s="3" t="inlineStr">
        <is>
          <t xml:space="preserve">Seleção do Fornecedor</t>
        </is>
      </c>
      <c r="C3" s="4" t="inlineStr">
        <is>
          <t xml:space="preserve">MS-01</t>
        </is>
      </c>
      <c r="D3" s="3" t="inlineStr">
        <is>
          <t xml:space="preserve">Da divulgação do edital à homologação do resultado, incluindo sessão pública, julgamento e recursos.</t>
        </is>
      </c>
      <c r="E3" s="3" t="inlineStr">
        <is>
          <t xml:space="preserve">Selecionar a proposta mais vantajosa com celeridade e segurança jurídica.</t>
        </is>
      </c>
      <c r="F3" s="4" t="inlineStr">
        <is>
          <t xml:space="preserve">AA/GLC</t>
        </is>
      </c>
      <c r="G3" s="3" t="inlineStr">
        <is>
          <t xml:space="preserve">Carlos Eduardo Lima (UNP)</t>
        </is>
      </c>
      <c r="H3" s="3" t="inlineStr">
        <is>
          <t xml:space="preserve">AR/GDT; AI/GOM</t>
        </is>
      </c>
      <c r="I3" s="4" t="inlineStr">
        <is>
          <t xml:space="preserve">Alta</t>
        </is>
      </c>
      <c r="J3" s="4" t="inlineStr">
        <is>
          <t xml:space="preserve">Média</t>
        </is>
      </c>
      <c r="K3" s="4" t="inlineStr">
        <is>
          <t xml:space="preserve">Repetível</t>
        </is>
      </c>
      <c r="L3" s="4" t="inlineStr">
        <is>
          <t xml:space="preserve">Em andamento</t>
        </is>
      </c>
      <c r="M3" s="9">
        <f>=IF(COUNTIF(R3:AA3,"Sim")+COUNTIF(R3:AA3,"Não")=0,0,COUNTIF(R3:AA3,"Sim")/(COUNTIF(R3:AA3,"Sim")+COUNTIF(R3:AA3,"Não")))</f>
        <v>0.4</v>
      </c>
      <c r="N3" s="4" t="inlineStr">
        <is>
          <t xml:space="preserve">01/06/2026</t>
        </is>
      </c>
      <c r="O3" s="4" t="inlineStr">
        <is>
          <t xml:space="preserve">30/09/2026</t>
        </is>
      </c>
      <c r="Q3" s="4" t="inlineStr">
        <is>
          <t xml:space="preserve">15/07/2026</t>
        </is>
      </c>
      <c r="R3" s="4" t="inlineStr">
        <is>
          <t xml:space="preserve">Sim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Não</t>
        </is>
      </c>
      <c r="W3" s="4" t="inlineStr">
        <is>
          <t xml:space="preserve">Não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3" t="inlineStr">
        <is>
          <t xml:space="preserve">P-06.01 (artefatos); Compras.gov.br</t>
        </is>
      </c>
      <c r="AC3" s="3" t="inlineStr">
        <is>
          <t xml:space="preserve">Edital minutado; Parecer jurídico; ETP/TR</t>
        </is>
      </c>
      <c r="AD3" s="3" t="inlineStr">
        <is>
          <t xml:space="preserve">Resultado homologado; Contrato/ata para assinatura</t>
        </is>
      </c>
      <c r="AE3" s="3" t="inlineStr">
        <is>
          <t xml:space="preserve">Unidades demandantes; Fornecedores</t>
        </is>
      </c>
      <c r="AF3" s="3" t="inlineStr">
        <is>
          <t xml:space="preserve">Compras.gov.br; PNCP; e-Codevasf</t>
        </is>
      </c>
      <c r="AG3" s="4" t="inlineStr">
        <is>
          <t xml:space="preserve">59500.000456/2026-22</t>
        </is>
      </c>
      <c r="AI3" s="3" t="inlineStr">
        <is>
          <t xml:space="preserve">Condução de sessões públicas de licitação; Julgamento de propostas e habilitação; Uso de plataformas de compras governamentais</t>
        </is>
      </c>
      <c r="AJ3" s="3" t="inlineStr">
        <is>
          <t xml:space="preserve">Compras.gov.br</t>
        </is>
      </c>
      <c r="AK3" s="3" t="inlineStr">
        <is>
          <t xml:space="preserve">Validar AS-IS com o dono do processo (reunião marcada).</t>
        </is>
      </c>
      <c r="AL3" s="3" t="inlineStr">
        <is>
          <t xml:space="preserve">Pendente retorno da área sobre fluxo de recursos administrativos.</t>
        </is>
      </c>
      <c r="AM3" s="8" t="str">
        <f>=C3&amp;" › "&amp;A3</f>
        <v>MS-01 › PP-02</v>
      </c>
    </row>
    <row r="4">
      <c r="A4" s="7" t="inlineStr">
        <is>
          <t xml:space="preserve">PP-03</t>
        </is>
      </c>
      <c r="B4" s="6" t="inlineStr">
        <is>
          <t xml:space="preserve">Gestão e Fiscalização Contratual</t>
        </is>
      </c>
      <c r="C4" s="7" t="inlineStr">
        <is>
          <t xml:space="preserve">MS-01</t>
        </is>
      </c>
      <c r="D4" s="6" t="inlineStr">
        <is>
          <t xml:space="preserve">Da assinatura do contrato ao encerramento, incluindo fiscalização, medições, pagamentos e sanções.</t>
        </is>
      </c>
      <c r="E4" s="6" t="inlineStr">
        <is>
          <t xml:space="preserve">Garantir a entrega do objeto contratado no prazo, custo e qualidade pactuados.</t>
        </is>
      </c>
      <c r="F4" s="7" t="inlineStr">
        <is>
          <t xml:space="preserve">AA/GLC</t>
        </is>
      </c>
      <c r="G4" s="6" t="inlineStr">
        <is>
          <t xml:space="preserve">Bruna Souza (UNP)</t>
        </is>
      </c>
      <c r="H4" s="6" t="inlineStr">
        <is>
          <t xml:space="preserve">AI/GOM; AR/GRB</t>
        </is>
      </c>
      <c r="I4" s="7" t="inlineStr">
        <is>
          <t xml:space="preserve">Alta</t>
        </is>
      </c>
      <c r="J4" s="7" t="inlineStr">
        <is>
          <t xml:space="preserve">Alta</t>
        </is>
      </c>
      <c r="K4" s="7" t="inlineStr">
        <is>
          <t xml:space="preserve">Gerenciado</t>
        </is>
      </c>
      <c r="L4" s="7" t="inlineStr">
        <is>
          <t xml:space="preserve">Em andamento</t>
        </is>
      </c>
      <c r="M4" s="9">
        <f>=IF(COUNTIF(R4:AA4,"Sim")+COUNTIF(R4:AA4,"Não")=0,0,COUNTIF(R4:AA4,"Sim")/(COUNTIF(R4:AA4,"Sim")+COUNTIF(R4:AA4,"Não")))</f>
        <v>0.2</v>
      </c>
      <c r="N4" s="7" t="inlineStr">
        <is>
          <t xml:space="preserve">15/06/2026</t>
        </is>
      </c>
      <c r="O4" s="7" t="inlineStr">
        <is>
          <t xml:space="preserve">30/11/2026</t>
        </is>
      </c>
      <c r="Q4" s="7" t="inlineStr">
        <is>
          <t xml:space="preserve">20/07/2026</t>
        </is>
      </c>
      <c r="R4" s="7" t="inlineStr">
        <is>
          <t xml:space="preserve">Sim</t>
        </is>
      </c>
      <c r="S4" s="7" t="inlineStr">
        <is>
          <t xml:space="preserve">Sim</t>
        </is>
      </c>
      <c r="T4" s="7" t="inlineStr">
        <is>
          <t xml:space="preserve">Não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6" t="inlineStr">
        <is>
          <t xml:space="preserve">P-06.02 (contrato); Fornecedores contratados</t>
        </is>
      </c>
      <c r="AC4" s="6" t="inlineStr">
        <is>
          <t xml:space="preserve">Contrato assinado; Cronograma; Garantias</t>
        </is>
      </c>
      <c r="AD4" s="6" t="inlineStr">
        <is>
          <t xml:space="preserve">Objeto recebido; Pagamentos efetuados; Termo de encerramento</t>
        </is>
      </c>
      <c r="AE4" s="6" t="inlineStr">
        <is>
          <t xml:space="preserve">Unidades demandantes; Fornecedores</t>
        </is>
      </c>
      <c r="AF4" s="6" t="inlineStr">
        <is>
          <t xml:space="preserve">e-Codevasf; Compras.gov.br</t>
        </is>
      </c>
      <c r="AG4" s="7" t="inlineStr">
        <is>
          <t xml:space="preserve">59500.000789/2026-33</t>
        </is>
      </c>
      <c r="AI4" s="6" t="inlineStr">
        <is>
          <t xml:space="preserve">Fiscalização técnica e administrativa de contratos; Gestão de medições e pagamentos; Aplicação de sanções administrativas</t>
        </is>
      </c>
      <c r="AJ4" s="6" t="inlineStr">
        <is>
          <t xml:space="preserve">e-Codevasf</t>
        </is>
      </c>
      <c r="AK4" s="6" t="inlineStr">
        <is>
          <t xml:space="preserve">Concluir modelagem AS-IS das medições e pagamentos.</t>
        </is>
      </c>
      <c r="AM4" s="8" t="str">
        <f>=C4&amp;" › "&amp;A4</f>
        <v>MS-01 › PP-03</v>
      </c>
    </row>
    <row r="5">
      <c r="A5" s="4" t="inlineStr">
        <is>
          <t xml:space="preserve">PP-04</t>
        </is>
      </c>
      <c r="B5" s="3" t="inlineStr">
        <is>
          <t xml:space="preserve">Operação e Manutenção de Perímetros Irrigados</t>
        </is>
      </c>
      <c r="C5" s="4" t="inlineStr">
        <is>
          <t xml:space="preserve">MF-02</t>
        </is>
      </c>
      <c r="D5" s="3" t="inlineStr">
        <is>
          <t xml:space="preserve">Programação e distribuição de água, manutenção da infraestrutura de uso comum e relacionamento com irrigantes.</t>
        </is>
      </c>
      <c r="E5" s="3" t="inlineStr">
        <is>
          <t xml:space="preserve">Assegurar a distribuição hídrica confiável e a conservação dos ativos.</t>
        </is>
      </c>
      <c r="F5" s="4" t="inlineStr">
        <is>
          <t xml:space="preserve">AI/GOM</t>
        </is>
      </c>
      <c r="G5" s="3" t="inlineStr">
        <is>
          <t xml:space="preserve">Eduardo Martins (UNP)</t>
        </is>
      </c>
      <c r="H5" s="3" t="inlineStr">
        <is>
          <t xml:space="preserve">AR/GRB; AA/GLC</t>
        </is>
      </c>
      <c r="I5" s="4" t="inlineStr">
        <is>
          <t xml:space="preserve">Média</t>
        </is>
      </c>
      <c r="J5" s="4" t="inlineStr">
        <is>
          <t xml:space="preserve">Alta</t>
        </is>
      </c>
      <c r="K5" s="4" t="inlineStr">
        <is>
          <t xml:space="preserve">Inicial</t>
        </is>
      </c>
      <c r="L5" s="4" t="inlineStr">
        <is>
          <t xml:space="preserve">Em andamento</t>
        </is>
      </c>
      <c r="M5" s="9">
        <f>=IF(COUNTIF(R5:AA5,"Sim")+COUNTIF(R5:AA5,"Não")=0,0,COUNTIF(R5:AA5,"Sim")/(COUNTIF(R5:AA5,"Sim")+COUNTIF(R5:AA5,"Não")))</f>
        <v>0.3</v>
      </c>
      <c r="N5" s="4" t="inlineStr">
        <is>
          <t xml:space="preserve">04/05/2026</t>
        </is>
      </c>
      <c r="O5" s="4" t="inlineStr">
        <is>
          <t xml:space="preserve">30/10/2026</t>
        </is>
      </c>
      <c r="Q5" s="4" t="inlineStr">
        <is>
          <t xml:space="preserve">12/07/2026</t>
        </is>
      </c>
      <c r="R5" s="4" t="inlineStr">
        <is>
          <t xml:space="preserve">Sim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Não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3" t="inlineStr">
        <is>
          <t xml:space="preserve">ANA (outorgas); Distritos de irrigação</t>
        </is>
      </c>
      <c r="AC5" s="3" t="inlineStr">
        <is>
          <t xml:space="preserve">Outorga de uso; Demanda de irrigação; Plano de cultivo</t>
        </is>
      </c>
      <c r="AD5" s="3" t="inlineStr">
        <is>
          <t xml:space="preserve">Água distribuída; Infraestrutura mantida; Relatórios de O&amp;M</t>
        </is>
      </c>
      <c r="AE5" s="3" t="inlineStr">
        <is>
          <t xml:space="preserve">Irrigantes; Distritos</t>
        </is>
      </c>
      <c r="AF5" s="3" t="inlineStr">
        <is>
          <t xml:space="preserve">SIG-Irrigação (fictício); e-Codevasf</t>
        </is>
      </c>
      <c r="AG5" s="4" t="inlineStr">
        <is>
          <t xml:space="preserve">59500.000901/2026-44</t>
        </is>
      </c>
      <c r="AI5" s="3" t="inlineStr">
        <is>
          <t xml:space="preserve">Operação de sistemas hidráulicos; Manutenção de infraestrutura de irrigação; Relacionamento com associações de irrigantes</t>
        </is>
      </c>
      <c r="AJ5" s="3" t="inlineStr">
        <is>
          <t xml:space="preserve">SIG-Irrigação (fictício)</t>
        </is>
      </c>
      <c r="AK5" s="3" t="inlineStr">
        <is>
          <t xml:space="preserve">Agendar oficina de validação do AS-IS com o distrito.</t>
        </is>
      </c>
      <c r="AM5" s="8" t="str">
        <f>=C5&amp;" › "&amp;A5</f>
        <v>MF-02 › PP-04</v>
      </c>
    </row>
    <row r="6">
      <c r="A6" s="7" t="inlineStr">
        <is>
          <t xml:space="preserve">PP-05</t>
        </is>
      </c>
      <c r="B6" s="6" t="inlineStr">
        <is>
          <t xml:space="preserve">Recuperação de Nascentes e Matas Ciliares</t>
        </is>
      </c>
      <c r="C6" s="7" t="inlineStr">
        <is>
          <t xml:space="preserve">MF-03</t>
        </is>
      </c>
      <c r="D6" s="6" t="inlineStr">
        <is>
          <t xml:space="preserve">Seleção de áreas, execução de cercamento e plantio, e monitoramento da regeneração.</t>
        </is>
      </c>
      <c r="E6" s="6" t="inlineStr">
        <is>
          <t xml:space="preserve">Recuperar áreas degradadas prioritárias das bacias.</t>
        </is>
      </c>
      <c r="F6" s="7" t="inlineStr">
        <is>
          <t xml:space="preserve">AR/GRB</t>
        </is>
      </c>
      <c r="G6" s="6" t="inlineStr">
        <is>
          <t xml:space="preserve">Eduardo Martins (UNP)</t>
        </is>
      </c>
      <c r="H6" s="6" t="inlineStr">
        <is>
          <t xml:space="preserve">AA/GLC; AG/GGP</t>
        </is>
      </c>
      <c r="I6" s="7" t="inlineStr">
        <is>
          <t xml:space="preserve">Média</t>
        </is>
      </c>
      <c r="J6" s="7" t="inlineStr">
        <is>
          <t xml:space="preserve">Média</t>
        </is>
      </c>
      <c r="K6" s="7" t="inlineStr">
        <is>
          <t xml:space="preserve">Inicial</t>
        </is>
      </c>
      <c r="L6" s="7" t="inlineStr">
        <is>
          <t xml:space="preserve">Não iniciado</t>
        </is>
      </c>
      <c r="M6" s="9">
        <f>=IF(COUNTIF(R6:AA6,"Sim")+COUNTIF(R6:AA6,"Não")=0,0,COUNTIF(R6:AA6,"Sim")/(COUNTIF(R6:AA6,"Sim")+COUNTIF(R6:AA6,"Não")))</f>
        <v>0</v>
      </c>
      <c r="O6" s="7" t="inlineStr">
        <is>
          <t xml:space="preserve">31/03/2027</t>
        </is>
      </c>
      <c r="Q6" s="7" t="inlineStr">
        <is>
          <t xml:space="preserve">01/07/2026</t>
        </is>
      </c>
      <c r="R6" s="7" t="inlineStr">
        <is>
          <t xml:space="preserve">Não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6" t="inlineStr">
        <is>
          <t xml:space="preserve">Municípios; Comitês de bacia</t>
        </is>
      </c>
      <c r="AC6" s="6" t="inlineStr">
        <is>
          <t xml:space="preserve">Diagnóstico hidroambiental; Termos de cooperação</t>
        </is>
      </c>
      <c r="AD6" s="6" t="inlineStr">
        <is>
          <t xml:space="preserve">Nascentes recuperadas; Relatórios de monitoramento</t>
        </is>
      </c>
      <c r="AE6" s="6" t="inlineStr">
        <is>
          <t xml:space="preserve">Comunidades; Órgãos ambientais</t>
        </is>
      </c>
      <c r="AF6" s="6" t="inlineStr">
        <is>
          <t xml:space="preserve">e-Codevasf; GeoPortal (fictício)</t>
        </is>
      </c>
      <c r="AI6" s="6" t="inlineStr">
        <is>
          <t xml:space="preserve">Diagnóstico e recuperação de áreas degradadas; Noções de engenharia ambiental; Articulação com comunidades e órgãos ambientais</t>
        </is>
      </c>
      <c r="AK6" s="6" t="inlineStr">
        <is>
          <t xml:space="preserve">Enviar formulário de levantamento à área (previsto ago/2026).</t>
        </is>
      </c>
      <c r="AM6" s="8" t="str">
        <f>=C6&amp;" › "&amp;A6</f>
        <v>MF-03 › PP-05</v>
      </c>
    </row>
    <row r="7">
      <c r="A7" s="4" t="inlineStr">
        <is>
          <t xml:space="preserve">PP-06</t>
        </is>
      </c>
      <c r="B7" s="3" t="inlineStr">
        <is>
          <t xml:space="preserve">Formulação e Monitoramento do Planejamento Estratégico</t>
        </is>
      </c>
      <c r="C7" s="4" t="inlineStr">
        <is>
          <t xml:space="preserve">MG-01</t>
        </is>
      </c>
      <c r="D7" s="3" t="inlineStr">
        <is>
          <t xml:space="preserve">Construção do plano estratégico, desdobramento em planos de ação e monitoramento periódico de resultados.</t>
        </is>
      </c>
      <c r="E7" s="3" t="inlineStr">
        <is>
          <t xml:space="preserve">Manter a estratégia viva, monitorada e comunicada.</t>
        </is>
      </c>
      <c r="F7" s="4" t="inlineStr">
        <is>
          <t xml:space="preserve">AE/GPE</t>
        </is>
      </c>
      <c r="G7" s="3" t="inlineStr">
        <is>
          <t xml:space="preserve">Gustavo Pereira (UNP)</t>
        </is>
      </c>
      <c r="H7" s="3" t="inlineStr">
        <is>
          <t xml:space="preserve">AG/GGP; AT/GTI</t>
        </is>
      </c>
      <c r="I7" s="4" t="inlineStr">
        <is>
          <t xml:space="preserve">Alta</t>
        </is>
      </c>
      <c r="J7" s="4" t="inlineStr">
        <is>
          <t xml:space="preserve">Média</t>
        </is>
      </c>
      <c r="K7" s="4" t="inlineStr">
        <is>
          <t xml:space="preserve">Otimizado</t>
        </is>
      </c>
      <c r="L7" s="4" t="inlineStr">
        <is>
          <t xml:space="preserve">Concluído</t>
        </is>
      </c>
      <c r="M7" s="9">
        <f>=IF(COUNTIF(R7:AA7,"Sim")+COUNTIF(R7:AA7,"Não")=0,0,COUNTIF(R7:AA7,"Sim")/(COUNTIF(R7:AA7,"Sim")+COUNTIF(R7:AA7,"Não")))</f>
        <v>1</v>
      </c>
      <c r="N7" s="4" t="inlineStr">
        <is>
          <t xml:space="preserve">01/09/2025</t>
        </is>
      </c>
      <c r="O7" s="4" t="inlineStr">
        <is>
          <t xml:space="preserve">27/02/2026</t>
        </is>
      </c>
      <c r="P7" s="4" t="inlineStr">
        <is>
          <t xml:space="preserve">20/02/2026</t>
        </is>
      </c>
      <c r="Q7" s="4" t="inlineStr">
        <is>
          <t xml:space="preserve">30/06/2026</t>
        </is>
      </c>
      <c r="R7" s="4" t="inlineStr">
        <is>
          <t xml:space="preserve">Sim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3" t="inlineStr">
        <is>
          <t xml:space="preserve">Diretoria; Unidades</t>
        </is>
      </c>
      <c r="AC7" s="3" t="inlineStr">
        <is>
          <t xml:space="preserve">Diretrizes de governo; Diagnóstico institucional</t>
        </is>
      </c>
      <c r="AD7" s="3" t="inlineStr">
        <is>
          <t xml:space="preserve">Plano Estratégico; Painel de indicadores; RAG</t>
        </is>
      </c>
      <c r="AE7" s="3" t="inlineStr">
        <is>
          <t xml:space="preserve">Diretoria Executiva; Conselhos</t>
        </is>
      </c>
      <c r="AF7" s="3" t="inlineStr">
        <is>
          <t xml:space="preserve">e-Codevasf; Painéis de BI</t>
        </is>
      </c>
      <c r="AG7" s="4" t="inlineStr">
        <is>
          <t xml:space="preserve">59500.000015/2025-77</t>
        </is>
      </c>
      <c r="AI7" s="3" t="inlineStr">
        <is>
          <t xml:space="preserve">Planejamento estratégico e gestão por indicadores; Facilitação de oficinas; Análise de dados institucionais</t>
        </is>
      </c>
      <c r="AK7" s="3" t="inlineStr">
        <is>
          <t xml:space="preserve">Ciclo de monitoramento trimestral (próximo: set/2026).</t>
        </is>
      </c>
      <c r="AM7" s="8" t="str">
        <f>=C7&amp;" › "&amp;A7</f>
        <v>MG-01 › PP-06</v>
      </c>
    </row>
    <row r="8">
      <c r="A8" s="7" t="inlineStr">
        <is>
          <t xml:space="preserve">PP-07</t>
        </is>
      </c>
      <c r="B8" s="6" t="inlineStr">
        <is>
          <t xml:space="preserve">Admissão e Integração de Empregados</t>
        </is>
      </c>
      <c r="C8" s="7" t="inlineStr">
        <is>
          <t xml:space="preserve">MS-02</t>
        </is>
      </c>
      <c r="D8" s="6" t="inlineStr">
        <is>
          <t xml:space="preserve">Da homologação do concurso à integração do novo empregado, incluindo exames, posse e ambientação.</t>
        </is>
      </c>
      <c r="E8" s="6" t="inlineStr">
        <is>
          <t xml:space="preserve">Admitir e integrar novos empregados com agilidade e conformidade.</t>
        </is>
      </c>
      <c r="F8" s="7" t="inlineStr">
        <is>
          <t xml:space="preserve">AG/GGP</t>
        </is>
      </c>
      <c r="G8" s="6" t="inlineStr">
        <is>
          <t xml:space="preserve">Bruna Souza (UNP)</t>
        </is>
      </c>
      <c r="H8" s="6" t="inlineStr">
        <is>
          <t xml:space="preserve">AT/GTI; AE/GPE</t>
        </is>
      </c>
      <c r="I8" s="7" t="inlineStr">
        <is>
          <t xml:space="preserve">Baixa</t>
        </is>
      </c>
      <c r="J8" s="7" t="inlineStr">
        <is>
          <t xml:space="preserve">Baixa</t>
        </is>
      </c>
      <c r="K8" s="7" t="inlineStr">
        <is>
          <t xml:space="preserve">Inicial</t>
        </is>
      </c>
      <c r="L8" s="7" t="inlineStr">
        <is>
          <t xml:space="preserve">Não iniciado</t>
        </is>
      </c>
      <c r="M8" s="9">
        <f>=IF(COUNTIF(R8:AA8,"Sim")+COUNTIF(R8:AA8,"Não")=0,0,COUNTIF(R8:AA8,"Sim")/(COUNTIF(R8:AA8,"Sim")+COUNTIF(R8:AA8,"Não")))</f>
        <v>0</v>
      </c>
      <c r="O8" s="7" t="inlineStr">
        <is>
          <t xml:space="preserve">30/06/2027</t>
        </is>
      </c>
      <c r="Q8" s="7" t="inlineStr">
        <is>
          <t xml:space="preserve">15/06/2026</t>
        </is>
      </c>
      <c r="R8" s="7" t="inlineStr">
        <is>
          <t xml:space="preserve">Não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6" t="inlineStr">
        <is>
          <t xml:space="preserve">Banca do concurso; Candidatos</t>
        </is>
      </c>
      <c r="AC8" s="6" t="inlineStr">
        <is>
          <t xml:space="preserve">Resultado homologado; Documentação do candidato</t>
        </is>
      </c>
      <c r="AD8" s="6" t="inlineStr">
        <is>
          <t xml:space="preserve">Empregado admitido e integrado</t>
        </is>
      </c>
      <c r="AE8" s="6" t="inlineStr">
        <is>
          <t xml:space="preserve">Novos empregados; Unidades de lotação</t>
        </is>
      </c>
      <c r="AF8" s="6" t="inlineStr">
        <is>
          <t xml:space="preserve">SIGEP (fictício); e-Codevasf</t>
        </is>
      </c>
      <c r="AI8" s="6" t="inlineStr">
        <is>
          <t xml:space="preserve">Rotinas de admissão e legislação trabalhista (CLT); Condução de processos de integração; Uso de sistemas de gestão de pessoas</t>
        </is>
      </c>
      <c r="AK8" s="6" t="inlineStr">
        <is>
          <t xml:space="preserve">Aguardando priorização no ciclo 2027.</t>
        </is>
      </c>
      <c r="AM8" s="8" t="str">
        <f>=C8&amp;" › "&amp;A8</f>
        <v>MS-02 › PP-07</v>
      </c>
    </row>
  </sheetData>
  <autoFilter ref="A1:AM1"/>
  <dataValidations count="17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R2:R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Listas!$F$2:$F$4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P7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2" customWidth="1"/>
    <col min="3" max="3" width="12" customWidth="1"/>
    <col min="4" max="4" width="7" customWidth="1"/>
    <col min="5" max="5" width="44" customWidth="1"/>
    <col min="6" max="6" width="38" customWidth="1"/>
    <col min="7" max="7" width="16" customWidth="1"/>
    <col min="8" max="8" width="28" customWidth="1"/>
    <col min="9" max="9" width="12" customWidth="1"/>
    <col min="10" max="10" width="24" customWidth="1"/>
    <col min="11" max="11" width="36" customWidth="1"/>
    <col min="12" max="12" width="36" customWidth="1"/>
    <col min="13" max="13" width="26" customWidth="1"/>
    <col min="14" max="14" width="26" customWidth="1"/>
    <col min="15" max="15" width="28" customWidth="1"/>
    <col min="16" max="16" width="26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Vinculo_Pai</t>
        </is>
      </c>
      <c r="D1" s="1" t="inlineStr">
        <is>
          <t xml:space="preserve">Ordem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Reutilizavel</t>
        </is>
      </c>
      <c r="J1" s="1" t="inlineStr">
        <is>
          <t xml:space="preserve">Reutilizado_Em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  <c r="N1" s="1" t="inlineStr">
        <is>
          <t xml:space="preserve">Fontes_Dados</t>
        </is>
      </c>
      <c r="O1" s="1" t="inlineStr">
        <is>
          <t xml:space="preserve">Imagem_Bizagi</t>
        </is>
      </c>
      <c r="P1" s="1" t="inlineStr">
        <is>
          <t xml:space="preserve">Trilha</t>
        </is>
      </c>
    </row>
    <row r="2">
      <c r="A2" s="7" t="inlineStr">
        <is>
          <t xml:space="preserve">SP-01</t>
        </is>
      </c>
      <c r="B2" s="6" t="inlineStr">
        <is>
          <t xml:space="preserve">Estudo Técnico Preliminar (ETP)</t>
        </is>
      </c>
      <c r="C2" s="7" t="inlineStr">
        <is>
          <t xml:space="preserve">PP-01</t>
        </is>
      </c>
      <c r="D2" s="7">
        <v>1</v>
      </c>
      <c r="E2" s="6" t="inlineStr">
        <is>
          <t xml:space="preserve">Caracterização da necessidade, análise de soluções de mercado e demonstração da viabilidade da contratação.</t>
        </is>
      </c>
      <c r="F2" s="6" t="inlineStr">
        <is>
          <t xml:space="preserve">Fundamentar tecnicamente a melhor solução para a necessidade.</t>
        </is>
      </c>
      <c r="G2" s="7" t="inlineStr">
        <is>
          <t xml:space="preserve">AA/GLC</t>
        </is>
      </c>
      <c r="H2" s="6" t="inlineStr">
        <is>
          <t xml:space="preserve">AI/GOM</t>
        </is>
      </c>
      <c r="K2" s="6" t="inlineStr">
        <is>
          <t xml:space="preserve">DFD; Levantamento de soluções de mercado</t>
        </is>
      </c>
      <c r="L2" s="6" t="inlineStr">
        <is>
          <t xml:space="preserve">ETP aprovado no e-Codevasf</t>
        </is>
      </c>
      <c r="M2" s="6" t="inlineStr">
        <is>
          <t xml:space="preserve">e-Codevasf; Compras.gov.br</t>
        </is>
      </c>
      <c r="N2" s="6" t="inlineStr">
        <is>
          <t xml:space="preserve">e-Codevasf</t>
        </is>
      </c>
      <c r="P2" s="8" t="str">
        <f>=IF(LEFT(C2,2)="SP",VLOOKUP(C2,Subprocessos!$A:$P,16,0),VLOOKUP(C2,Processos!$A:$AM,39,0))&amp;" › "&amp;A2</f>
        <v>MS-01 › PP-01 › SP-01</v>
      </c>
    </row>
    <row r="3">
      <c r="A3" s="4" t="inlineStr">
        <is>
          <t xml:space="preserve">SP-02</t>
        </is>
      </c>
      <c r="B3" s="3" t="inlineStr">
        <is>
          <t xml:space="preserve">Termo de Referência (TR)</t>
        </is>
      </c>
      <c r="C3" s="4" t="inlineStr">
        <is>
          <t xml:space="preserve">PP-01</t>
        </is>
      </c>
      <c r="D3" s="4">
        <v>2</v>
      </c>
      <c r="E3" s="3" t="inlineStr">
        <is>
          <t xml:space="preserve">Definição do objeto, requisitos, modelo de execução e gestão contratual, e critérios de julgamento.</t>
        </is>
      </c>
      <c r="F3" s="3" t="inlineStr">
        <is>
          <t xml:space="preserve">Especificar com precisão o objeto e as condições da contratação.</t>
        </is>
      </c>
      <c r="G3" s="4" t="inlineStr">
        <is>
          <t xml:space="preserve">AA/GLC</t>
        </is>
      </c>
      <c r="H3" s="3" t="inlineStr">
        <is>
          <t xml:space="preserve">AR/GRB</t>
        </is>
      </c>
      <c r="K3" s="3" t="inlineStr">
        <is>
          <t xml:space="preserve">ETP aprovado; Modelos padronizados de TR</t>
        </is>
      </c>
      <c r="L3" s="3" t="inlineStr">
        <is>
          <t xml:space="preserve">TR aprovado e validado juridicamente</t>
        </is>
      </c>
      <c r="M3" s="3" t="inlineStr">
        <is>
          <t xml:space="preserve">e-Codevasf</t>
        </is>
      </c>
      <c r="P3" s="8" t="str">
        <f>=IF(LEFT(C3,2)="SP",VLOOKUP(C3,Subprocessos!$A:$P,16,0),VLOOKUP(C3,Processos!$A:$AM,39,0))&amp;" › "&amp;A3</f>
        <v>MS-01 › PP-01 › SP-02</v>
      </c>
    </row>
    <row r="4">
      <c r="A4" s="7" t="inlineStr">
        <is>
          <t xml:space="preserve">SP-03</t>
        </is>
      </c>
      <c r="B4" s="6" t="inlineStr">
        <is>
          <t xml:space="preserve">Pesquisa de Preços</t>
        </is>
      </c>
      <c r="C4" s="7" t="inlineStr">
        <is>
          <t xml:space="preserve">PP-01</t>
        </is>
      </c>
      <c r="D4" s="7">
        <v>3</v>
      </c>
      <c r="E4" s="6" t="inlineStr">
        <is>
          <t xml:space="preserve">Levantamento de preços em fontes admitidas (Painel de Preços, PNCP, cotações) e consolidação do valor estimado.</t>
        </is>
      </c>
      <c r="F4" s="6" t="inlineStr">
        <is>
          <t xml:space="preserve">Estimar o valor da contratação conforme a IN SEGES nº 65/2021.</t>
        </is>
      </c>
      <c r="G4" s="7" t="inlineStr">
        <is>
          <t xml:space="preserve">AA/GLC</t>
        </is>
      </c>
      <c r="H4" s="6" t="inlineStr">
        <is>
          <t xml:space="preserve">AG/GGP</t>
        </is>
      </c>
      <c r="K4" s="6" t="inlineStr">
        <is>
          <t xml:space="preserve">TR validado; Fontes de preços admitidas</t>
        </is>
      </c>
      <c r="L4" s="6" t="inlineStr">
        <is>
          <t xml:space="preserve">Relatório de pesquisa de preços; Mapa comparativo</t>
        </is>
      </c>
      <c r="M4" s="6" t="inlineStr">
        <is>
          <t xml:space="preserve">Painel de Preços; PNCP; e-Codevasf</t>
        </is>
      </c>
      <c r="N4" s="6" t="inlineStr">
        <is>
          <t xml:space="preserve">Painel de Preços; PNCP</t>
        </is>
      </c>
      <c r="P4" s="8" t="str">
        <f>=IF(LEFT(C4,2)="SP",VLOOKUP(C4,Subprocessos!$A:$P,16,0),VLOOKUP(C4,Processos!$A:$AM,39,0))&amp;" › "&amp;A4</f>
        <v>MS-01 › PP-01 › SP-03</v>
      </c>
    </row>
    <row r="5">
      <c r="A5" s="4" t="inlineStr">
        <is>
          <t xml:space="preserve">SP-04</t>
        </is>
      </c>
      <c r="B5" s="3" t="inlineStr">
        <is>
          <t xml:space="preserve">Tratamento de Preços Inexequíveis ou Excessivos</t>
        </is>
      </c>
      <c r="C5" s="4" t="inlineStr">
        <is>
          <t xml:space="preserve">SP-03</t>
        </is>
      </c>
      <c r="D5" s="4">
        <v>1</v>
      </c>
      <c r="E5" s="3" t="inlineStr">
        <is>
          <t xml:space="preserve">Identificação e exclusão de valores discrepantes coletados na pesquisa, com justificativa técnica registrada.</t>
        </is>
      </c>
      <c r="F5" s="3" t="inlineStr">
        <is>
          <t xml:space="preserve">Evitar que outliers de preço distorçam o valor estimado da contratação.</t>
        </is>
      </c>
      <c r="G5" s="4" t="inlineStr">
        <is>
          <t xml:space="preserve">AA/GLC</t>
        </is>
      </c>
      <c r="H5" s="3" t="inlineStr">
        <is>
          <t xml:space="preserve">AG/GGP</t>
        </is>
      </c>
      <c r="I5" s="4" t="inlineStr">
        <is>
          <t xml:space="preserve">Sim</t>
        </is>
      </c>
      <c r="J5" s="3" t="inlineStr">
        <is>
          <t xml:space="preserve">PP-02; PP-04</t>
        </is>
      </c>
      <c r="K5" s="3" t="inlineStr">
        <is>
          <t xml:space="preserve">Amostra de preços coletados na pesquisa</t>
        </is>
      </c>
      <c r="L5" s="3" t="inlineStr">
        <is>
          <t xml:space="preserve">Valores discrepantes identificados e justificados</t>
        </is>
      </c>
      <c r="M5" s="3" t="inlineStr">
        <is>
          <t xml:space="preserve">Planilha padrão; e-Codevasf</t>
        </is>
      </c>
      <c r="P5" s="8" t="str">
        <f>=IF(LEFT(C5,2)="SP",VLOOKUP(C5,Subprocessos!$A:$P,16,0),VLOOKUP(C5,Processos!$A:$AM,39,0))&amp;" › "&amp;A5</f>
        <v>MS-01 › PP-01 › SP-03 › SP-04</v>
      </c>
    </row>
    <row r="6">
      <c r="A6" s="7" t="inlineStr">
        <is>
          <t xml:space="preserve">SP-05</t>
        </is>
      </c>
      <c r="B6" s="6" t="inlineStr">
        <is>
          <t xml:space="preserve">Condução da Sessão Pública</t>
        </is>
      </c>
      <c r="C6" s="7" t="inlineStr">
        <is>
          <t xml:space="preserve">PP-02</t>
        </is>
      </c>
      <c r="D6" s="7">
        <v>1</v>
      </c>
      <c r="E6" s="6" t="inlineStr">
        <is>
          <t xml:space="preserve">Abertura da sessão no sistema, fase de lances, julgamento, habilitação e registro em ata.</t>
        </is>
      </c>
      <c r="F6" s="6" t="inlineStr">
        <is>
          <t xml:space="preserve">Conduzir o certame com transparência e celeridade.</t>
        </is>
      </c>
      <c r="G6" s="7" t="inlineStr">
        <is>
          <t xml:space="preserve">AA/GLC</t>
        </is>
      </c>
      <c r="H6" s="6" t="inlineStr">
        <is>
          <t xml:space="preserve">AT/GTI</t>
        </is>
      </c>
      <c r="K6" s="6" t="inlineStr">
        <is>
          <t xml:space="preserve">Edital publicado; Propostas dos licitantes</t>
        </is>
      </c>
      <c r="L6" s="6" t="inlineStr">
        <is>
          <t xml:space="preserve">Ata da sessão; Resultado por item</t>
        </is>
      </c>
      <c r="M6" s="6" t="inlineStr">
        <is>
          <t xml:space="preserve">Compras.gov.br</t>
        </is>
      </c>
      <c r="P6" s="8" t="str">
        <f>=IF(LEFT(C6,2)="SP",VLOOKUP(C6,Subprocessos!$A:$P,16,0),VLOOKUP(C6,Processos!$A:$AM,39,0))&amp;" › "&amp;A6</f>
        <v>MS-01 › PP-02 › SP-05</v>
      </c>
    </row>
    <row r="7">
      <c r="A7" s="4" t="inlineStr">
        <is>
          <t xml:space="preserve">SP-06</t>
        </is>
      </c>
      <c r="B7" s="3" t="inlineStr">
        <is>
          <t xml:space="preserve">Distribuição de Água aos Irrigantes</t>
        </is>
      </c>
      <c r="C7" s="4" t="inlineStr">
        <is>
          <t xml:space="preserve">PP-04</t>
        </is>
      </c>
      <c r="D7" s="4">
        <v>1</v>
      </c>
      <c r="E7" s="3" t="inlineStr">
        <is>
          <t xml:space="preserve">Programação semanal, operação de comportas e bombas, e registro de volumes distribuídos.</t>
        </is>
      </c>
      <c r="F7" s="3" t="inlineStr">
        <is>
          <t xml:space="preserve">Entregar a água programada com eficiência e equidade.</t>
        </is>
      </c>
      <c r="G7" s="4" t="inlineStr">
        <is>
          <t xml:space="preserve">AI/GOM</t>
        </is>
      </c>
      <c r="H7" s="3" t="inlineStr">
        <is>
          <t xml:space="preserve">AE/GPE</t>
        </is>
      </c>
      <c r="K7" s="3" t="inlineStr">
        <is>
          <t xml:space="preserve">Outorga de uso; Demanda de irrigação</t>
        </is>
      </c>
      <c r="L7" s="3" t="inlineStr">
        <is>
          <t xml:space="preserve">Programação hídrica executada; Registros de volume</t>
        </is>
      </c>
      <c r="M7" s="3" t="inlineStr">
        <is>
          <t xml:space="preserve">SIG-Irrigação (fictício)</t>
        </is>
      </c>
      <c r="P7" s="8" t="str">
        <f>=IF(LEFT(C7,2)="SP",VLOOKUP(C7,Subprocessos!$A:$P,16,0),VLOOKUP(C7,Processos!$A:$AM,39,0))&amp;" › "&amp;A7</f>
        <v>MF-02 › PP-04 › SP-06</v>
      </c>
    </row>
  </sheetData>
  <autoFilter ref="A1:P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"PP-01,PP-02,PP-03,PP-04,PP-05,PP-06,PP-07,SP-01,SP-02,SP-03,SP-04,SP-05,SP-06"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Listas!$F$2:$F$4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J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1" customWidth="1"/>
    <col min="4" max="4" width="7" customWidth="1"/>
    <col min="5" max="5" width="17" customWidth="1"/>
    <col min="6" max="6" width="44" customWidth="1"/>
    <col min="7" max="7" width="34" customWidth="1"/>
    <col min="8" max="8" width="34" customWidth="1"/>
    <col min="9" max="9" width="22" customWidth="1"/>
    <col min="10" max="10" width="32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Vinculo_Pai</t>
        </is>
      </c>
      <c r="D1" s="1" t="inlineStr">
        <is>
          <t xml:space="preserve">Ordem</t>
        </is>
      </c>
      <c r="E1" s="1" t="inlineStr">
        <is>
          <t xml:space="preserve">Tipo_Atividade</t>
        </is>
      </c>
      <c r="F1" s="1" t="inlineStr">
        <is>
          <t xml:space="preserve">Descricao</t>
        </is>
      </c>
      <c r="G1" s="1" t="inlineStr">
        <is>
          <t xml:space="preserve">Entradas</t>
        </is>
      </c>
      <c r="H1" s="1" t="inlineStr">
        <is>
          <t xml:space="preserve">Saidas</t>
        </is>
      </c>
      <c r="I1" s="1" t="inlineStr">
        <is>
          <t xml:space="preserve">Sistemas</t>
        </is>
      </c>
      <c r="J1" s="1" t="inlineStr">
        <is>
          <t xml:space="preserve">Trilha</t>
        </is>
      </c>
    </row>
    <row r="2">
      <c r="A2" s="7" t="inlineStr">
        <is>
          <t xml:space="preserve">AT-01</t>
        </is>
      </c>
      <c r="B2" s="6" t="inlineStr">
        <is>
          <t xml:space="preserve">Formalizar a necessidade (DFD)</t>
        </is>
      </c>
      <c r="C2" s="7" t="inlineStr">
        <is>
          <t xml:space="preserve">SP-01</t>
        </is>
      </c>
      <c r="D2" s="7">
        <v>1</v>
      </c>
      <c r="E2" s="7" t="inlineStr">
        <is>
          <t xml:space="preserve">Agregação de Valor</t>
        </is>
      </c>
      <c r="F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G2" s="6" t="inlineStr">
        <is>
          <t xml:space="preserve">Necessidade identificada; Plano de Contratações Anual</t>
        </is>
      </c>
      <c r="H2" s="6" t="inlineStr">
        <is>
          <t xml:space="preserve">DFD assinado no e-Codevasf</t>
        </is>
      </c>
      <c r="I2" s="6" t="inlineStr">
        <is>
          <t xml:space="preserve">e-Codevasf</t>
        </is>
      </c>
      <c r="J2" s="8" t="str">
        <f>=IF(LEFT(C2,2)="SP",VLOOKUP(C2,Subprocessos!$A:$P,16,0),VLOOKUP(C2,Processos!$A:$AM,39,0))&amp;" › "&amp;A2</f>
        <v>MS-01 › PP-01 › SP-01 › AT-01</v>
      </c>
    </row>
    <row r="3">
      <c r="A3" s="4" t="inlineStr">
        <is>
          <t xml:space="preserve">AT-02</t>
        </is>
      </c>
      <c r="B3" s="3" t="inlineStr">
        <is>
          <t xml:space="preserve">Levantar soluções de mercado</t>
        </is>
      </c>
      <c r="C3" s="4" t="inlineStr">
        <is>
          <t xml:space="preserve">SP-01</t>
        </is>
      </c>
      <c r="D3" s="4">
        <v>2</v>
      </c>
      <c r="F3" s="3" t="inlineStr">
        <is>
          <t xml:space="preserve">A equipe de planejamento pesquisa catálogos, contratações similares no PNCP e alternativas de mercado que atendam à necessidade formalizada no DFD.</t>
        </is>
      </c>
      <c r="G3" s="3" t="inlineStr">
        <is>
          <t xml:space="preserve">DFD; Catálogos; Contratações similares (PNCP)</t>
        </is>
      </c>
      <c r="H3" s="3" t="inlineStr">
        <is>
          <t xml:space="preserve">Levantamento de soluções documentado</t>
        </is>
      </c>
      <c r="I3" s="3" t="inlineStr">
        <is>
          <t xml:space="preserve">PNCP; Compras.gov.br</t>
        </is>
      </c>
      <c r="J3" s="8" t="str">
        <f>=IF(LEFT(C3,2)="SP",VLOOKUP(C3,Subprocessos!$A:$P,16,0),VLOOKUP(C3,Processos!$A:$AM,39,0))&amp;" › "&amp;A3</f>
        <v>MS-01 › PP-01 › SP-01 › AT-02</v>
      </c>
    </row>
    <row r="4">
      <c r="A4" s="7" t="inlineStr">
        <is>
          <t xml:space="preserve">AT-03</t>
        </is>
      </c>
      <c r="B4" s="6" t="inlineStr">
        <is>
          <t xml:space="preserve">Estimar quantidades e resultados</t>
        </is>
      </c>
      <c r="C4" s="7" t="inlineStr">
        <is>
          <t xml:space="preserve">SP-01</t>
        </is>
      </c>
      <c r="D4" s="7">
        <v>3</v>
      </c>
      <c r="F4" s="6" t="inlineStr">
        <is>
          <t xml:space="preserve">A equipe de planejamento estima quantitativos e resultados pretendidos com base no levantamento de soluções e em séries históricas de consumo.</t>
        </is>
      </c>
      <c r="G4" s="6" t="inlineStr">
        <is>
          <t xml:space="preserve">Levantamento de soluções; Séries históricas</t>
        </is>
      </c>
      <c r="H4" s="6" t="inlineStr">
        <is>
          <t xml:space="preserve">Memória de cálculo de quantitativos</t>
        </is>
      </c>
      <c r="I4" s="6" t="inlineStr">
        <is>
          <t xml:space="preserve">e-Codevasf</t>
        </is>
      </c>
      <c r="J4" s="8" t="str">
        <f>=IF(LEFT(C4,2)="SP",VLOOKUP(C4,Subprocessos!$A:$P,16,0),VLOOKUP(C4,Processos!$A:$AM,39,0))&amp;" › "&amp;A4</f>
        <v>MS-01 › PP-01 › SP-01 › AT-03</v>
      </c>
    </row>
    <row r="5">
      <c r="A5" s="4" t="inlineStr">
        <is>
          <t xml:space="preserve">AT-04</t>
        </is>
      </c>
      <c r="B5" s="3" t="inlineStr">
        <is>
          <t xml:space="preserve">Elaborar e aprovar o ETP</t>
        </is>
      </c>
      <c r="C5" s="4" t="inlineStr">
        <is>
          <t xml:space="preserve">SP-01</t>
        </is>
      </c>
      <c r="D5" s="4">
        <v>4</v>
      </c>
      <c r="E5" s="4" t="inlineStr">
        <is>
          <t xml:space="preserve">Controle</t>
        </is>
      </c>
      <c r="F5" s="3" t="inlineStr">
        <is>
          <t xml:space="preserve">A equipe de planejamento consolida os levantamentos no Estudo Técnico Preliminar (ETP) e o submete à aprovação da autoridade competente.</t>
        </is>
      </c>
      <c r="G5" s="3" t="inlineStr">
        <is>
          <t xml:space="preserve">Levantamentos e memórias anteriores</t>
        </is>
      </c>
      <c r="H5" s="3" t="inlineStr">
        <is>
          <t xml:space="preserve">ETP aprovado</t>
        </is>
      </c>
      <c r="I5" s="3" t="inlineStr">
        <is>
          <t xml:space="preserve">e-Codevasf; Compras.gov.br</t>
        </is>
      </c>
      <c r="J5" s="8" t="str">
        <f>=IF(LEFT(C5,2)="SP",VLOOKUP(C5,Subprocessos!$A:$P,16,0),VLOOKUP(C5,Processos!$A:$AM,39,0))&amp;" › "&amp;A5</f>
        <v>MS-01 › PP-01 › SP-01 › AT-04</v>
      </c>
    </row>
    <row r="6">
      <c r="A6" s="7" t="inlineStr">
        <is>
          <t xml:space="preserve">AT-05</t>
        </is>
      </c>
      <c r="B6" s="6" t="inlineStr">
        <is>
          <t xml:space="preserve">Redigir o Termo de Referência</t>
        </is>
      </c>
      <c r="C6" s="7" t="inlineStr">
        <is>
          <t xml:space="preserve">SP-02</t>
        </is>
      </c>
      <c r="D6" s="7">
        <v>1</v>
      </c>
      <c r="F6" s="6" t="inlineStr">
        <is>
          <t xml:space="preserve">A equipe de planejamento redige a minuta do Termo de Referência a partir do ETP aprovado, utilizando os modelos padronizados da Empresa.</t>
        </is>
      </c>
      <c r="G6" s="6" t="inlineStr">
        <is>
          <t xml:space="preserve">ETP aprovado; Modelos padronizados</t>
        </is>
      </c>
      <c r="H6" s="6" t="inlineStr">
        <is>
          <t xml:space="preserve">Minuta de TR</t>
        </is>
      </c>
      <c r="I6" s="6" t="inlineStr">
        <is>
          <t xml:space="preserve">e-Codevasf</t>
        </is>
      </c>
      <c r="J6" s="8" t="str">
        <f>=IF(LEFT(C6,2)="SP",VLOOKUP(C6,Subprocessos!$A:$P,16,0),VLOOKUP(C6,Processos!$A:$AM,39,0))&amp;" › "&amp;A6</f>
        <v>MS-01 › PP-01 › SP-02 › AT-05</v>
      </c>
    </row>
    <row r="7">
      <c r="A7" s="4" t="inlineStr">
        <is>
          <t xml:space="preserve">AT-06</t>
        </is>
      </c>
      <c r="B7" s="3" t="inlineStr">
        <is>
          <t xml:space="preserve">Validar o TR com a Assessoria Jurídica</t>
        </is>
      </c>
      <c r="C7" s="4" t="inlineStr">
        <is>
          <t xml:space="preserve">SP-02</t>
        </is>
      </c>
      <c r="D7" s="4">
        <v>2</v>
      </c>
      <c r="E7" s="4" t="inlineStr">
        <is>
          <t xml:space="preserve">Controle</t>
        </is>
      </c>
      <c r="F7" s="3" t="inlineStr">
        <is>
          <t xml:space="preserve">A Assessoria Jurídica analisa a minuta do Termo de Referência e emite parecer sobre sua conformidade legal antes da publicação do edital.</t>
        </is>
      </c>
      <c r="G7" s="3" t="inlineStr">
        <is>
          <t xml:space="preserve">Minuta de TR</t>
        </is>
      </c>
      <c r="H7" s="3" t="inlineStr">
        <is>
          <t xml:space="preserve">TR validado; Parecer jurídico</t>
        </is>
      </c>
      <c r="I7" s="3" t="inlineStr">
        <is>
          <t xml:space="preserve">e-Codevasf</t>
        </is>
      </c>
      <c r="J7" s="8" t="str">
        <f>=IF(LEFT(C7,2)="SP",VLOOKUP(C7,Subprocessos!$A:$P,16,0),VLOOKUP(C7,Processos!$A:$AM,39,0))&amp;" › "&amp;A7</f>
        <v>MS-01 › PP-01 › SP-02 › AT-06</v>
      </c>
    </row>
    <row r="8">
      <c r="A8" s="7" t="inlineStr">
        <is>
          <t xml:space="preserve">AT-07</t>
        </is>
      </c>
      <c r="B8" s="6" t="inlineStr">
        <is>
          <t xml:space="preserve">Realizar a pesquisa de preços</t>
        </is>
      </c>
      <c r="C8" s="7" t="inlineStr">
        <is>
          <t xml:space="preserve">SP-03</t>
        </is>
      </c>
      <c r="D8" s="7">
        <v>1</v>
      </c>
      <c r="E8" s="7" t="inlineStr">
        <is>
          <t xml:space="preserve">Agregação de Valor</t>
        </is>
      </c>
      <c r="F8" s="6" t="inlineStr">
        <is>
          <t xml:space="preserve">A equipe de planejamento coleta preços em ao menos três fontes distintas (Painel de Preços, PNCP e contratações similares) para compor a estimativa de valor.</t>
        </is>
      </c>
      <c r="G8" s="6" t="inlineStr">
        <is>
          <t xml:space="preserve">TR validado; Fontes de preços</t>
        </is>
      </c>
      <c r="H8" s="6" t="inlineStr">
        <is>
          <t xml:space="preserve">Relatório de pesquisa de preços</t>
        </is>
      </c>
      <c r="I8" s="6" t="inlineStr">
        <is>
          <t xml:space="preserve">Painel de Preços; PNCP</t>
        </is>
      </c>
      <c r="J8" s="8" t="str">
        <f>=IF(LEFT(C8,2)="SP",VLOOKUP(C8,Subprocessos!$A:$P,16,0),VLOOKUP(C8,Processos!$A:$AM,39,0))&amp;" › "&amp;A8</f>
        <v>MS-01 › PP-01 › SP-03 › AT-07</v>
      </c>
    </row>
    <row r="9">
      <c r="A9" s="4" t="inlineStr">
        <is>
          <t xml:space="preserve">AT-08</t>
        </is>
      </c>
      <c r="B9" s="3" t="inlineStr">
        <is>
          <t xml:space="preserve">Consolidar o valor estimado</t>
        </is>
      </c>
      <c r="C9" s="4" t="inlineStr">
        <is>
          <t xml:space="preserve">SP-03</t>
        </is>
      </c>
      <c r="D9" s="4">
        <v>2</v>
      </c>
      <c r="F9" s="3" t="inlineStr">
        <is>
          <t xml:space="preserve">A equipe de planejamento consolida os preços coletados e tratados estatisticamente em um valor estimado único para a contratação.</t>
        </is>
      </c>
      <c r="G9" s="3" t="inlineStr">
        <is>
          <t xml:space="preserve">Relatório de pesquisa</t>
        </is>
      </c>
      <c r="H9" s="3" t="inlineStr">
        <is>
          <t xml:space="preserve">Valor estimado consolidado</t>
        </is>
      </c>
      <c r="I9" s="3" t="inlineStr">
        <is>
          <t xml:space="preserve">e-Codevasf</t>
        </is>
      </c>
      <c r="J9" s="8" t="str">
        <f>=IF(LEFT(C9,2)="SP",VLOOKUP(C9,Subprocessos!$A:$P,16,0),VLOOKUP(C9,Processos!$A:$AM,39,0))&amp;" › "&amp;A9</f>
        <v>MS-01 › PP-01 › SP-03 › AT-08</v>
      </c>
    </row>
    <row r="10">
      <c r="A10" s="7" t="inlineStr">
        <is>
          <t xml:space="preserve">AT-09</t>
        </is>
      </c>
      <c r="B10" s="6" t="inlineStr">
        <is>
          <t xml:space="preserve">Aplicar critério de exclusão de valores discrepantes</t>
        </is>
      </c>
      <c r="C10" s="7" t="inlineStr">
        <is>
          <t xml:space="preserve">SP-04</t>
        </is>
      </c>
      <c r="D10" s="7">
        <v>1</v>
      </c>
      <c r="F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G10" s="6" t="inlineStr">
        <is>
          <t xml:space="preserve">Amostra de preços coletados</t>
        </is>
      </c>
      <c r="H10" s="6" t="inlineStr">
        <is>
          <t xml:space="preserve">Amostra tratada; Justificativa de exclusão</t>
        </is>
      </c>
      <c r="I10" s="6" t="inlineStr">
        <is>
          <t xml:space="preserve">Planilha padrão</t>
        </is>
      </c>
      <c r="J10" s="8" t="str">
        <f>=IF(LEFT(C10,2)="SP",VLOOKUP(C10,Subprocessos!$A:$P,16,0),VLOOKUP(C10,Processos!$A:$AM,39,0))&amp;" › "&amp;A10</f>
        <v>MS-01 › PP-01 › SP-03 › SP-04 › AT-09</v>
      </c>
    </row>
    <row r="11">
      <c r="A11" s="4" t="inlineStr">
        <is>
          <t xml:space="preserve">AT-10</t>
        </is>
      </c>
      <c r="B11" s="3" t="inlineStr">
        <is>
          <t xml:space="preserve">Publicar o edital</t>
        </is>
      </c>
      <c r="C11" s="4" t="inlineStr">
        <is>
          <t xml:space="preserve">SP-05</t>
        </is>
      </c>
      <c r="D11" s="4">
        <v>1</v>
      </c>
      <c r="E11" s="4" t="inlineStr">
        <is>
          <t xml:space="preserve">Transferência</t>
        </is>
      </c>
      <c r="F11" s="3" t="inlineStr">
        <is>
          <t xml:space="preserve">A área responsável publica o edital aprovado e o parecer jurídico no Compras.gov.br e no PNCP, abrindo o certame.</t>
        </is>
      </c>
      <c r="G11" s="3" t="inlineStr">
        <is>
          <t xml:space="preserve">Edital aprovado; Parecer jurídico</t>
        </is>
      </c>
      <c r="H11" s="3" t="inlineStr">
        <is>
          <t xml:space="preserve">Edital publicado (PNCP)</t>
        </is>
      </c>
      <c r="I11" s="3" t="inlineStr">
        <is>
          <t xml:space="preserve">Compras.gov.br; PNCP</t>
        </is>
      </c>
      <c r="J11" s="8" t="str">
        <f>=IF(LEFT(C11,2)="SP",VLOOKUP(C11,Subprocessos!$A:$P,16,0),VLOOKUP(C11,Processos!$A:$AM,39,0))&amp;" › "&amp;A11</f>
        <v>MS-01 › PP-02 › SP-05 › AT-10</v>
      </c>
    </row>
    <row r="12">
      <c r="A12" s="7" t="inlineStr">
        <is>
          <t xml:space="preserve">AT-11</t>
        </is>
      </c>
      <c r="B12" s="6" t="inlineStr">
        <is>
          <t xml:space="preserve">Conduzir a sessão e julgar propostas</t>
        </is>
      </c>
      <c r="C12" s="7" t="inlineStr">
        <is>
          <t xml:space="preserve">SP-05</t>
        </is>
      </c>
      <c r="D12" s="7">
        <v>2</v>
      </c>
      <c r="F12" s="6" t="inlineStr">
        <is>
          <t xml:space="preserve">O agente de contratação conduz a sessão pública, analisa as propostas recebidas e registra o resultado do julgamento em ata.</t>
        </is>
      </c>
      <c r="G12" s="6" t="inlineStr">
        <is>
          <t xml:space="preserve">Edital publicado; Propostas</t>
        </is>
      </c>
      <c r="H12" s="6" t="inlineStr">
        <is>
          <t xml:space="preserve">Ata da sessão; Resultado do julgamento</t>
        </is>
      </c>
      <c r="I12" s="6" t="inlineStr">
        <is>
          <t xml:space="preserve">Compras.gov.br</t>
        </is>
      </c>
      <c r="J12" s="8" t="str">
        <f>=IF(LEFT(C12,2)="SP",VLOOKUP(C12,Subprocessos!$A:$P,16,0),VLOOKUP(C12,Processos!$A:$AM,39,0))&amp;" › "&amp;A12</f>
        <v>MS-01 › PP-02 › SP-05 › AT-11</v>
      </c>
    </row>
    <row r="13">
      <c r="A13" s="4" t="inlineStr">
        <is>
          <t xml:space="preserve">AT-12</t>
        </is>
      </c>
      <c r="B13" s="3" t="inlineStr">
        <is>
          <t xml:space="preserve">Programar a distribuição hídrica</t>
        </is>
      </c>
      <c r="C13" s="4" t="inlineStr">
        <is>
          <t xml:space="preserve">SP-06</t>
        </is>
      </c>
      <c r="D13" s="4">
        <v>1</v>
      </c>
      <c r="E13" s="4" t="inlineStr">
        <is>
          <t xml:space="preserve">Agregação de Valor</t>
        </is>
      </c>
      <c r="F13" s="3" t="inlineStr">
        <is>
          <t xml:space="preserve">A equipe de operação do perímetro programa semanalmente a distribuição de água com base no plano de cultivo e na disponibilidade hídrica.</t>
        </is>
      </c>
      <c r="G13" s="3" t="inlineStr">
        <is>
          <t xml:space="preserve">Plano de cultivo; Disponibilidade hídrica</t>
        </is>
      </c>
      <c r="H13" s="3" t="inlineStr">
        <is>
          <t xml:space="preserve">Programação semanal aprovada</t>
        </is>
      </c>
      <c r="I13" s="3" t="inlineStr">
        <is>
          <t xml:space="preserve">SIG-Irrigação (fictício)</t>
        </is>
      </c>
      <c r="J13" s="8" t="str">
        <f>=IF(LEFT(C13,2)="SP",VLOOKUP(C13,Subprocessos!$A:$P,16,0),VLOOKUP(C13,Processos!$A:$AM,39,0))&amp;" › "&amp;A13</f>
        <v>MF-02 › PP-04 › SP-06 › AT-12</v>
      </c>
    </row>
    <row r="14">
      <c r="A14" s="7" t="inlineStr">
        <is>
          <t xml:space="preserve">AT-13</t>
        </is>
      </c>
      <c r="B14" s="6" t="inlineStr">
        <is>
          <t xml:space="preserve">Operar e registrar a distribuição</t>
        </is>
      </c>
      <c r="C14" s="7" t="inlineStr">
        <is>
          <t xml:space="preserve">SP-06</t>
        </is>
      </c>
      <c r="D14" s="7">
        <v>2</v>
      </c>
      <c r="E14" s="7" t="inlineStr">
        <is>
          <t xml:space="preserve">Agregação de Valor</t>
        </is>
      </c>
      <c r="F14" s="6" t="inlineStr">
        <is>
          <t xml:space="preserve">A equipe de operação executa a distribuição programada e registra volumes e ocorrências no sistema de gestão da irrigação.</t>
        </is>
      </c>
      <c r="G14" s="6" t="inlineStr">
        <is>
          <t xml:space="preserve">Programação semanal</t>
        </is>
      </c>
      <c r="H14" s="6" t="inlineStr">
        <is>
          <t xml:space="preserve">Volumes registrados; Ocorrências</t>
        </is>
      </c>
      <c r="I14" s="6" t="inlineStr">
        <is>
          <t xml:space="preserve">SIG-Irrigação (fictício)</t>
        </is>
      </c>
      <c r="J14" s="8" t="str">
        <f>=IF(LEFT(C14,2)="SP",VLOOKUP(C14,Subprocessos!$A:$P,16,0),VLOOKUP(C14,Processos!$A:$AM,39,0))&amp;" › "&amp;A14</f>
        <v>MF-02 › PP-04 › SP-06 › AT-13</v>
      </c>
    </row>
    <row r="15">
      <c r="A15" s="4" t="inlineStr">
        <is>
          <t xml:space="preserve">AT-14</t>
        </is>
      </c>
      <c r="B15" s="3" t="inlineStr">
        <is>
          <t xml:space="preserve">Designar fiscais e gestor do contrato</t>
        </is>
      </c>
      <c r="C15" s="4" t="inlineStr">
        <is>
          <t xml:space="preserve">PP-03</t>
        </is>
      </c>
      <c r="D15" s="4">
        <v>1</v>
      </c>
      <c r="E15" s="4" t="inlineStr">
        <is>
          <t xml:space="preserve">Controle</t>
        </is>
      </c>
      <c r="F15" s="3" t="inlineStr">
        <is>
          <t xml:space="preserve">Formalizar a designação do fiscal técnico, do fiscal administrativo e do gestor do contrato, com ciência dos designados.</t>
        </is>
      </c>
      <c r="G15" s="3" t="inlineStr">
        <is>
          <t xml:space="preserve">Contrato assinado; Minuta de portaria de designação</t>
        </is>
      </c>
      <c r="H15" s="3" t="inlineStr">
        <is>
          <t xml:space="preserve">Portaria de designação publicada</t>
        </is>
      </c>
      <c r="I15" s="3" t="inlineStr">
        <is>
          <t xml:space="preserve">e-Codevasf</t>
        </is>
      </c>
      <c r="J15" s="8" t="str">
        <f>=IF(LEFT(C15,2)="SP",VLOOKUP(C15,Subprocessos!$A:$P,16,0),VLOOKUP(C15,Processos!$A:$AM,39,0))&amp;" › "&amp;A15</f>
        <v>MS-01 › PP-03 › AT-14</v>
      </c>
    </row>
    <row r="16">
      <c r="A16" s="7" t="inlineStr">
        <is>
          <t xml:space="preserve">AT-15</t>
        </is>
      </c>
      <c r="B16" s="6" t="inlineStr">
        <is>
          <t xml:space="preserve">Registrar medição e atestar a execução</t>
        </is>
      </c>
      <c r="C16" s="7" t="inlineStr">
        <is>
          <t xml:space="preserve">PP-03</t>
        </is>
      </c>
      <c r="D16" s="7">
        <v>2</v>
      </c>
      <c r="E16" s="7" t="inlineStr">
        <is>
          <t xml:space="preserve">Agregação de Valor</t>
        </is>
      </c>
      <c r="F16" s="6" t="inlineStr">
        <is>
          <t xml:space="preserve">Conferir o objeto entregue no período, registrar a medição e atestar a nota fiscal para pagamento.</t>
        </is>
      </c>
      <c r="G16" s="6" t="inlineStr">
        <is>
          <t xml:space="preserve">Relatório de execução; Nota fiscal</t>
        </is>
      </c>
      <c r="H16" s="6" t="inlineStr">
        <is>
          <t xml:space="preserve">Medição registrada; Nota fiscal atestada</t>
        </is>
      </c>
      <c r="I16" s="6" t="inlineStr">
        <is>
          <t xml:space="preserve">e-Codevasf</t>
        </is>
      </c>
      <c r="J16" s="8" t="str">
        <f>=IF(LEFT(C16,2)="SP",VLOOKUP(C16,Subprocessos!$A:$P,16,0),VLOOKUP(C16,Processos!$A:$AM,39,0))&amp;" › "&amp;A16</f>
        <v>MS-01 › PP-03 › AT-15</v>
      </c>
    </row>
  </sheetData>
  <autoFilter ref="A1:J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"PP-01,PP-02,PP-03,PP-04,PP-05,PP-06,PP-07,SP-01,SP-02,SP-03,SP-04,SP-05,SP-06"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Listas!$H$2:$H$4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P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9" customWidth="1"/>
    <col min="4" max="4" width="7" customWidth="1"/>
    <col min="5" max="5" width="15" customWidth="1"/>
    <col min="6" max="6" width="32" customWidth="1"/>
    <col min="7" max="7" width="44" customWidth="1"/>
    <col min="8" max="8" width="28" customWidth="1"/>
    <col min="9" max="9" width="32" customWidth="1"/>
    <col min="10" max="10" width="30" customWidth="1"/>
    <col min="11" max="11" width="26" customWidth="1"/>
    <col min="12" max="12" width="26" customWidth="1"/>
    <col min="13" max="13" width="13" customWidth="1"/>
    <col min="14" max="14" width="26" customWidth="1"/>
    <col min="15" max="15" width="28" customWidth="1"/>
    <col min="16" max="16" width="38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Atividade</t>
        </is>
      </c>
      <c r="D1" s="1" t="inlineStr">
        <is>
          <t xml:space="preserve">Ordem</t>
        </is>
      </c>
      <c r="E1" s="1" t="inlineStr">
        <is>
          <t xml:space="preserve">Tipo_Tarefa</t>
        </is>
      </c>
      <c r="F1" s="1" t="inlineStr">
        <is>
          <t xml:space="preserve">Disparador</t>
        </is>
      </c>
      <c r="G1" s="1" t="inlineStr">
        <is>
          <t xml:space="preserve">Passos</t>
        </is>
      </c>
      <c r="H1" s="1" t="inlineStr">
        <is>
          <t xml:space="preserve">Principios</t>
        </is>
      </c>
      <c r="I1" s="1" t="inlineStr">
        <is>
          <t xml:space="preserve">Criterios_Desempenho</t>
        </is>
      </c>
      <c r="J1" s="1" t="inlineStr">
        <is>
          <t xml:space="preserve">Resultados_Esperados</t>
        </is>
      </c>
      <c r="K1" s="1" t="inlineStr">
        <is>
          <t xml:space="preserve">Materiais_Ferramentas</t>
        </is>
      </c>
      <c r="L1" s="1" t="inlineStr">
        <is>
          <t xml:space="preserve">Pessoas_Consultar</t>
        </is>
      </c>
      <c r="M1" s="1" t="inlineStr">
        <is>
          <t xml:space="preserve">Duracao_Estimada</t>
        </is>
      </c>
      <c r="N1" s="1" t="inlineStr">
        <is>
          <t xml:space="preserve">Observacoes</t>
        </is>
      </c>
      <c r="O1" s="1" t="inlineStr">
        <is>
          <t xml:space="preserve">Unidades_Organicas_Corresponsaveis</t>
        </is>
      </c>
      <c r="P1" s="1" t="inlineStr">
        <is>
          <t xml:space="preserve">Trilha</t>
        </is>
      </c>
    </row>
    <row r="2">
      <c r="A2" s="7" t="inlineStr">
        <is>
          <t xml:space="preserve">TR-01</t>
        </is>
      </c>
      <c r="B2" s="6" t="inlineStr">
        <is>
          <t xml:space="preserve">Reunir informações da demanda</t>
        </is>
      </c>
      <c r="C2" s="7" t="inlineStr">
        <is>
          <t xml:space="preserve">AT-01</t>
        </is>
      </c>
      <c r="D2" s="7">
        <v>1</v>
      </c>
      <c r="E2" s="7" t="inlineStr">
        <is>
          <t xml:space="preserve">Manual</t>
        </is>
      </c>
      <c r="F2" s="6" t="inlineStr">
        <is>
          <t xml:space="preserve">Área demandante identifica necessidade de contratação</t>
        </is>
      </c>
      <c r="G2" s="6" t="inlineStr">
        <is>
          <t xml:space="preserve">Levantar justificativa da necessidade; Consultar o PCA vigente; Reunir quantitativos preliminares com a área demandante</t>
        </is>
      </c>
      <c r="H2" s="6" t="inlineStr">
        <is>
          <t xml:space="preserve">Transparência; Economicidade</t>
        </is>
      </c>
      <c r="I2" s="6" t="inlineStr">
        <is>
          <t xml:space="preserve">Informações completas e alinhadas ao PCA; prazo de até 3 dias úteis</t>
        </is>
      </c>
      <c r="J2" s="6" t="inlineStr">
        <is>
          <t xml:space="preserve">Justificativa e quantitativos preliminares documentados</t>
        </is>
      </c>
      <c r="K2" s="6" t="inlineStr">
        <is>
          <t xml:space="preserve">e-Codevasf; Modelo de DFD</t>
        </is>
      </c>
      <c r="L2" s="6" t="inlineStr">
        <is>
          <t xml:space="preserve">Gestor da área demandante; Coordenador de orçamento</t>
        </is>
      </c>
      <c r="M2" s="7">
        <v>4</v>
      </c>
      <c r="O2" s="6" t="inlineStr">
        <is>
          <t xml:space="preserve">AA/GLC</t>
        </is>
      </c>
      <c r="P2" s="8" t="str">
        <f>=VLOOKUP(C2,Atividades!$A:$J,10,0)&amp;" › "&amp;A2</f>
        <v>MS-01 › PP-01 › SP-01 › AT-01 › TR-01</v>
      </c>
    </row>
    <row r="3">
      <c r="A3" s="4" t="inlineStr">
        <is>
          <t xml:space="preserve">TR-02</t>
        </is>
      </c>
      <c r="B3" s="3" t="inlineStr">
        <is>
          <t xml:space="preserve">Preencher o formulário DFD no e-Codevasf</t>
        </is>
      </c>
      <c r="C3" s="4" t="inlineStr">
        <is>
          <t xml:space="preserve">AT-01</t>
        </is>
      </c>
      <c r="D3" s="4">
        <v>2</v>
      </c>
      <c r="E3" s="4" t="inlineStr">
        <is>
          <t xml:space="preserve">Manual</t>
        </is>
      </c>
      <c r="M3" s="4">
        <v>4</v>
      </c>
      <c r="N3" s="3" t="inlineStr">
        <is>
          <t xml:space="preserve">Modelo DOC-006/DOC-012.</t>
        </is>
      </c>
      <c r="O3" s="3" t="inlineStr">
        <is>
          <t xml:space="preserve">AG/GGP</t>
        </is>
      </c>
      <c r="P3" s="8" t="str">
        <f>=VLOOKUP(C3,Atividades!$A:$J,10,0)&amp;" › "&amp;A3</f>
        <v>MS-01 › PP-01 › SP-01 › AT-01 › TR-02</v>
      </c>
    </row>
    <row r="4">
      <c r="A4" s="7" t="inlineStr">
        <is>
          <t xml:space="preserve">TR-03</t>
        </is>
      </c>
      <c r="B4" s="6" t="inlineStr">
        <is>
          <t xml:space="preserve">Colher assinatura eletrônica do gestor</t>
        </is>
      </c>
      <c r="C4" s="7" t="inlineStr">
        <is>
          <t xml:space="preserve">AT-01</t>
        </is>
      </c>
      <c r="D4" s="7">
        <v>3</v>
      </c>
      <c r="E4" s="7" t="inlineStr">
        <is>
          <t xml:space="preserve">Manual</t>
        </is>
      </c>
      <c r="M4" s="7">
        <v>8</v>
      </c>
      <c r="O4" s="6" t="inlineStr">
        <is>
          <t xml:space="preserve">AT/GTI</t>
        </is>
      </c>
      <c r="P4" s="8" t="str">
        <f>=VLOOKUP(C4,Atividades!$A:$J,10,0)&amp;" › "&amp;A4</f>
        <v>MS-01 › PP-01 › SP-01 › AT-01 › TR-03</v>
      </c>
    </row>
    <row r="5">
      <c r="A5" s="4" t="inlineStr">
        <is>
          <t xml:space="preserve">TR-04</t>
        </is>
      </c>
      <c r="B5" s="3" t="inlineStr">
        <is>
          <t xml:space="preserve">Consultar o Painel de Preços</t>
        </is>
      </c>
      <c r="C5" s="4" t="inlineStr">
        <is>
          <t xml:space="preserve">AT-07</t>
        </is>
      </c>
      <c r="D5" s="4">
        <v>1</v>
      </c>
      <c r="E5" s="4" t="inlineStr">
        <is>
          <t xml:space="preserve">Manual</t>
        </is>
      </c>
      <c r="F5" s="3" t="inlineStr">
        <is>
          <t xml:space="preserve">Termo de Referência validado pela Assessoria Jurídica</t>
        </is>
      </c>
      <c r="G5" s="3" t="inlineStr">
        <is>
          <t xml:space="preserve">Consultar Painel de Preços, PNCP e contratações similares; Registrar as fontes e os valores coletados; Aplicar o método de tratamento estatístico definido</t>
        </is>
      </c>
      <c r="H5" s="3" t="inlineStr">
        <is>
          <t xml:space="preserve">Isonomia; Economicidade; Ampla concorrência</t>
        </is>
      </c>
      <c r="I5" s="3" t="inlineStr">
        <is>
          <t xml:space="preserve">No mínimo 3 fontes distintas; amostra sem valores inexequíveis não tratados</t>
        </is>
      </c>
      <c r="J5" s="3" t="inlineStr">
        <is>
          <t xml:space="preserve">Amostra de preços coletada e tratada, pronta para consolidação do valor estimado</t>
        </is>
      </c>
      <c r="K5" s="3" t="inlineStr">
        <is>
          <t xml:space="preserve">Painel de Preços; PNCP; Planilha padrão de pesquisa</t>
        </is>
      </c>
      <c r="L5" s="3" t="inlineStr">
        <is>
          <t xml:space="preserve">Equipe de planejamento da contratação</t>
        </is>
      </c>
      <c r="M5" s="4">
        <v>4</v>
      </c>
      <c r="O5" s="3" t="inlineStr">
        <is>
          <t xml:space="preserve">AE/GPE</t>
        </is>
      </c>
      <c r="P5" s="8" t="str">
        <f>=VLOOKUP(C5,Atividades!$A:$J,10,0)&amp;" › "&amp;A5</f>
        <v>MS-01 › PP-01 › SP-03 › AT-07 › TR-04</v>
      </c>
    </row>
    <row r="6">
      <c r="A6" s="7" t="inlineStr">
        <is>
          <t xml:space="preserve">TR-05</t>
        </is>
      </c>
      <c r="B6" s="6" t="inlineStr">
        <is>
          <t xml:space="preserve">Consultar contratações no PNCP</t>
        </is>
      </c>
      <c r="C6" s="7" t="inlineStr">
        <is>
          <t xml:space="preserve">AT-07</t>
        </is>
      </c>
      <c r="D6" s="7">
        <v>2</v>
      </c>
      <c r="E6" s="7" t="inlineStr">
        <is>
          <t xml:space="preserve">Manual</t>
        </is>
      </c>
      <c r="M6" s="7">
        <v>4</v>
      </c>
      <c r="O6" s="6" t="inlineStr">
        <is>
          <t xml:space="preserve">AE/GAG</t>
        </is>
      </c>
      <c r="P6" s="8" t="str">
        <f>=VLOOKUP(C6,Atividades!$A:$J,10,0)&amp;" › "&amp;A6</f>
        <v>MS-01 › PP-01 › SP-03 › AT-07 › TR-05</v>
      </c>
    </row>
    <row r="7">
      <c r="A7" s="4" t="inlineStr">
        <is>
          <t xml:space="preserve">TR-06</t>
        </is>
      </c>
      <c r="B7" s="3" t="inlineStr">
        <is>
          <t xml:space="preserve">Registrar cotações de fornecedores</t>
        </is>
      </c>
      <c r="C7" s="4" t="inlineStr">
        <is>
          <t xml:space="preserve">AT-07</t>
        </is>
      </c>
      <c r="D7" s="4">
        <v>3</v>
      </c>
      <c r="E7" s="4" t="inlineStr">
        <is>
          <t xml:space="preserve">Manual</t>
        </is>
      </c>
      <c r="M7" s="4">
        <v>24</v>
      </c>
      <c r="N7" s="3" t="inlineStr">
        <is>
          <t xml:space="preserve">Mínimo de 3 fontes (IN 65/2021).</t>
        </is>
      </c>
      <c r="O7" s="3" t="inlineStr">
        <is>
          <t xml:space="preserve">AR/GDT</t>
        </is>
      </c>
      <c r="P7" s="8" t="str">
        <f>=VLOOKUP(C7,Atividades!$A:$J,10,0)&amp;" › "&amp;A7</f>
        <v>MS-01 › PP-01 › SP-03 › AT-07 › TR-06</v>
      </c>
    </row>
    <row r="8">
      <c r="A8" s="7" t="inlineStr">
        <is>
          <t xml:space="preserve">TR-07</t>
        </is>
      </c>
      <c r="B8" s="6" t="inlineStr">
        <is>
          <t xml:space="preserve">Aplicar tratamento estatístico</t>
        </is>
      </c>
      <c r="C8" s="7" t="inlineStr">
        <is>
          <t xml:space="preserve">AT-07</t>
        </is>
      </c>
      <c r="D8" s="7">
        <v>4</v>
      </c>
      <c r="E8" s="7" t="inlineStr">
        <is>
          <t xml:space="preserve">Regra de negócio</t>
        </is>
      </c>
      <c r="M8" s="7">
        <v>4</v>
      </c>
      <c r="O8" s="6" t="inlineStr">
        <is>
          <t xml:space="preserve">AI/GOM</t>
        </is>
      </c>
      <c r="P8" s="8" t="str">
        <f>=VLOOKUP(C8,Atividades!$A:$J,10,0)&amp;" › "&amp;A8</f>
        <v>MS-01 › PP-01 › SP-03 › AT-07 › TR-07</v>
      </c>
    </row>
    <row r="9">
      <c r="A9" s="4" t="inlineStr">
        <is>
          <t xml:space="preserve">TR-08</t>
        </is>
      </c>
      <c r="B9" s="3" t="inlineStr">
        <is>
          <t xml:space="preserve">Cadastrar o edital no Compras.gov.br</t>
        </is>
      </c>
      <c r="C9" s="4" t="inlineStr">
        <is>
          <t xml:space="preserve">AT-10</t>
        </is>
      </c>
      <c r="D9" s="4">
        <v>1</v>
      </c>
      <c r="E9" s="4" t="inlineStr">
        <is>
          <t xml:space="preserve">Manual</t>
        </is>
      </c>
      <c r="M9" s="4">
        <v>4</v>
      </c>
      <c r="O9" s="3" t="inlineStr">
        <is>
          <t xml:space="preserve">AR/GRB</t>
        </is>
      </c>
      <c r="P9" s="8" t="str">
        <f>=VLOOKUP(C9,Atividades!$A:$J,10,0)&amp;" › "&amp;A9</f>
        <v>MS-01 › PP-02 › SP-05 › AT-10 › TR-08</v>
      </c>
    </row>
    <row r="10">
      <c r="A10" s="7" t="inlineStr">
        <is>
          <t xml:space="preserve">TR-09</t>
        </is>
      </c>
      <c r="B10" s="6" t="inlineStr">
        <is>
          <t xml:space="preserve">Publicar o aviso no PNCP</t>
        </is>
      </c>
      <c r="C10" s="7" t="inlineStr">
        <is>
          <t xml:space="preserve">AT-10</t>
        </is>
      </c>
      <c r="D10" s="7">
        <v>2</v>
      </c>
      <c r="E10" s="7" t="inlineStr">
        <is>
          <t xml:space="preserve">Automatizada</t>
        </is>
      </c>
      <c r="M10" s="7">
        <v>0</v>
      </c>
      <c r="O10" s="6" t="inlineStr">
        <is>
          <t xml:space="preserve">AA/GLC</t>
        </is>
      </c>
      <c r="P10" s="8" t="str">
        <f>=VLOOKUP(C10,Atividades!$A:$J,10,0)&amp;" › "&amp;A10</f>
        <v>MS-01 › PP-02 › SP-05 › AT-10 › TR-09</v>
      </c>
    </row>
    <row r="11">
      <c r="A11" s="4" t="inlineStr">
        <is>
          <t xml:space="preserve">TR-10</t>
        </is>
      </c>
      <c r="B11" s="3" t="inlineStr">
        <is>
          <t xml:space="preserve">Consolidar demandas semanais dos lotes</t>
        </is>
      </c>
      <c r="C11" s="4" t="inlineStr">
        <is>
          <t xml:space="preserve">AT-12</t>
        </is>
      </c>
      <c r="D11" s="4">
        <v>1</v>
      </c>
      <c r="E11" s="4" t="inlineStr">
        <is>
          <t xml:space="preserve">Manual</t>
        </is>
      </c>
      <c r="M11" s="4">
        <v>8</v>
      </c>
      <c r="O11" s="3" t="inlineStr">
        <is>
          <t xml:space="preserve">AG/GGP</t>
        </is>
      </c>
      <c r="P11" s="8" t="str">
        <f>=VLOOKUP(C11,Atividades!$A:$J,10,0)&amp;" › "&amp;A11</f>
        <v>MF-02 › PP-04 › SP-06 › AT-12 › TR-10</v>
      </c>
    </row>
    <row r="12">
      <c r="A12" s="7" t="inlineStr">
        <is>
          <t xml:space="preserve">TR-11</t>
        </is>
      </c>
      <c r="B12" s="6" t="inlineStr">
        <is>
          <t xml:space="preserve">Conferir o objeto entregue</t>
        </is>
      </c>
      <c r="C12" s="7" t="inlineStr">
        <is>
          <t xml:space="preserve">AT-15</t>
        </is>
      </c>
      <c r="D12" s="7">
        <v>1</v>
      </c>
      <c r="E12" s="7" t="inlineStr">
        <is>
          <t xml:space="preserve">Manual</t>
        </is>
      </c>
      <c r="K12" s="6" t="inlineStr">
        <is>
          <t xml:space="preserve">e-Codevasf</t>
        </is>
      </c>
      <c r="L12" s="6" t="inlineStr">
        <is>
          <t xml:space="preserve">Fiscal técnico do contrato</t>
        </is>
      </c>
      <c r="M12" s="7">
        <v>8</v>
      </c>
      <c r="O12" s="6" t="inlineStr">
        <is>
          <t xml:space="preserve">AT/GTI</t>
        </is>
      </c>
      <c r="P12" s="8" t="str">
        <f>=VLOOKUP(C12,Atividades!$A:$J,10,0)&amp;" › "&amp;A12</f>
        <v>MS-01 › PP-03 › AT-15 › TR-11</v>
      </c>
    </row>
    <row r="13">
      <c r="A13" s="4" t="inlineStr">
        <is>
          <t xml:space="preserve">TR-12</t>
        </is>
      </c>
      <c r="B13" s="3" t="inlineStr">
        <is>
          <t xml:space="preserve">Registrar a medição no processo</t>
        </is>
      </c>
      <c r="C13" s="4" t="inlineStr">
        <is>
          <t xml:space="preserve">AT-15</t>
        </is>
      </c>
      <c r="D13" s="4">
        <v>2</v>
      </c>
      <c r="E13" s="4" t="inlineStr">
        <is>
          <t xml:space="preserve">Manual</t>
        </is>
      </c>
      <c r="K13" s="3" t="inlineStr">
        <is>
          <t xml:space="preserve">e-Codevasf</t>
        </is>
      </c>
      <c r="L13" s="3" t="inlineStr">
        <is>
          <t xml:space="preserve">Fiscal técnico do contrato</t>
        </is>
      </c>
      <c r="M13" s="4">
        <v>4</v>
      </c>
      <c r="O13" s="3" t="inlineStr">
        <is>
          <t xml:space="preserve">AE/GPE</t>
        </is>
      </c>
      <c r="P13" s="8" t="str">
        <f>=VLOOKUP(C13,Atividades!$A:$J,10,0)&amp;" › "&amp;A13</f>
        <v>MS-01 › PP-03 › AT-15 › TR-12</v>
      </c>
    </row>
    <row r="14">
      <c r="A14" s="7" t="inlineStr">
        <is>
          <t xml:space="preserve">TR-13</t>
        </is>
      </c>
      <c r="B14" s="6" t="inlineStr">
        <is>
          <t xml:space="preserve">Atestar a nota fiscal</t>
        </is>
      </c>
      <c r="C14" s="7" t="inlineStr">
        <is>
          <t xml:space="preserve">AT-15</t>
        </is>
      </c>
      <c r="D14" s="7">
        <v>3</v>
      </c>
      <c r="E14" s="7" t="inlineStr">
        <is>
          <t xml:space="preserve">Manual</t>
        </is>
      </c>
      <c r="K14" s="6" t="inlineStr">
        <is>
          <t xml:space="preserve">e-Codevasf</t>
        </is>
      </c>
      <c r="L14" s="6" t="inlineStr">
        <is>
          <t xml:space="preserve">Gestor do contrato</t>
        </is>
      </c>
      <c r="M14" s="7">
        <v>4</v>
      </c>
      <c r="N14" s="6" t="inlineStr">
        <is>
          <t xml:space="preserve">O prazo de pagamento conta a partir do ateste.</t>
        </is>
      </c>
      <c r="O14" s="6" t="inlineStr">
        <is>
          <t xml:space="preserve">AE/GAG</t>
        </is>
      </c>
      <c r="P14" s="8" t="str">
        <f>=VLOOKUP(C14,Atividades!$A:$J,10,0)&amp;" › "&amp;A14</f>
        <v>MS-01 › PP-03 › AT-15 › TR-13</v>
      </c>
    </row>
  </sheetData>
  <autoFilter ref="A1:P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Atividades!$A$2:$A$16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Listas!$I$2:$I$4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16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=IF(LEFT(E2,2)="MG","Macroprocesso",IF(LEFT(E2,2)="MF","Macroprocesso",IF(LEFT(E2,2)="MS","Macroprocesso",IF(LEFT(E2,2)="PP","Processo",IF(LEFT(E2,2)="SP","Subprocesso",IF(LEFT(E2,2)="AT","Atividade",IF(LEFT(E2,2)="TR","Tarefa","")))))))</f>
        <v>Processo</v>
      </c>
      <c r="E2" s="7" t="inlineStr">
        <is>
          <t xml:space="preserve">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=IF(LEFT(E3,2)="MG","Macroprocesso",IF(LEFT(E3,2)="MF","Macroprocesso",IF(LEFT(E3,2)="MS","Macroprocesso",IF(LEFT(E3,2)="PP","Processo",IF(LEFT(E3,2)="SP","Subprocesso",IF(LEFT(E3,2)="AT","Atividade",IF(LEFT(E3,2)="TR","Tarefa","")))))))</f>
        <v>Processo</v>
      </c>
      <c r="E3" s="4" t="inlineStr">
        <is>
          <t xml:space="preserve">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=IF(LEFT(E4,2)="MG","Macroprocesso",IF(LEFT(E4,2)="MF","Macroprocesso",IF(LEFT(E4,2)="MS","Macroprocesso",IF(LEFT(E4,2)="PP","Processo",IF(LEFT(E4,2)="SP","Subprocesso",IF(LEFT(E4,2)="AT","Atividade",IF(LEFT(E4,2)="TR","Tarefa","")))))))</f>
        <v>Processo</v>
      </c>
      <c r="E4" s="7" t="inlineStr">
        <is>
          <t xml:space="preserve">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=IF(LEFT(E5,2)="MG","Macroprocesso",IF(LEFT(E5,2)="MF","Macroprocesso",IF(LEFT(E5,2)="MS","Macroprocesso",IF(LEFT(E5,2)="PP","Processo",IF(LEFT(E5,2)="SP","Subprocesso",IF(LEFT(E5,2)="AT","Atividade",IF(LEFT(E5,2)="TR","Tarefa","")))))))</f>
        <v>Processo</v>
      </c>
      <c r="E5" s="4" t="inlineStr">
        <is>
          <t xml:space="preserve">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=IF(LEFT(E6,2)="MG","Macroprocesso",IF(LEFT(E6,2)="MF","Macroprocesso",IF(LEFT(E6,2)="MS","Macroprocesso",IF(LEFT(E6,2)="PP","Processo",IF(LEFT(E6,2)="SP","Subprocesso",IF(LEFT(E6,2)="AT","Atividade",IF(LEFT(E6,2)="TR","Tarefa","")))))))</f>
        <v>Processo</v>
      </c>
      <c r="E6" s="7" t="inlineStr">
        <is>
          <t xml:space="preserve">PP-01;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=IF(LEFT(E7,2)="MG","Macroprocesso",IF(LEFT(E7,2)="MF","Macroprocesso",IF(LEFT(E7,2)="MS","Macroprocesso",IF(LEFT(E7,2)="PP","Processo",IF(LEFT(E7,2)="SP","Subprocesso",IF(LEFT(E7,2)="AT","Atividade",IF(LEFT(E7,2)="TR","Tarefa","")))))))</f>
        <v>Subprocesso</v>
      </c>
      <c r="E7" s="4" t="inlineStr">
        <is>
          <t xml:space="preserve">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=IF(LEFT(E8,2)="MG","Macroprocesso",IF(LEFT(E8,2)="MF","Macroprocesso",IF(LEFT(E8,2)="MS","Macroprocesso",IF(LEFT(E8,2)="PP","Processo",IF(LEFT(E8,2)="SP","Subprocesso",IF(LEFT(E8,2)="AT","Atividade",IF(LEFT(E8,2)="TR","Tarefa","")))))))</f>
        <v>Subprocesso</v>
      </c>
      <c r="E8" s="7" t="inlineStr">
        <is>
          <t xml:space="preserve">SP-03; SP-04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=IF(LEFT(E9,2)="MG","Macroprocesso",IF(LEFT(E9,2)="MF","Macroprocesso",IF(LEFT(E9,2)="MS","Macroprocesso",IF(LEFT(E9,2)="PP","Processo",IF(LEFT(E9,2)="SP","Subprocesso",IF(LEFT(E9,2)="AT","Atividade",IF(LEFT(E9,2)="TR","Tarefa","")))))))</f>
        <v>Macroprocesso</v>
      </c>
      <c r="E9" s="4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=IF(LEFT(E10,2)="MG","Macroprocesso",IF(LEFT(E10,2)="MF","Macroprocesso",IF(LEFT(E10,2)="MS","Macroprocesso",IF(LEFT(E10,2)="PP","Processo",IF(LEFT(E10,2)="SP","Subprocesso",IF(LEFT(E10,2)="AT","Atividade",IF(LEFT(E10,2)="TR","Tarefa","")))))))</f>
        <v>Processo</v>
      </c>
      <c r="E10" s="7" t="inlineStr">
        <is>
          <t xml:space="preserve">PP-01;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=IF(LEFT(E11,2)="MG","Macroprocesso",IF(LEFT(E11,2)="MF","Macroprocesso",IF(LEFT(E11,2)="MS","Macroprocesso",IF(LEFT(E11,2)="PP","Processo",IF(LEFT(E11,2)="SP","Subprocesso",IF(LEFT(E11,2)="AT","Atividade",IF(LEFT(E11,2)="TR","Tarefa","")))))))</f>
        <v>Processo</v>
      </c>
      <c r="E11" s="4" t="inlineStr">
        <is>
          <t xml:space="preserve">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=IF(LEFT(E12,2)="MG","Macroprocesso",IF(LEFT(E12,2)="MF","Macroprocesso",IF(LEFT(E12,2)="MS","Macroprocesso",IF(LEFT(E12,2)="PP","Processo",IF(LEFT(E12,2)="SP","Subprocesso",IF(LEFT(E12,2)="AT","Atividade",IF(LEFT(E12,2)="TR","Tarefa","")))))))</f>
        <v>Processo</v>
      </c>
      <c r="E12" s="7" t="inlineStr">
        <is>
          <t xml:space="preserve">PP-04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=IF(LEFT(E13,2)="MG","Macroprocesso",IF(LEFT(E13,2)="MF","Macroprocesso",IF(LEFT(E13,2)="MS","Macroprocesso",IF(LEFT(E13,2)="PP","Processo",IF(LEFT(E13,2)="SP","Subprocesso",IF(LEFT(E13,2)="AT","Atividade",IF(LEFT(E13,2)="TR","Tarefa","")))))))</f>
        <v>Atividade</v>
      </c>
      <c r="E13" s="4" t="inlineStr">
        <is>
          <t xml:space="preserve">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=IF(LEFT(E14,2)="MG","Macroprocesso",IF(LEFT(E14,2)="MF","Macroprocesso",IF(LEFT(E14,2)="MS","Macroprocesso",IF(LEFT(E14,2)="PP","Processo",IF(LEFT(E14,2)="SP","Subprocesso",IF(LEFT(E14,2)="AT","Atividade",IF(LEFT(E14,2)="TR","Tarefa","")))))))</f>
        <v>Processo</v>
      </c>
      <c r="E14" s="7" t="inlineStr">
        <is>
          <t xml:space="preserve">PP-06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=IF(LEFT(E15,2)="MG","Macroprocesso",IF(LEFT(E15,2)="MF","Macroprocesso",IF(LEFT(E15,2)="MS","Macroprocesso",IF(LEFT(E15,2)="PP","Processo",IF(LEFT(E15,2)="SP","Subprocesso",IF(LEFT(E15,2)="AT","Atividade",IF(LEFT(E15,2)="TR","Tarefa","")))))))</f>
        <v>Processo</v>
      </c>
      <c r="E15" s="4" t="inlineStr">
        <is>
          <t xml:space="preserve">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=IF(LEFT(E16,2)="MG","Macroprocesso",IF(LEFT(E16,2)="MF","Macroprocesso",IF(LEFT(E16,2)="MS","Macroprocesso",IF(LEFT(E16,2)="PP","Processo",IF(LEFT(E16,2)="SP","Subprocesso",IF(LEFT(E16,2)="AT","Atividade",IF(LEFT(E16,2)="TR","Tarefa","")))))))</f>
        <v>Processo</v>
      </c>
      <c r="E16" s="7" t="inlineStr">
        <is>
          <t xml:space="preserve">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=IF(LEFT(E17,2)="MG","Macroprocesso",IF(LEFT(E17,2)="MF","Macroprocesso",IF(LEFT(E17,2)="MS","Macroprocesso",IF(LEFT(E17,2)="PP","Processo",IF(LEFT(E17,2)="SP","Subprocesso",IF(LEFT(E17,2)="AT","Atividade",IF(LEFT(E17,2)="TR","Tarefa","")))))))</f>
        <v>Macroprocesso</v>
      </c>
      <c r="E17" s="4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=IF(LEFT(E18,2)="MG","Macroprocesso",IF(LEFT(E18,2)="MF","Macroprocesso",IF(LEFT(E18,2)="MS","Macroprocesso",IF(LEFT(E18,2)="PP","Processo",IF(LEFT(E18,2)="SP","Subprocesso",IF(LEFT(E18,2)="AT","Atividade",IF(LEFT(E18,2)="TR","Tarefa","")))))))</f>
        <v>Macroprocesso</v>
      </c>
      <c r="E18" s="7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=IF(LEFT(E19,2)="MG","Macroprocesso",IF(LEFT(E19,2)="MF","Macroprocesso",IF(LEFT(E19,2)="MS","Macroprocesso",IF(LEFT(E19,2)="PP","Processo",IF(LEFT(E19,2)="SP","Subprocesso",IF(LEFT(E19,2)="AT","Atividade",IF(LEFT(E19,2)="TR","Tarefa","")))))))</f>
        <v>Macroprocesso</v>
      </c>
      <c r="E19" s="4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=IF(LEFT(E20,2)="MG","Macroprocesso",IF(LEFT(E20,2)="MF","Macroprocesso",IF(LEFT(E20,2)="MS","Macroprocesso",IF(LEFT(E20,2)="PP","Processo",IF(LEFT(E20,2)="SP","Subprocesso",IF(LEFT(E20,2)="AT","Atividade",IF(LEFT(E20,2)="TR","Tarefa","")))))))</f>
        <v>Macroprocesso</v>
      </c>
      <c r="E20" s="7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=IF(LEFT(E21,2)="MG","Macroprocesso",IF(LEFT(E21,2)="MF","Macroprocesso",IF(LEFT(E21,2)="MS","Macroprocesso",IF(LEFT(E21,2)="PP","Processo",IF(LEFT(E21,2)="SP","Subprocesso",IF(LEFT(E21,2)="AT","Atividade",IF(LEFT(E21,2)="TR","Tarefa","")))))))</f>
        <v>Macroprocesso</v>
      </c>
      <c r="E21" s="4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=IF(LEFT(E22,2)="MG","Macroprocesso",IF(LEFT(E22,2)="MF","Macroprocesso",IF(LEFT(E22,2)="MS","Macroprocesso",IF(LEFT(E22,2)="PP","Processo",IF(LEFT(E22,2)="SP","Subprocesso",IF(LEFT(E22,2)="AT","Atividade",IF(LEFT(E22,2)="TR","Tarefa","")))))))</f>
        <v>Macroprocesso</v>
      </c>
      <c r="E22" s="7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=IF(LEFT(E23,2)="MG","Macroprocesso",IF(LEFT(E23,2)="MF","Macroprocesso",IF(LEFT(E23,2)="MS","Macroprocesso",IF(LEFT(E23,2)="PP","Processo",IF(LEFT(E23,2)="SP","Subprocesso",IF(LEFT(E23,2)="AT","Atividade",IF(LEFT(E23,2)="TR","Tarefa","")))))))</f>
        <v>Macroprocesso</v>
      </c>
      <c r="E23" s="4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Listas!$J$2:$J$12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Listas!$K$2:$K$5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16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=IF(LEFT(C2,2)="MG","Macroprocesso",IF(LEFT(C2,2)="MF","Macroprocesso",IF(LEFT(C2,2)="MS","Macroprocesso",IF(LEFT(C2,2)="PP","Processo",IF(LEFT(C2,2)="SP","Subprocesso",IF(LEFT(C2,2)="AT","Atividade",IF(LEFT(C2,2)="TR","Tarefa","")))))))</f>
        <v>Processo</v>
      </c>
      <c r="C2" s="7" t="inlineStr">
        <is>
          <t xml:space="preserve">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=IF(LEFT(C3,2)="MG","Macroprocesso",IF(LEFT(C3,2)="MF","Macroprocesso",IF(LEFT(C3,2)="MS","Macroprocesso",IF(LEFT(C3,2)="PP","Processo",IF(LEFT(C3,2)="SP","Subprocesso",IF(LEFT(C3,2)="AT","Atividade",IF(LEFT(C3,2)="TR","Tarefa","")))))))</f>
        <v>Processo</v>
      </c>
      <c r="C3" s="4" t="inlineStr">
        <is>
          <t xml:space="preserve">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=IF(LEFT(C4,2)="MG","Macroprocesso",IF(LEFT(C4,2)="MF","Macroprocesso",IF(LEFT(C4,2)="MS","Macroprocesso",IF(LEFT(C4,2)="PP","Processo",IF(LEFT(C4,2)="SP","Subprocesso",IF(LEFT(C4,2)="AT","Atividade",IF(LEFT(C4,2)="TR","Tarefa","")))))))</f>
        <v>Processo</v>
      </c>
      <c r="C4" s="7" t="inlineStr">
        <is>
          <t xml:space="preserve">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=IF(LEFT(C5,2)="MG","Macroprocesso",IF(LEFT(C5,2)="MF","Macroprocesso",IF(LEFT(C5,2)="MS","Macroprocesso",IF(LEFT(C5,2)="PP","Processo",IF(LEFT(C5,2)="SP","Subprocesso",IF(LEFT(C5,2)="AT","Atividade",IF(LEFT(C5,2)="TR","Tarefa","")))))))</f>
        <v>Subprocesso</v>
      </c>
      <c r="C5" s="4" t="inlineStr">
        <is>
          <t xml:space="preserve">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=IF(LEFT(C6,2)="MG","Macroprocesso",IF(LEFT(C6,2)="MF","Macroprocesso",IF(LEFT(C6,2)="MS","Macroprocesso",IF(LEFT(C6,2)="PP","Processo",IF(LEFT(C6,2)="SP","Subprocesso",IF(LEFT(C6,2)="AT","Atividade",IF(LEFT(C6,2)="TR","Tarefa","")))))))</f>
        <v>Processo</v>
      </c>
      <c r="C6" s="7" t="inlineStr">
        <is>
          <t xml:space="preserve">PP-04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=IF(LEFT(C7,2)="MG","Macroprocesso",IF(LEFT(C7,2)="MF","Macroprocesso",IF(LEFT(C7,2)="MS","Macroprocesso",IF(LEFT(C7,2)="PP","Processo",IF(LEFT(C7,2)="SP","Subprocesso",IF(LEFT(C7,2)="AT","Atividade",IF(LEFT(C7,2)="TR","Tarefa","")))))))</f>
        <v>Processo</v>
      </c>
      <c r="C7" s="4" t="inlineStr">
        <is>
          <t xml:space="preserve">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=IF(LEFT(C8,2)="MG","Macroprocesso",IF(LEFT(C8,2)="MF","Macroprocesso",IF(LEFT(C8,2)="MS","Macroprocesso",IF(LEFT(C8,2)="PP","Processo",IF(LEFT(C8,2)="SP","Subprocesso",IF(LEFT(C8,2)="AT","Atividade",IF(LEFT(C8,2)="TR","Tarefa","")))))))</f>
        <v>Macroprocesso</v>
      </c>
      <c r="C8" s="7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=IF(LEFT(C9,2)="MG","Macroprocesso",IF(LEFT(C9,2)="MF","Macroprocesso",IF(LEFT(C9,2)="MS","Macroprocesso",IF(LEFT(C9,2)="PP","Processo",IF(LEFT(C9,2)="SP","Subprocesso",IF(LEFT(C9,2)="AT","Atividade",IF(LEFT(C9,2)="TR","Tarefa","")))))))</f>
        <v>Atividade</v>
      </c>
      <c r="C9" s="4" t="inlineStr">
        <is>
          <t xml:space="preserve">AT-07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=IF(LEFT(C10,2)="MG","Macroprocesso",IF(LEFT(C10,2)="MF","Macroprocesso",IF(LEFT(C10,2)="MS","Macroprocesso",IF(LEFT(C10,2)="PP","Processo",IF(LEFT(C10,2)="SP","Subprocesso",IF(LEFT(C10,2)="AT","Atividade",IF(LEFT(C10,2)="TR","Tarefa","")))))))</f>
        <v>Processo</v>
      </c>
      <c r="C10" s="7" t="inlineStr">
        <is>
          <t xml:space="preserve">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Listas!$L$2:$L$7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Listas!$M$2:$M$5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Listas!$N$2:$N$4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L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16" customWidth="1"/>
    <col min="5" max="5" width="18" customWidth="1"/>
    <col min="6" max="6" width="44" customWidth="1"/>
    <col min="7" max="7" width="9" customWidth="1"/>
    <col min="8" max="8" width="13" customWidth="1"/>
    <col min="9" max="9" width="8" customWidth="1"/>
    <col min="10" max="10" width="13" customWidth="1"/>
    <col min="11" max="11" width="22" customWidth="1"/>
    <col min="12" max="12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Unidade</t>
        </is>
      </c>
      <c r="H1" s="1" t="inlineStr">
        <is>
          <t xml:space="preserve">Polaridade</t>
        </is>
      </c>
      <c r="I1" s="1" t="inlineStr">
        <is>
          <t xml:space="preserve">Meta</t>
        </is>
      </c>
      <c r="J1" s="1" t="inlineStr">
        <is>
          <t xml:space="preserve">Periodicidade</t>
        </is>
      </c>
      <c r="K1" s="1" t="inlineStr">
        <is>
          <t xml:space="preserve">Fonte</t>
        </is>
      </c>
      <c r="L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=IF(LEFT(D2,2)="MG","Macroprocesso",IF(LEFT(D2,2)="MF","Macroprocesso",IF(LEFT(D2,2)="MS","Macroprocesso",IF(LEFT(D2,2)="PP","Processo",IF(LEFT(D2,2)="SP","Subprocesso",IF(LEFT(D2,2)="AT","Atividade",IF(LEFT(D2,2)="TR","Tarefa","")))))))</f>
        <v>Macroprocesso</v>
      </c>
      <c r="D2" s="7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G2" s="7" t="inlineStr">
        <is>
          <t xml:space="preserve">dias</t>
        </is>
      </c>
      <c r="H2" s="7" t="inlineStr">
        <is>
          <t xml:space="preserve">Menor melhor</t>
        </is>
      </c>
      <c r="I2" s="7">
        <v>120</v>
      </c>
      <c r="J2" s="7" t="inlineStr">
        <is>
          <t xml:space="preserve">Trimestral</t>
        </is>
      </c>
      <c r="K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=IF(LEFT(D3,2)="MG","Macroprocesso",IF(LEFT(D3,2)="MF","Macroprocesso",IF(LEFT(D3,2)="MS","Macroprocesso",IF(LEFT(D3,2)="PP","Processo",IF(LEFT(D3,2)="SP","Subprocesso",IF(LEFT(D3,2)="AT","Atividade",IF(LEFT(D3,2)="TR","Tarefa","")))))))</f>
        <v>Processo</v>
      </c>
      <c r="D3" s="4" t="inlineStr">
        <is>
          <t xml:space="preserve">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G3" s="4" t="inlineStr">
        <is>
          <t xml:space="preserve">dias</t>
        </is>
      </c>
      <c r="H3" s="4" t="inlineStr">
        <is>
          <t xml:space="preserve">Menor melhor</t>
        </is>
      </c>
      <c r="I3" s="4">
        <v>30</v>
      </c>
      <c r="J3" s="4" t="inlineStr">
        <is>
          <t xml:space="preserve">Mensal</t>
        </is>
      </c>
      <c r="K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=IF(LEFT(D4,2)="MG","Macroprocesso",IF(LEFT(D4,2)="MF","Macroprocesso",IF(LEFT(D4,2)="MS","Macroprocesso",IF(LEFT(D4,2)="PP","Processo",IF(LEFT(D4,2)="SP","Subprocesso",IF(LEFT(D4,2)="AT","Atividade",IF(LEFT(D4,2)="TR","Tarefa","")))))))</f>
        <v>Processo</v>
      </c>
      <c r="D4" s="7" t="inlineStr">
        <is>
          <t xml:space="preserve">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G4" s="7" t="inlineStr">
        <is>
          <t xml:space="preserve">nº</t>
        </is>
      </c>
      <c r="H4" s="7" t="inlineStr">
        <is>
          <t xml:space="preserve">Menor melhor</t>
        </is>
      </c>
      <c r="I4" s="7">
        <v>1</v>
      </c>
      <c r="J4" s="7" t="inlineStr">
        <is>
          <t xml:space="preserve">Trimestral</t>
        </is>
      </c>
      <c r="K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=IF(LEFT(D5,2)="MG","Macroprocesso",IF(LEFT(D5,2)="MF","Macroprocesso",IF(LEFT(D5,2)="MS","Macroprocesso",IF(LEFT(D5,2)="PP","Processo",IF(LEFT(D5,2)="SP","Subprocesso",IF(LEFT(D5,2)="AT","Atividade",IF(LEFT(D5,2)="TR","Tarefa","")))))))</f>
        <v>Processo</v>
      </c>
      <c r="D5" s="4" t="inlineStr">
        <is>
          <t xml:space="preserve">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G5" s="4" t="inlineStr">
        <is>
          <t xml:space="preserve">%</t>
        </is>
      </c>
      <c r="H5" s="4" t="inlineStr">
        <is>
          <t xml:space="preserve">Maior melhor</t>
        </is>
      </c>
      <c r="I5" s="4">
        <v>100</v>
      </c>
      <c r="J5" s="4" t="inlineStr">
        <is>
          <t xml:space="preserve">Mensal</t>
        </is>
      </c>
      <c r="K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=IF(LEFT(D6,2)="MG","Macroprocesso",IF(LEFT(D6,2)="MF","Macroprocesso",IF(LEFT(D6,2)="MS","Macroprocesso",IF(LEFT(D6,2)="PP","Processo",IF(LEFT(D6,2)="SP","Subprocesso",IF(LEFT(D6,2)="AT","Atividade",IF(LEFT(D6,2)="TR","Tarefa","")))))))</f>
        <v>Processo</v>
      </c>
      <c r="D6" s="7" t="inlineStr">
        <is>
          <t xml:space="preserve">PP-04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G6" s="7" t="inlineStr">
        <is>
          <t xml:space="preserve">%</t>
        </is>
      </c>
      <c r="H6" s="7" t="inlineStr">
        <is>
          <t xml:space="preserve">Maior melhor</t>
        </is>
      </c>
      <c r="I6" s="7">
        <v>75</v>
      </c>
      <c r="J6" s="7" t="inlineStr">
        <is>
          <t xml:space="preserve">Mensal</t>
        </is>
      </c>
      <c r="K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=IF(LEFT(D7,2)="MG","Macroprocesso",IF(LEFT(D7,2)="MF","Macroprocesso",IF(LEFT(D7,2)="MS","Macroprocesso",IF(LEFT(D7,2)="PP","Processo",IF(LEFT(D7,2)="SP","Subprocesso",IF(LEFT(D7,2)="AT","Atividade",IF(LEFT(D7,2)="TR","Tarefa","")))))))</f>
        <v>Macroprocesso</v>
      </c>
      <c r="D7" s="4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G7" s="4" t="inlineStr">
        <is>
          <t xml:space="preserve">%</t>
        </is>
      </c>
      <c r="H7" s="4" t="inlineStr">
        <is>
          <t xml:space="preserve">Maior melhor</t>
        </is>
      </c>
      <c r="I7" s="4">
        <v>100</v>
      </c>
      <c r="J7" s="4" t="inlineStr">
        <is>
          <t xml:space="preserve">Trimestral</t>
        </is>
      </c>
      <c r="K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=IF(LEFT(D8,2)="MG","Macroprocesso",IF(LEFT(D8,2)="MF","Macroprocesso",IF(LEFT(D8,2)="MS","Macroprocesso",IF(LEFT(D8,2)="PP","Processo",IF(LEFT(D8,2)="SP","Subprocesso",IF(LEFT(D8,2)="AT","Atividade",IF(LEFT(D8,2)="TR","Tarefa","")))))))</f>
        <v>Processo</v>
      </c>
      <c r="D8" s="7" t="inlineStr">
        <is>
          <t xml:space="preserve">PP-06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G8" s="7" t="inlineStr">
        <is>
          <t xml:space="preserve">%</t>
        </is>
      </c>
      <c r="H8" s="7" t="inlineStr">
        <is>
          <t xml:space="preserve">Maior melhor</t>
        </is>
      </c>
      <c r="I8" s="7">
        <v>95</v>
      </c>
      <c r="J8" s="7" t="inlineStr">
        <is>
          <t xml:space="preserve">Trimestral</t>
        </is>
      </c>
      <c r="K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=IF(LEFT(D9,2)="MG","Macroprocesso",IF(LEFT(D9,2)="MF","Macroprocesso",IF(LEFT(D9,2)="MS","Macroprocesso",IF(LEFT(D9,2)="PP","Processo",IF(LEFT(D9,2)="SP","Subprocesso",IF(LEFT(D9,2)="AT","Atividade",IF(LEFT(D9,2)="TR","Tarefa","")))))))</f>
        <v>Subprocesso</v>
      </c>
      <c r="D9" s="4" t="inlineStr">
        <is>
          <t xml:space="preserve">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G9" s="4" t="inlineStr">
        <is>
          <t xml:space="preserve">%</t>
        </is>
      </c>
      <c r="H9" s="4" t="inlineStr">
        <is>
          <t xml:space="preserve">Maior melhor</t>
        </is>
      </c>
      <c r="I9" s="4">
        <v>100</v>
      </c>
      <c r="J9" s="4" t="inlineStr">
        <is>
          <t xml:space="preserve">Mensal</t>
        </is>
      </c>
      <c r="K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=IF(LEFT(D10,2)="MG","Macroprocesso",IF(LEFT(D10,2)="MF","Macroprocesso",IF(LEFT(D10,2)="MS","Macroprocesso",IF(LEFT(D10,2)="PP","Processo",IF(LEFT(D10,2)="SP","Subprocesso",IF(LEFT(D10,2)="AT","Atividade",IF(LEFT(D10,2)="TR","Tarefa","")))))))</f>
        <v>Macroprocesso</v>
      </c>
      <c r="D10" s="7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G10" s="7" t="inlineStr">
        <is>
          <t xml:space="preserve">nº</t>
        </is>
      </c>
      <c r="H10" s="7" t="inlineStr">
        <is>
          <t xml:space="preserve">Maior melhor</t>
        </is>
      </c>
      <c r="I10" s="7">
        <v>120</v>
      </c>
      <c r="J10" s="7" t="inlineStr">
        <is>
          <t xml:space="preserve">Anual</t>
        </is>
      </c>
      <c r="K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=IF(LEFT(D11,2)="MG","Macroprocesso",IF(LEFT(D11,2)="MF","Macroprocesso",IF(LEFT(D11,2)="MS","Macroprocesso",IF(LEFT(D11,2)="PP","Processo",IF(LEFT(D11,2)="SP","Subprocesso",IF(LEFT(D11,2)="AT","Atividade",IF(LEFT(D11,2)="TR","Tarefa","")))))))</f>
        <v>Processo</v>
      </c>
      <c r="D11" s="4" t="inlineStr">
        <is>
          <t xml:space="preserve">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G11" s="4" t="inlineStr">
        <is>
          <t xml:space="preserve">dias úteis</t>
        </is>
      </c>
      <c r="H11" s="4" t="inlineStr">
        <is>
          <t xml:space="preserve">Menor melhor</t>
        </is>
      </c>
      <c r="I11" s="4">
        <v>5</v>
      </c>
      <c r="J11" s="4" t="inlineStr">
        <is>
          <t xml:space="preserve">Mensal</t>
        </is>
      </c>
      <c r="K11" s="3" t="inlineStr">
        <is>
          <t xml:space="preserve">e-Codevasf</t>
        </is>
      </c>
      <c r="L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=IF(LEFT(D12,2)="MG","Macroprocesso",IF(LEFT(D12,2)="MF","Macroprocesso",IF(LEFT(D12,2)="MS","Macroprocesso",IF(LEFT(D12,2)="PP","Processo",IF(LEFT(D12,2)="SP","Subprocesso",IF(LEFT(D12,2)="AT","Atividade",IF(LEFT(D12,2)="TR","Tarefa","")))))))</f>
        <v>Processo</v>
      </c>
      <c r="D12" s="7" t="inlineStr">
        <is>
          <t xml:space="preserve">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G12" s="7" t="inlineStr">
        <is>
          <t xml:space="preserve">%</t>
        </is>
      </c>
      <c r="H12" s="7" t="inlineStr">
        <is>
          <t xml:space="preserve">Maior melhor</t>
        </is>
      </c>
      <c r="I12" s="7">
        <v>150</v>
      </c>
      <c r="J12" s="7" t="inlineStr">
        <is>
          <t xml:space="preserve">Anual</t>
        </is>
      </c>
      <c r="K12" s="6" t="inlineStr">
        <is>
          <t xml:space="preserve">AE/GPE</t>
        </is>
      </c>
      <c r="L12" s="6" t="inlineStr">
        <is>
          <t xml:space="preserve">Estimativa fictícia para demonstração.</t>
        </is>
      </c>
    </row>
  </sheetData>
  <autoFilter ref="A1:L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Listas!$Q$2:$Q$3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Listas!$R$2:$R$6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16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=IF(LEFT(C2,2)="MG","Macroprocesso",IF(LEFT(C2,2)="MF","Macroprocesso",IF(LEFT(C2,2)="MS","Macroprocesso",IF(LEFT(C2,2)="PP","Processo",IF(LEFT(C2,2)="SP","Subprocesso",IF(LEFT(C2,2)="AT","Atividade",IF(LEFT(C2,2)="TR","Tarefa","")))))))</f>
        <v>Processo</v>
      </c>
      <c r="C2" s="7" t="inlineStr">
        <is>
          <t xml:space="preserve">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=IF(LEFT(C3,2)="MG","Macroprocesso",IF(LEFT(C3,2)="MF","Macroprocesso",IF(LEFT(C3,2)="MS","Macroprocesso",IF(LEFT(C3,2)="PP","Processo",IF(LEFT(C3,2)="SP","Subprocesso",IF(LEFT(C3,2)="AT","Atividade",IF(LEFT(C3,2)="TR","Tarefa","")))))))</f>
        <v>Processo</v>
      </c>
      <c r="C3" s="4" t="inlineStr">
        <is>
          <t xml:space="preserve">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=IF(LEFT(C4,2)="MG","Macroprocesso",IF(LEFT(C4,2)="MF","Macroprocesso",IF(LEFT(C4,2)="MS","Macroprocesso",IF(LEFT(C4,2)="PP","Processo",IF(LEFT(C4,2)="SP","Subprocesso",IF(LEFT(C4,2)="AT","Atividade",IF(LEFT(C4,2)="TR","Tarefa","")))))))</f>
        <v>Processo</v>
      </c>
      <c r="C4" s="7" t="inlineStr">
        <is>
          <t xml:space="preserve">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=IF(LEFT(C5,2)="MG","Macroprocesso",IF(LEFT(C5,2)="MF","Macroprocesso",IF(LEFT(C5,2)="MS","Macroprocesso",IF(LEFT(C5,2)="PP","Processo",IF(LEFT(C5,2)="SP","Subprocesso",IF(LEFT(C5,2)="AT","Atividade",IF(LEFT(C5,2)="TR","Tarefa","")))))))</f>
        <v>Processo</v>
      </c>
      <c r="C5" s="4" t="inlineStr">
        <is>
          <t xml:space="preserve">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=IF(LEFT(C6,2)="MG","Macroprocesso",IF(LEFT(C6,2)="MF","Macroprocesso",IF(LEFT(C6,2)="MS","Macroprocesso",IF(LEFT(C6,2)="PP","Processo",IF(LEFT(C6,2)="SP","Subprocesso",IF(LEFT(C6,2)="AT","Atividade",IF(LEFT(C6,2)="TR","Tarefa","")))))))</f>
        <v>Subprocesso</v>
      </c>
      <c r="C6" s="7" t="inlineStr">
        <is>
          <t xml:space="preserve">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=IF(LEFT(C7,2)="MG","Macroprocesso",IF(LEFT(C7,2)="MF","Macroprocesso",IF(LEFT(C7,2)="MS","Macroprocesso",IF(LEFT(C7,2)="PP","Processo",IF(LEFT(C7,2)="SP","Subprocesso",IF(LEFT(C7,2)="AT","Atividade",IF(LEFT(C7,2)="TR","Tarefa","")))))))</f>
        <v>Subprocesso</v>
      </c>
      <c r="C7" s="4" t="inlineStr">
        <is>
          <t xml:space="preserve">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=IF(LEFT(C8,2)="MG","Macroprocesso",IF(LEFT(C8,2)="MF","Macroprocesso",IF(LEFT(C8,2)="MS","Macroprocesso",IF(LEFT(C8,2)="PP","Processo",IF(LEFT(C8,2)="SP","Subprocesso",IF(LEFT(C8,2)="AT","Atividade",IF(LEFT(C8,2)="TR","Tarefa","")))))))</f>
        <v>Atividade</v>
      </c>
      <c r="C8" s="7" t="inlineStr">
        <is>
          <t xml:space="preserve">AT-07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=IF(LEFT(C9,2)="MG","Macroprocesso",IF(LEFT(C9,2)="MF","Macroprocesso",IF(LEFT(C9,2)="MS","Macroprocesso",IF(LEFT(C9,2)="PP","Processo",IF(LEFT(C9,2)="SP","Subprocesso",IF(LEFT(C9,2)="AT","Atividade",IF(LEFT(C9,2)="TR","Tarefa","")))))))</f>
        <v>Processo</v>
      </c>
      <c r="C9" s="4" t="inlineStr">
        <is>
          <t xml:space="preserve">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=IF(LEFT(C10,2)="MG","Macroprocesso",IF(LEFT(C10,2)="MF","Macroprocesso",IF(LEFT(C10,2)="MS","Macroprocesso",IF(LEFT(C10,2)="PP","Processo",IF(LEFT(C10,2)="SP","Subprocesso",IF(LEFT(C10,2)="AT","Atividade",IF(LEFT(C10,2)="TR","Tarefa","")))))))</f>
        <v>Processo</v>
      </c>
      <c r="C10" s="7" t="inlineStr">
        <is>
          <t xml:space="preserve">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=IF(LEFT(C11,2)="MG","Macroprocesso",IF(LEFT(C11,2)="MF","Macroprocesso",IF(LEFT(C11,2)="MS","Macroprocesso",IF(LEFT(C11,2)="PP","Processo",IF(LEFT(C11,2)="SP","Subprocesso",IF(LEFT(C11,2)="AT","Atividade",IF(LEFT(C11,2)="TR","Tarefa","")))))))</f>
        <v>Processo</v>
      </c>
      <c r="C11" s="4" t="inlineStr">
        <is>
          <t xml:space="preserve">PP-04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=IF(LEFT(C12,2)="MG","Macroprocesso",IF(LEFT(C12,2)="MF","Macroprocesso",IF(LEFT(C12,2)="MS","Macroprocesso",IF(LEFT(C12,2)="PP","Processo",IF(LEFT(C12,2)="SP","Subprocesso",IF(LEFT(C12,2)="AT","Atividade",IF(LEFT(C12,2)="TR","Tarefa","")))))))</f>
        <v>Processo</v>
      </c>
      <c r="C12" s="7" t="inlineStr">
        <is>
          <t xml:space="preserve">PP-05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=IF(LEFT(C13,2)="MG","Macroprocesso",IF(LEFT(C13,2)="MF","Macroprocesso",IF(LEFT(C13,2)="MS","Macroprocesso",IF(LEFT(C13,2)="PP","Processo",IF(LEFT(C13,2)="SP","Subprocesso",IF(LEFT(C13,2)="AT","Atividade",IF(LEFT(C13,2)="TR","Tarefa","")))))))</f>
        <v>Processo</v>
      </c>
      <c r="C13" s="4" t="inlineStr">
        <is>
          <t xml:space="preserve">PP-06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=IF(LEFT(C14,2)="MG","Macroprocesso",IF(LEFT(C14,2)="MF","Macroprocesso",IF(LEFT(C14,2)="MS","Macroprocesso",IF(LEFT(C14,2)="PP","Processo",IF(LEFT(C14,2)="SP","Subprocesso",IF(LEFT(C14,2)="AT","Atividade",IF(LEFT(C14,2)="TR","Tarefa","")))))))</f>
        <v>Processo</v>
      </c>
      <c r="C14" s="7" t="inlineStr">
        <is>
          <t xml:space="preserve">PP-07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Listas!$O$2:$O$5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16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=IF(LEFT(D2,2)="MG","Macroprocesso",IF(LEFT(D2,2)="MF","Macroprocesso",IF(LEFT(D2,2)="MS","Macroprocesso",IF(LEFT(D2,2)="PP","Processo",IF(LEFT(D2,2)="SP","Subprocesso",IF(LEFT(D2,2)="AT","Atividade",IF(LEFT(D2,2)="TR","Tarefa","")))))))</f>
        <v>Macroprocesso</v>
      </c>
      <c r="D2" s="7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=IF(LEFT(D3,2)="MG","Macroprocesso",IF(LEFT(D3,2)="MF","Macroprocesso",IF(LEFT(D3,2)="MS","Macroprocesso",IF(LEFT(D3,2)="PP","Processo",IF(LEFT(D3,2)="SP","Subprocesso",IF(LEFT(D3,2)="AT","Atividade",IF(LEFT(D3,2)="TR","Tarefa","")))))))</f>
        <v>Processo</v>
      </c>
      <c r="D3" s="4" t="inlineStr">
        <is>
          <t xml:space="preserve">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=IF(LEFT(D4,2)="MG","Macroprocesso",IF(LEFT(D4,2)="MF","Macroprocesso",IF(LEFT(D4,2)="MS","Macroprocesso",IF(LEFT(D4,2)="PP","Processo",IF(LEFT(D4,2)="SP","Subprocesso",IF(LEFT(D4,2)="AT","Atividade",IF(LEFT(D4,2)="TR","Tarefa","")))))))</f>
        <v>Subprocesso</v>
      </c>
      <c r="D4" s="7" t="inlineStr">
        <is>
          <t xml:space="preserve">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=IF(LEFT(D5,2)="MG","Macroprocesso",IF(LEFT(D5,2)="MF","Macroprocesso",IF(LEFT(D5,2)="MS","Macroprocesso",IF(LEFT(D5,2)="PP","Processo",IF(LEFT(D5,2)="SP","Subprocesso",IF(LEFT(D5,2)="AT","Atividade",IF(LEFT(D5,2)="TR","Tarefa","")))))))</f>
        <v>Atividade</v>
      </c>
      <c r="D5" s="4" t="inlineStr">
        <is>
          <t xml:space="preserve">AT-06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Listas!$S$2:$S$4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PP-07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PP-01;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Listas!$U$2:$U$6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Listas!$V$2:$V$7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Listas!$W$2:$W$7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50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8" customWidth="1"/>
    <col min="12" max="12" width="15" customWidth="1"/>
    <col min="13" max="13" width="14" customWidth="1"/>
    <col min="14" max="14" width="14" customWidth="1"/>
    <col min="15" max="15" width="17" customWidth="1"/>
    <col min="16" max="16" width="14" customWidth="1"/>
    <col min="17" max="17" width="14" customWidth="1"/>
    <col min="18" max="18" width="14" customWidth="1"/>
    <col min="19" max="19" width="16" customWidth="1"/>
    <col min="20" max="20" width="15" customWidth="1"/>
    <col min="21" max="21" width="21" customWidth="1"/>
    <col min="22" max="22" width="16" customWidth="1"/>
    <col min="23" max="23" width="14" customWidth="1"/>
    <col min="24" max="24" width="16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Nivel_Vinculo</t>
        </is>
      </c>
      <c r="H1" s="1" t="inlineStr">
        <is>
          <t xml:space="preserve">Tipo_Atividade</t>
        </is>
      </c>
      <c r="I1" s="1" t="inlineStr">
        <is>
          <t xml:space="preserve">Tipo_Tarefa</t>
        </is>
      </c>
      <c r="J1" s="1" t="inlineStr">
        <is>
          <t xml:space="preserve">Tipo_Documento</t>
        </is>
      </c>
      <c r="K1" s="1" t="inlineStr">
        <is>
          <t xml:space="preserve">Situacao_Documento</t>
        </is>
      </c>
      <c r="L1" s="1" t="inlineStr">
        <is>
          <t xml:space="preserve">Categoria_Risco</t>
        </is>
      </c>
      <c r="M1" s="1" t="inlineStr">
        <is>
          <t xml:space="preserve">Resposta_Risco</t>
        </is>
      </c>
      <c r="N1" s="1" t="inlineStr">
        <is>
          <t xml:space="preserve">Status_Risco</t>
        </is>
      </c>
      <c r="O1" s="1" t="inlineStr">
        <is>
          <t xml:space="preserve">Envolvimento_RACI</t>
        </is>
      </c>
      <c r="P1" s="1" t="inlineStr">
        <is>
          <t xml:space="preserve">Tipo_Regra</t>
        </is>
      </c>
      <c r="Q1" s="1" t="inlineStr">
        <is>
          <t xml:space="preserve">Polaridade</t>
        </is>
      </c>
      <c r="R1" s="1" t="inlineStr">
        <is>
          <t xml:space="preserve">Periodicidade</t>
        </is>
      </c>
      <c r="S1" s="1" t="inlineStr">
        <is>
          <t xml:space="preserve">Situacao_Cultura</t>
        </is>
      </c>
      <c r="T1" s="1" t="inlineStr">
        <is>
          <t xml:space="preserve">Tipo_Iniciativa</t>
        </is>
      </c>
      <c r="U1" s="1" t="inlineStr">
        <is>
          <t xml:space="preserve">Categoria_Repositorio</t>
        </is>
      </c>
      <c r="V1" s="1" t="inlineStr">
        <is>
          <t xml:space="preserve">Fase_Instrumento</t>
        </is>
      </c>
      <c r="W1" s="1" t="inlineStr">
        <is>
          <t xml:space="preserve">Categoria_FAQ</t>
        </is>
      </c>
      <c r="X1" s="1" t="inlineStr">
        <is>
          <t xml:space="preserve">FK_Todos_Codigos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Macroprocesso</t>
        </is>
      </c>
      <c r="H2" s="6" t="inlineStr">
        <is>
          <t xml:space="preserve">Agregação de Valor</t>
        </is>
      </c>
      <c r="I2" s="6" t="inlineStr">
        <is>
          <t xml:space="preserve">Manual</t>
        </is>
      </c>
      <c r="J2" s="6" t="inlineStr">
        <is>
          <t xml:space="preserve">Procedimento (PRO)</t>
        </is>
      </c>
      <c r="K2" s="6" t="inlineStr">
        <is>
          <t xml:space="preserve">Vigente</t>
        </is>
      </c>
      <c r="L2" s="6" t="inlineStr">
        <is>
          <t xml:space="preserve">Operacional</t>
        </is>
      </c>
      <c r="M2" s="6" t="inlineStr">
        <is>
          <t xml:space="preserve">Mitigar</t>
        </is>
      </c>
      <c r="N2" s="6" t="inlineStr">
        <is>
          <t xml:space="preserve">Aberto</t>
        </is>
      </c>
      <c r="O2" s="6" t="inlineStr">
        <is>
          <t xml:space="preserve">Executa (R)</t>
        </is>
      </c>
      <c r="P2" s="6" t="inlineStr">
        <is>
          <t xml:space="preserve">Operação</t>
        </is>
      </c>
      <c r="Q2" s="6" t="inlineStr">
        <is>
          <t xml:space="preserve">Maior melhor</t>
        </is>
      </c>
      <c r="R2" s="6" t="inlineStr">
        <is>
          <t xml:space="preserve">Mensal</t>
        </is>
      </c>
      <c r="S2" s="6" t="inlineStr">
        <is>
          <t xml:space="preserve">Sim</t>
        </is>
      </c>
      <c r="T2" s="6" t="inlineStr">
        <is>
          <t xml:space="preserve">Automação</t>
        </is>
      </c>
      <c r="U2" s="6" t="inlineStr">
        <is>
          <t xml:space="preserve">Documento oficial</t>
        </is>
      </c>
      <c r="V2" s="6" t="inlineStr">
        <is>
          <t xml:space="preserve">Planejamento</t>
        </is>
      </c>
      <c r="W2" s="6" t="inlineStr">
        <is>
          <t xml:space="preserve">Conceitos básicos</t>
        </is>
      </c>
      <c r="X2" s="6" t="inlineStr">
        <is>
          <t xml:space="preserve">MG-01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Processo</t>
        </is>
      </c>
      <c r="H3" s="3" t="inlineStr">
        <is>
          <t xml:space="preserve">Transferência</t>
        </is>
      </c>
      <c r="I3" s="3" t="inlineStr">
        <is>
          <t xml:space="preserve">Automatizada</t>
        </is>
      </c>
      <c r="J3" s="3" t="inlineStr">
        <is>
          <t xml:space="preserve">Manual</t>
        </is>
      </c>
      <c r="K3" s="3" t="inlineStr">
        <is>
          <t xml:space="preserve">Em elaboração</t>
        </is>
      </c>
      <c r="L3" s="3" t="inlineStr">
        <is>
          <t xml:space="preserve">Legal/Conformidade</t>
        </is>
      </c>
      <c r="M3" s="3" t="inlineStr">
        <is>
          <t xml:space="preserve">Aceitar</t>
        </is>
      </c>
      <c r="N3" s="3" t="inlineStr">
        <is>
          <t xml:space="preserve">Em tratamento</t>
        </is>
      </c>
      <c r="O3" s="3" t="inlineStr">
        <is>
          <t xml:space="preserve">Aprova (A)</t>
        </is>
      </c>
      <c r="P3" s="3" t="inlineStr">
        <is>
          <t xml:space="preserve">Regulatória</t>
        </is>
      </c>
      <c r="Q3" s="3" t="inlineStr">
        <is>
          <t xml:space="preserve">Menor melhor</t>
        </is>
      </c>
      <c r="R3" s="3" t="inlineStr">
        <is>
          <t xml:space="preserve">Bimestral</t>
        </is>
      </c>
      <c r="S3" s="3" t="inlineStr">
        <is>
          <t xml:space="preserve">Não</t>
        </is>
      </c>
      <c r="T3" s="3" t="inlineStr">
        <is>
          <t xml:space="preserve">Reaproveitamento de modelo</t>
        </is>
      </c>
      <c r="U3" s="3" t="inlineStr">
        <is>
          <t xml:space="preserve">Template</t>
        </is>
      </c>
      <c r="V3" s="3" t="inlineStr">
        <is>
          <t xml:space="preserve">Análise</t>
        </is>
      </c>
      <c r="W3" s="3" t="inlineStr">
        <is>
          <t xml:space="preserve">Modelagem e SIPOC</t>
        </is>
      </c>
      <c r="X3" s="3" t="inlineStr">
        <is>
          <t xml:space="preserve">MG-02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Subprocesso</t>
        </is>
      </c>
      <c r="H4" s="6" t="inlineStr">
        <is>
          <t xml:space="preserve">Controle</t>
        </is>
      </c>
      <c r="I4" s="6" t="inlineStr">
        <is>
          <t xml:space="preserve">Regra de negócio</t>
        </is>
      </c>
      <c r="J4" s="6" t="inlineStr">
        <is>
          <t xml:space="preserve">Norma interna</t>
        </is>
      </c>
      <c r="K4" s="6" t="inlineStr">
        <is>
          <t xml:space="preserve">Em revisão</t>
        </is>
      </c>
      <c r="L4" s="6" t="inlineStr">
        <is>
          <t xml:space="preserve">Pessoas</t>
        </is>
      </c>
      <c r="M4" s="6" t="inlineStr">
        <is>
          <t xml:space="preserve">Transferir</t>
        </is>
      </c>
      <c r="N4" s="6" t="inlineStr">
        <is>
          <t xml:space="preserve">Encerrado</t>
        </is>
      </c>
      <c r="O4" s="6" t="inlineStr">
        <is>
          <t xml:space="preserve">Consultado (C)</t>
        </is>
      </c>
      <c r="P4" s="6" t="inlineStr">
        <is>
          <t xml:space="preserve">Cálculo</t>
        </is>
      </c>
      <c r="R4" s="6" t="inlineStr">
        <is>
          <t xml:space="preserve">Trimestral</t>
        </is>
      </c>
      <c r="S4" s="6" t="inlineStr">
        <is>
          <t xml:space="preserve">Não avaliado</t>
        </is>
      </c>
      <c r="T4" s="6" t="inlineStr">
        <is>
          <t xml:space="preserve">Decisão de governança</t>
        </is>
      </c>
      <c r="U4" s="6" t="inlineStr">
        <is>
          <t xml:space="preserve">Instrumento</t>
        </is>
      </c>
      <c r="V4" s="6" t="inlineStr">
        <is>
          <t xml:space="preserve">Desenho</t>
        </is>
      </c>
      <c r="W4" s="6" t="inlineStr">
        <is>
          <t xml:space="preserve">Cadeia de Valor e governança</t>
        </is>
      </c>
      <c r="X4" s="6" t="inlineStr">
        <is>
          <t xml:space="preserve">MF-01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Atividade</t>
        </is>
      </c>
      <c r="J5" s="3" t="inlineStr">
        <is>
          <t xml:space="preserve">Legislação externa</t>
        </is>
      </c>
      <c r="K5" s="3" t="inlineStr">
        <is>
          <t xml:space="preserve">Revogado</t>
        </is>
      </c>
      <c r="L5" s="3" t="inlineStr">
        <is>
          <t xml:space="preserve">Tecnologia da Informação</t>
        </is>
      </c>
      <c r="M5" s="3" t="inlineStr">
        <is>
          <t xml:space="preserve">Evitar</t>
        </is>
      </c>
      <c r="O5" s="3" t="inlineStr">
        <is>
          <t xml:space="preserve">Informado (I)</t>
        </is>
      </c>
      <c r="P5" s="3" t="inlineStr">
        <is>
          <t xml:space="preserve">Restrição</t>
        </is>
      </c>
      <c r="R5" s="3" t="inlineStr">
        <is>
          <t xml:space="preserve">Semestral</t>
        </is>
      </c>
      <c r="T5" s="3" t="inlineStr">
        <is>
          <t xml:space="preserve">Outro</t>
        </is>
      </c>
      <c r="U5" s="3" t="inlineStr">
        <is>
          <t xml:space="preserve">Ferramenta</t>
        </is>
      </c>
      <c r="V5" s="3" t="inlineStr">
        <is>
          <t xml:space="preserve">Implementação</t>
        </is>
      </c>
      <c r="W5" s="3" t="inlineStr">
        <is>
          <t xml:space="preserve">Indicadores, metas e riscos</t>
        </is>
      </c>
      <c r="X5" s="3" t="inlineStr">
        <is>
          <t xml:space="preserve">MF-02</t>
        </is>
      </c>
    </row>
    <row r="6">
      <c r="E6" s="6" t="inlineStr">
        <is>
          <t xml:space="preserve">Otimizado</t>
        </is>
      </c>
      <c r="G6" s="6" t="inlineStr">
        <is>
          <t xml:space="preserve">Tarefa</t>
        </is>
      </c>
      <c r="J6" s="6" t="inlineStr">
        <is>
          <t xml:space="preserve">Formulário/Modelo</t>
        </is>
      </c>
      <c r="L6" s="6" t="inlineStr">
        <is>
          <t xml:space="preserve">Financeiro/Orçamentário</t>
        </is>
      </c>
      <c r="R6" s="6" t="inlineStr">
        <is>
          <t xml:space="preserve">Anual</t>
        </is>
      </c>
      <c r="U6" s="6" t="inlineStr">
        <is>
          <t xml:space="preserve">Referência</t>
        </is>
      </c>
      <c r="V6" s="6" t="inlineStr">
        <is>
          <t xml:space="preserve">Monitoramento</t>
        </is>
      </c>
      <c r="W6" s="6" t="inlineStr">
        <is>
          <t xml:space="preserve">Plano de Ações AE/GPE</t>
        </is>
      </c>
      <c r="X6" s="6" t="inlineStr">
        <is>
          <t xml:space="preserve">MF-03</t>
        </is>
      </c>
    </row>
    <row r="7">
      <c r="J7" s="3" t="inlineStr">
        <is>
          <t xml:space="preserve">Ata de reunião</t>
        </is>
      </c>
      <c r="L7" s="3" t="inlineStr">
        <is>
          <t xml:space="preserve">Imagem/Reputação</t>
        </is>
      </c>
      <c r="V7" s="3" t="inlineStr">
        <is>
          <t xml:space="preserve">Refinamento</t>
        </is>
      </c>
      <c r="W7" s="3" t="inlineStr">
        <is>
          <t xml:space="preserve">Como usar o painel</t>
        </is>
      </c>
      <c r="X7" s="3" t="inlineStr">
        <is>
          <t xml:space="preserve">MS-01</t>
        </is>
      </c>
    </row>
    <row r="8">
      <c r="J8" s="6" t="inlineStr">
        <is>
          <t xml:space="preserve">Diagrama BPMN</t>
        </is>
      </c>
      <c r="X8" s="6" t="inlineStr">
        <is>
          <t xml:space="preserve">MS-02</t>
        </is>
      </c>
    </row>
    <row r="9">
      <c r="J9" s="3" t="inlineStr">
        <is>
          <t xml:space="preserve">Checklist</t>
        </is>
      </c>
      <c r="X9" s="3" t="inlineStr">
        <is>
          <t xml:space="preserve">MS-03</t>
        </is>
      </c>
    </row>
    <row r="10">
      <c r="J10" s="6" t="inlineStr">
        <is>
          <t xml:space="preserve">Relatório</t>
        </is>
      </c>
      <c r="X10" s="6" t="inlineStr">
        <is>
          <t xml:space="preserve">PP-01</t>
        </is>
      </c>
    </row>
    <row r="11">
      <c r="J11" s="3" t="inlineStr">
        <is>
          <t xml:space="preserve">Plano</t>
        </is>
      </c>
      <c r="X11" s="3" t="inlineStr">
        <is>
          <t xml:space="preserve">PP-02</t>
        </is>
      </c>
    </row>
    <row r="12">
      <c r="J12" s="6" t="inlineStr">
        <is>
          <t xml:space="preserve">Outro</t>
        </is>
      </c>
      <c r="X12" s="6" t="inlineStr">
        <is>
          <t xml:space="preserve">PP-03</t>
        </is>
      </c>
    </row>
    <row r="13">
      <c r="X13" s="3" t="inlineStr">
        <is>
          <t xml:space="preserve">PP-04</t>
        </is>
      </c>
    </row>
    <row r="14">
      <c r="X14" s="6" t="inlineStr">
        <is>
          <t xml:space="preserve">PP-05</t>
        </is>
      </c>
    </row>
    <row r="15">
      <c r="X15" s="3" t="inlineStr">
        <is>
          <t xml:space="preserve">PP-06</t>
        </is>
      </c>
    </row>
    <row r="16">
      <c r="X16" s="6" t="inlineStr">
        <is>
          <t xml:space="preserve">PP-07</t>
        </is>
      </c>
    </row>
    <row r="17">
      <c r="X17" s="3" t="inlineStr">
        <is>
          <t xml:space="preserve">SP-01</t>
        </is>
      </c>
    </row>
    <row r="18">
      <c r="X18" s="6" t="inlineStr">
        <is>
          <t xml:space="preserve">SP-02</t>
        </is>
      </c>
    </row>
    <row r="19">
      <c r="X19" s="3" t="inlineStr">
        <is>
          <t xml:space="preserve">SP-03</t>
        </is>
      </c>
    </row>
    <row r="20">
      <c r="X20" s="6" t="inlineStr">
        <is>
          <t xml:space="preserve">SP-04</t>
        </is>
      </c>
    </row>
    <row r="21">
      <c r="X21" s="3" t="inlineStr">
        <is>
          <t xml:space="preserve">SP-05</t>
        </is>
      </c>
    </row>
    <row r="22">
      <c r="X22" s="6" t="inlineStr">
        <is>
          <t xml:space="preserve">SP-06</t>
        </is>
      </c>
    </row>
    <row r="23">
      <c r="X23" s="3" t="inlineStr">
        <is>
          <t xml:space="preserve">AT-01</t>
        </is>
      </c>
    </row>
    <row r="24">
      <c r="X24" s="6" t="inlineStr">
        <is>
          <t xml:space="preserve">AT-02</t>
        </is>
      </c>
    </row>
    <row r="25">
      <c r="X25" s="3" t="inlineStr">
        <is>
          <t xml:space="preserve">AT-03</t>
        </is>
      </c>
    </row>
    <row r="26">
      <c r="X26" s="6" t="inlineStr">
        <is>
          <t xml:space="preserve">AT-04</t>
        </is>
      </c>
    </row>
    <row r="27">
      <c r="X27" s="3" t="inlineStr">
        <is>
          <t xml:space="preserve">AT-05</t>
        </is>
      </c>
    </row>
    <row r="28">
      <c r="X28" s="6" t="inlineStr">
        <is>
          <t xml:space="preserve">AT-06</t>
        </is>
      </c>
    </row>
    <row r="29">
      <c r="X29" s="3" t="inlineStr">
        <is>
          <t xml:space="preserve">AT-07</t>
        </is>
      </c>
    </row>
    <row r="30">
      <c r="X30" s="6" t="inlineStr">
        <is>
          <t xml:space="preserve">AT-08</t>
        </is>
      </c>
    </row>
    <row r="31">
      <c r="X31" s="3" t="inlineStr">
        <is>
          <t xml:space="preserve">AT-09</t>
        </is>
      </c>
    </row>
    <row r="32">
      <c r="X32" s="6" t="inlineStr">
        <is>
          <t xml:space="preserve">AT-10</t>
        </is>
      </c>
    </row>
    <row r="33">
      <c r="X33" s="3" t="inlineStr">
        <is>
          <t xml:space="preserve">AT-11</t>
        </is>
      </c>
    </row>
    <row r="34">
      <c r="X34" s="6" t="inlineStr">
        <is>
          <t xml:space="preserve">AT-12</t>
        </is>
      </c>
    </row>
    <row r="35">
      <c r="X35" s="3" t="inlineStr">
        <is>
          <t xml:space="preserve">AT-13</t>
        </is>
      </c>
    </row>
    <row r="36">
      <c r="X36" s="6" t="inlineStr">
        <is>
          <t xml:space="preserve">AT-14</t>
        </is>
      </c>
    </row>
    <row r="37">
      <c r="X37" s="3" t="inlineStr">
        <is>
          <t xml:space="preserve">AT-15</t>
        </is>
      </c>
    </row>
    <row r="38">
      <c r="X38" s="6" t="inlineStr">
        <is>
          <t xml:space="preserve">TR-01</t>
        </is>
      </c>
    </row>
    <row r="39">
      <c r="X39" s="3" t="inlineStr">
        <is>
          <t xml:space="preserve">TR-02</t>
        </is>
      </c>
    </row>
    <row r="40">
      <c r="X40" s="6" t="inlineStr">
        <is>
          <t xml:space="preserve">TR-03</t>
        </is>
      </c>
    </row>
    <row r="41">
      <c r="X41" s="3" t="inlineStr">
        <is>
          <t xml:space="preserve">TR-04</t>
        </is>
      </c>
    </row>
    <row r="42">
      <c r="X42" s="6" t="inlineStr">
        <is>
          <t xml:space="preserve">TR-05</t>
        </is>
      </c>
    </row>
    <row r="43">
      <c r="X43" s="3" t="inlineStr">
        <is>
          <t xml:space="preserve">TR-06</t>
        </is>
      </c>
    </row>
    <row r="44">
      <c r="X44" s="6" t="inlineStr">
        <is>
          <t xml:space="preserve">TR-07</t>
        </is>
      </c>
    </row>
    <row r="45">
      <c r="X45" s="3" t="inlineStr">
        <is>
          <t xml:space="preserve">TR-08</t>
        </is>
      </c>
    </row>
    <row r="46">
      <c r="X46" s="6" t="inlineStr">
        <is>
          <t xml:space="preserve">TR-09</t>
        </is>
      </c>
    </row>
    <row r="47">
      <c r="X47" s="3" t="inlineStr">
        <is>
          <t xml:space="preserve">TR-10</t>
        </is>
      </c>
    </row>
    <row r="48">
      <c r="X48" s="6" t="inlineStr">
        <is>
          <t xml:space="preserve">TR-11</t>
        </is>
      </c>
    </row>
    <row r="49">
      <c r="X49" s="3" t="inlineStr">
        <is>
          <t xml:space="preserve">TR-12</t>
        </is>
      </c>
    </row>
    <row r="50">
      <c r="X50" s="6" t="inlineStr">
        <is>
          <t xml:space="preserve">TR-13</t>
        </is>
      </c>
    </row>
  </sheetData>
  <autoFilter ref="A1:X1"/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